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_cons" sheetId="1" state="visible" r:id="rId2"/>
    <sheet name="l_trans" sheetId="2" state="visible" r:id="rId3"/>
    <sheet name="l_goods" sheetId="3" state="visible" r:id="rId4"/>
    <sheet name="l_act" sheetId="4" state="visible" r:id="rId5"/>
    <sheet name="l_fp" sheetId="5" state="visible" r:id="rId6"/>
    <sheet name="lay_goods" sheetId="6" state="visible" r:id="rId7"/>
    <sheet name="lay_trans" sheetId="7" state="visible" r:id="rId8"/>
    <sheet name="cons" sheetId="8" state="visible" r:id="rId9"/>
    <sheet name="cons_permol" sheetId="9" state="visible" r:id="rId10"/>
    <sheet name="meta_process" sheetId="10" state="visible" r:id="rId11"/>
    <sheet name="foreground" sheetId="11" state="visible" r:id="rId12"/>
    <sheet name="background_technosphere" sheetId="12" state="visible" r:id="rId13"/>
    <sheet name="background_biosphere" sheetId="13" state="visible" r:id="rId14"/>
    <sheet name="lay_f_trans" sheetId="14" state="visible" r:id="rId15"/>
    <sheet name="y" sheetId="15" state="visible" r:id="rId16"/>
    <sheet name="tr" sheetId="16" state="visible" r:id="rId17"/>
    <sheet name="te" sheetId="17" state="visible" r:id="rId18"/>
    <sheet name="version" sheetId="18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<sst xmlns="http://schemas.openxmlformats.org/spreadsheetml/2006/main" count="24496" uniqueCount="6376">
  <si>
    <t xml:space="preserve">consId</t>
  </si>
  <si>
    <t xml:space="preserve">name</t>
  </si>
  <si>
    <t xml:space="preserve">dimension</t>
  </si>
  <si>
    <t xml:space="preserve">unit</t>
  </si>
  <si>
    <t xml:space="preserve">Molar mass [g/mol]</t>
  </si>
  <si>
    <t xml:space="preserve">unknown_elements</t>
  </si>
  <si>
    <t xml:space="preserve">mass</t>
  </si>
  <si>
    <t xml:space="preserve">kg</t>
  </si>
  <si>
    <t xml:space="preserve">C</t>
  </si>
  <si>
    <t xml:space="preserve">Carbon</t>
  </si>
  <si>
    <t xml:space="preserve">Ca</t>
  </si>
  <si>
    <t xml:space="preserve">Calcium</t>
  </si>
  <si>
    <t xml:space="preserve">Cl</t>
  </si>
  <si>
    <t xml:space="preserve">Chlorine</t>
  </si>
  <si>
    <t xml:space="preserve">F</t>
  </si>
  <si>
    <t xml:space="preserve">Fluorine</t>
  </si>
  <si>
    <t xml:space="preserve">H</t>
  </si>
  <si>
    <t xml:space="preserve">Hydrogen</t>
  </si>
  <si>
    <t xml:space="preserve">K</t>
  </si>
  <si>
    <t xml:space="preserve">Potassium</t>
  </si>
  <si>
    <t xml:space="preserve">N</t>
  </si>
  <si>
    <t xml:space="preserve">Nitrogen</t>
  </si>
  <si>
    <t xml:space="preserve">Na</t>
  </si>
  <si>
    <t xml:space="preserve">Sodium</t>
  </si>
  <si>
    <t xml:space="preserve">O</t>
  </si>
  <si>
    <t xml:space="preserve">Oxygen</t>
  </si>
  <si>
    <t xml:space="preserve">P</t>
  </si>
  <si>
    <t xml:space="preserve">Phosphorus</t>
  </si>
  <si>
    <t xml:space="preserve">S</t>
  </si>
  <si>
    <t xml:space="preserve">Sulfur</t>
  </si>
  <si>
    <t xml:space="preserve">Ag</t>
  </si>
  <si>
    <t xml:space="preserve">Silver</t>
  </si>
  <si>
    <t xml:space="preserve">Al</t>
  </si>
  <si>
    <t xml:space="preserve">Aluminum</t>
  </si>
  <si>
    <t xml:space="preserve">Ar</t>
  </si>
  <si>
    <t xml:space="preserve">Argon</t>
  </si>
  <si>
    <t xml:space="preserve">As</t>
  </si>
  <si>
    <t xml:space="preserve">Arsenic</t>
  </si>
  <si>
    <t xml:space="preserve">Cd</t>
  </si>
  <si>
    <t xml:space="preserve">Cadmium</t>
  </si>
  <si>
    <t xml:space="preserve">Co</t>
  </si>
  <si>
    <t xml:space="preserve">Cobalt</t>
  </si>
  <si>
    <t xml:space="preserve">Cr</t>
  </si>
  <si>
    <t xml:space="preserve">Chromium</t>
  </si>
  <si>
    <t xml:space="preserve">Cu</t>
  </si>
  <si>
    <t xml:space="preserve">Copper</t>
  </si>
  <si>
    <t xml:space="preserve">Fe</t>
  </si>
  <si>
    <t xml:space="preserve">Iron</t>
  </si>
  <si>
    <t xml:space="preserve">Hg</t>
  </si>
  <si>
    <t xml:space="preserve">Mercury</t>
  </si>
  <si>
    <t xml:space="preserve">Mg</t>
  </si>
  <si>
    <t xml:space="preserve">Magnesium</t>
  </si>
  <si>
    <t xml:space="preserve">Mn</t>
  </si>
  <si>
    <t xml:space="preserve">Manganese</t>
  </si>
  <si>
    <t xml:space="preserve">Mo</t>
  </si>
  <si>
    <t xml:space="preserve">Molybdenum</t>
  </si>
  <si>
    <t xml:space="preserve">Ni</t>
  </si>
  <si>
    <t xml:space="preserve">Nickel</t>
  </si>
  <si>
    <t xml:space="preserve">Pb</t>
  </si>
  <si>
    <t xml:space="preserve">Lead</t>
  </si>
  <si>
    <t xml:space="preserve">Zn</t>
  </si>
  <si>
    <t xml:space="preserve">Zinc</t>
  </si>
  <si>
    <t xml:space="preserve">He</t>
  </si>
  <si>
    <t xml:space="preserve">Helium</t>
  </si>
  <si>
    <t xml:space="preserve">Li</t>
  </si>
  <si>
    <t xml:space="preserve">Lithium</t>
  </si>
  <si>
    <t xml:space="preserve">Be</t>
  </si>
  <si>
    <t xml:space="preserve">Beryllium</t>
  </si>
  <si>
    <t xml:space="preserve">B</t>
  </si>
  <si>
    <t xml:space="preserve">Boron</t>
  </si>
  <si>
    <t xml:space="preserve">Ne</t>
  </si>
  <si>
    <t xml:space="preserve">Neon</t>
  </si>
  <si>
    <t xml:space="preserve">Si</t>
  </si>
  <si>
    <t xml:space="preserve">Silicon</t>
  </si>
  <si>
    <t xml:space="preserve">Sc</t>
  </si>
  <si>
    <t xml:space="preserve">Scandium</t>
  </si>
  <si>
    <t xml:space="preserve">Ti</t>
  </si>
  <si>
    <t xml:space="preserve">Titanium</t>
  </si>
  <si>
    <t xml:space="preserve">V</t>
  </si>
  <si>
    <t xml:space="preserve">Vanadium</t>
  </si>
  <si>
    <t xml:space="preserve">Ga</t>
  </si>
  <si>
    <t xml:space="preserve">Gallium</t>
  </si>
  <si>
    <t xml:space="preserve">Ge</t>
  </si>
  <si>
    <t xml:space="preserve">Germanium</t>
  </si>
  <si>
    <t xml:space="preserve">Se</t>
  </si>
  <si>
    <t xml:space="preserve">Selenium</t>
  </si>
  <si>
    <t xml:space="preserve">Br</t>
  </si>
  <si>
    <t xml:space="preserve">Bromine</t>
  </si>
  <si>
    <t xml:space="preserve">Kr</t>
  </si>
  <si>
    <t xml:space="preserve">Krypton</t>
  </si>
  <si>
    <t xml:space="preserve">Rb</t>
  </si>
  <si>
    <t xml:space="preserve">Rubidium</t>
  </si>
  <si>
    <t xml:space="preserve">Sr</t>
  </si>
  <si>
    <t xml:space="preserve">Strontium</t>
  </si>
  <si>
    <t xml:space="preserve">Y</t>
  </si>
  <si>
    <t xml:space="preserve">Yttrium</t>
  </si>
  <si>
    <t xml:space="preserve">Zr</t>
  </si>
  <si>
    <t xml:space="preserve">Zirconium</t>
  </si>
  <si>
    <t xml:space="preserve">Nb</t>
  </si>
  <si>
    <t xml:space="preserve">Niobium</t>
  </si>
  <si>
    <t xml:space="preserve">Tc</t>
  </si>
  <si>
    <t xml:space="preserve">Technetium</t>
  </si>
  <si>
    <t xml:space="preserve">Ru</t>
  </si>
  <si>
    <t xml:space="preserve">Ruthenium</t>
  </si>
  <si>
    <t xml:space="preserve">Rh</t>
  </si>
  <si>
    <t xml:space="preserve">Rhodium</t>
  </si>
  <si>
    <t xml:space="preserve">Pd</t>
  </si>
  <si>
    <t xml:space="preserve">Palladium</t>
  </si>
  <si>
    <t xml:space="preserve">In</t>
  </si>
  <si>
    <t xml:space="preserve">Indium</t>
  </si>
  <si>
    <t xml:space="preserve">Sn</t>
  </si>
  <si>
    <t xml:space="preserve">Tin</t>
  </si>
  <si>
    <t xml:space="preserve">Sb</t>
  </si>
  <si>
    <t xml:space="preserve">Antimony</t>
  </si>
  <si>
    <t xml:space="preserve">Te</t>
  </si>
  <si>
    <t xml:space="preserve">Tellurium</t>
  </si>
  <si>
    <t xml:space="preserve">I</t>
  </si>
  <si>
    <t xml:space="preserve">Iodine</t>
  </si>
  <si>
    <t xml:space="preserve">Xe</t>
  </si>
  <si>
    <t xml:space="preserve">Xenon</t>
  </si>
  <si>
    <t xml:space="preserve">Cs</t>
  </si>
  <si>
    <t xml:space="preserve">Cesium</t>
  </si>
  <si>
    <t xml:space="preserve">Ba</t>
  </si>
  <si>
    <t xml:space="preserve">Barium</t>
  </si>
  <si>
    <t xml:space="preserve">La</t>
  </si>
  <si>
    <t xml:space="preserve">Lanthanum</t>
  </si>
  <si>
    <t xml:space="preserve">Ce</t>
  </si>
  <si>
    <t xml:space="preserve">Cerium</t>
  </si>
  <si>
    <t xml:space="preserve">Pr</t>
  </si>
  <si>
    <t xml:space="preserve">Praseodymium</t>
  </si>
  <si>
    <t xml:space="preserve">Nd</t>
  </si>
  <si>
    <t xml:space="preserve">Neodymium</t>
  </si>
  <si>
    <t xml:space="preserve">Pm</t>
  </si>
  <si>
    <t xml:space="preserve">Promethium</t>
  </si>
  <si>
    <t xml:space="preserve">Sm</t>
  </si>
  <si>
    <t xml:space="preserve">Samarium</t>
  </si>
  <si>
    <t xml:space="preserve">Eu</t>
  </si>
  <si>
    <t xml:space="preserve">Europium</t>
  </si>
  <si>
    <t xml:space="preserve">Gd</t>
  </si>
  <si>
    <t xml:space="preserve">Gadolinium</t>
  </si>
  <si>
    <t xml:space="preserve">Tb</t>
  </si>
  <si>
    <t xml:space="preserve">Terbium</t>
  </si>
  <si>
    <t xml:space="preserve">Dy</t>
  </si>
  <si>
    <t xml:space="preserve">Dysprosium</t>
  </si>
  <si>
    <t xml:space="preserve">Ho</t>
  </si>
  <si>
    <t xml:space="preserve">Holmium</t>
  </si>
  <si>
    <t xml:space="preserve">Er</t>
  </si>
  <si>
    <t xml:space="preserve">Erbium</t>
  </si>
  <si>
    <t xml:space="preserve">Tm</t>
  </si>
  <si>
    <t xml:space="preserve">Thulium</t>
  </si>
  <si>
    <t xml:space="preserve">Yb</t>
  </si>
  <si>
    <t xml:space="preserve">Ytterbium</t>
  </si>
  <si>
    <t xml:space="preserve">Lu</t>
  </si>
  <si>
    <t xml:space="preserve">Lutetium</t>
  </si>
  <si>
    <t xml:space="preserve">Hf</t>
  </si>
  <si>
    <t xml:space="preserve">Hafnium</t>
  </si>
  <si>
    <t xml:space="preserve">Ta</t>
  </si>
  <si>
    <t xml:space="preserve">Tantalum</t>
  </si>
  <si>
    <t xml:space="preserve">W</t>
  </si>
  <si>
    <t xml:space="preserve">Wolfram</t>
  </si>
  <si>
    <t xml:space="preserve">Re</t>
  </si>
  <si>
    <t xml:space="preserve">Rhenium</t>
  </si>
  <si>
    <t xml:space="preserve">Os</t>
  </si>
  <si>
    <t xml:space="preserve">Osmium</t>
  </si>
  <si>
    <t xml:space="preserve">Ir</t>
  </si>
  <si>
    <t xml:space="preserve">Iridium</t>
  </si>
  <si>
    <t xml:space="preserve">Pt</t>
  </si>
  <si>
    <t xml:space="preserve">Platinum</t>
  </si>
  <si>
    <t xml:space="preserve">Au</t>
  </si>
  <si>
    <t xml:space="preserve">Gold</t>
  </si>
  <si>
    <t xml:space="preserve">Tl</t>
  </si>
  <si>
    <t xml:space="preserve">Thallium</t>
  </si>
  <si>
    <t xml:space="preserve">Bi</t>
  </si>
  <si>
    <t xml:space="preserve">Bismuth</t>
  </si>
  <si>
    <t xml:space="preserve">Po</t>
  </si>
  <si>
    <t xml:space="preserve">Polonium</t>
  </si>
  <si>
    <t xml:space="preserve">At</t>
  </si>
  <si>
    <t xml:space="preserve">Astatine</t>
  </si>
  <si>
    <t xml:space="preserve">Rn</t>
  </si>
  <si>
    <t xml:space="preserve">Radon</t>
  </si>
  <si>
    <t xml:space="preserve">Fr</t>
  </si>
  <si>
    <t xml:space="preserve">Francium</t>
  </si>
  <si>
    <t xml:space="preserve">Ra</t>
  </si>
  <si>
    <t xml:space="preserve">Radium</t>
  </si>
  <si>
    <t xml:space="preserve">Ac</t>
  </si>
  <si>
    <t xml:space="preserve">Actinium</t>
  </si>
  <si>
    <t xml:space="preserve">Th</t>
  </si>
  <si>
    <t xml:space="preserve">Thorium</t>
  </si>
  <si>
    <t xml:space="preserve">Pa</t>
  </si>
  <si>
    <t xml:space="preserve">Protactinium</t>
  </si>
  <si>
    <t xml:space="preserve">U</t>
  </si>
  <si>
    <t xml:space="preserve">Uranium</t>
  </si>
  <si>
    <t xml:space="preserve">Np</t>
  </si>
  <si>
    <t xml:space="preserve">Neptunium</t>
  </si>
  <si>
    <t xml:space="preserve">Pu</t>
  </si>
  <si>
    <t xml:space="preserve">Plutonium</t>
  </si>
  <si>
    <t xml:space="preserve">Am</t>
  </si>
  <si>
    <t xml:space="preserve">Americium</t>
  </si>
  <si>
    <t xml:space="preserve">Cm</t>
  </si>
  <si>
    <t xml:space="preserve">Curium</t>
  </si>
  <si>
    <t xml:space="preserve">Bk</t>
  </si>
  <si>
    <t xml:space="preserve">Berkelium</t>
  </si>
  <si>
    <t xml:space="preserve">Cf</t>
  </si>
  <si>
    <t xml:space="preserve">Californium</t>
  </si>
  <si>
    <t xml:space="preserve">Es</t>
  </si>
  <si>
    <t xml:space="preserve">Einsteinium</t>
  </si>
  <si>
    <t xml:space="preserve">Fm</t>
  </si>
  <si>
    <t xml:space="preserve">Fermium</t>
  </si>
  <si>
    <t xml:space="preserve">Md</t>
  </si>
  <si>
    <t xml:space="preserve">Mendelevium</t>
  </si>
  <si>
    <t xml:space="preserve">No</t>
  </si>
  <si>
    <t xml:space="preserve">Nobelium</t>
  </si>
  <si>
    <t xml:space="preserve">Lr</t>
  </si>
  <si>
    <t xml:space="preserve">Lawrencium</t>
  </si>
  <si>
    <t xml:space="preserve">Rf</t>
  </si>
  <si>
    <t xml:space="preserve">Rutherfordium</t>
  </si>
  <si>
    <t xml:space="preserve">Db</t>
  </si>
  <si>
    <t xml:space="preserve">Dubnium</t>
  </si>
  <si>
    <t xml:space="preserve">Sg</t>
  </si>
  <si>
    <t xml:space="preserve">Seaborgium</t>
  </si>
  <si>
    <t xml:space="preserve">Bh</t>
  </si>
  <si>
    <t xml:space="preserve">Bohrium</t>
  </si>
  <si>
    <t xml:space="preserve">Hs</t>
  </si>
  <si>
    <t xml:space="preserve">Hassium</t>
  </si>
  <si>
    <t xml:space="preserve">Mt</t>
  </si>
  <si>
    <t xml:space="preserve">Meitnerium</t>
  </si>
  <si>
    <t xml:space="preserve">Ds</t>
  </si>
  <si>
    <t xml:space="preserve">Darmstadtium </t>
  </si>
  <si>
    <t xml:space="preserve">Rg</t>
  </si>
  <si>
    <t xml:space="preserve">Roentgenium </t>
  </si>
  <si>
    <t xml:space="preserve">Cn</t>
  </si>
  <si>
    <t xml:space="preserve">Copernicium </t>
  </si>
  <si>
    <t xml:space="preserve">Nh</t>
  </si>
  <si>
    <t xml:space="preserve">Nihonium</t>
  </si>
  <si>
    <t xml:space="preserve">Fl</t>
  </si>
  <si>
    <t xml:space="preserve">Flerovium</t>
  </si>
  <si>
    <t xml:space="preserve">Mc</t>
  </si>
  <si>
    <t xml:space="preserve">Moscovium</t>
  </si>
  <si>
    <t xml:space="preserve">Lv</t>
  </si>
  <si>
    <t xml:space="preserve">Livermorium</t>
  </si>
  <si>
    <t xml:space="preserve">Ts</t>
  </si>
  <si>
    <t xml:space="preserve">Tennessine</t>
  </si>
  <si>
    <t xml:space="preserve">Og</t>
  </si>
  <si>
    <t xml:space="preserve">Oganesson</t>
  </si>
  <si>
    <t xml:space="preserve">id</t>
  </si>
  <si>
    <t xml:space="preserve">reference_property</t>
  </si>
  <si>
    <t xml:space="preserve">Distinction</t>
  </si>
  <si>
    <t xml:space="preserve">CO2</t>
  </si>
  <si>
    <t xml:space="preserve">Carbon dioxyde</t>
  </si>
  <si>
    <t xml:space="preserve">CH4</t>
  </si>
  <si>
    <t xml:space="preserve">methane</t>
  </si>
  <si>
    <t xml:space="preserve">C n.e.s.</t>
  </si>
  <si>
    <t xml:space="preserve">other carbon</t>
  </si>
  <si>
    <t xml:space="preserve">n.e.s.</t>
  </si>
  <si>
    <t xml:space="preserve">C_bio</t>
  </si>
  <si>
    <t xml:space="preserve">C_fossil</t>
  </si>
  <si>
    <t xml:space="preserve">Fe n.e.s.</t>
  </si>
  <si>
    <t xml:space="preserve">Inertes</t>
  </si>
  <si>
    <t xml:space="preserve">N2</t>
  </si>
  <si>
    <t xml:space="preserve">N2O</t>
  </si>
  <si>
    <t xml:space="preserve">Nitrous oxide</t>
  </si>
  <si>
    <t xml:space="preserve">NH3</t>
  </si>
  <si>
    <t xml:space="preserve">Ammonia</t>
  </si>
  <si>
    <t xml:space="preserve">He n.e.s.</t>
  </si>
  <si>
    <t xml:space="preserve">Li n.e.s.</t>
  </si>
  <si>
    <t xml:space="preserve">Be n.e.s.</t>
  </si>
  <si>
    <t xml:space="preserve">B n.e.s.</t>
  </si>
  <si>
    <t xml:space="preserve">Ne n.e.s.</t>
  </si>
  <si>
    <t xml:space="preserve">Si n.e.s.</t>
  </si>
  <si>
    <t xml:space="preserve">Sc n.e.s.</t>
  </si>
  <si>
    <t xml:space="preserve">Ti n.e.s.</t>
  </si>
  <si>
    <t xml:space="preserve">V n.e.s.</t>
  </si>
  <si>
    <t xml:space="preserve">Ga n.e.s.</t>
  </si>
  <si>
    <t xml:space="preserve">Ge n.e.s.</t>
  </si>
  <si>
    <t xml:space="preserve">Se n.e.s.</t>
  </si>
  <si>
    <t xml:space="preserve">Br n.e.s.</t>
  </si>
  <si>
    <t xml:space="preserve">Kr n.e.s.</t>
  </si>
  <si>
    <t xml:space="preserve">Rb n.e.s.</t>
  </si>
  <si>
    <t xml:space="preserve">Sr n.e.s.</t>
  </si>
  <si>
    <t xml:space="preserve">Y n.e.s.</t>
  </si>
  <si>
    <t xml:space="preserve">Zr n.e.s.</t>
  </si>
  <si>
    <t xml:space="preserve">Nb n.e.s.</t>
  </si>
  <si>
    <t xml:space="preserve">Tc n.e.s.</t>
  </si>
  <si>
    <t xml:space="preserve">Ru n.e.s.</t>
  </si>
  <si>
    <t xml:space="preserve">Rh n.e.s.</t>
  </si>
  <si>
    <t xml:space="preserve">Pd n.e.s.</t>
  </si>
  <si>
    <t xml:space="preserve">In n.e.s.</t>
  </si>
  <si>
    <t xml:space="preserve">Sn n.e.s.</t>
  </si>
  <si>
    <t xml:space="preserve">Sb n.e.s.</t>
  </si>
  <si>
    <t xml:space="preserve">Te n.e.s.</t>
  </si>
  <si>
    <t xml:space="preserve">I n.e.s.</t>
  </si>
  <si>
    <t xml:space="preserve">Xe n.e.s.</t>
  </si>
  <si>
    <t xml:space="preserve">Cs n.e.s.</t>
  </si>
  <si>
    <t xml:space="preserve">Ba n.e.s.</t>
  </si>
  <si>
    <t xml:space="preserve">La n.e.s.</t>
  </si>
  <si>
    <t xml:space="preserve">Ce n.e.s.</t>
  </si>
  <si>
    <t xml:space="preserve">Pr n.e.s.</t>
  </si>
  <si>
    <t xml:space="preserve">Nd n.e.s.</t>
  </si>
  <si>
    <t xml:space="preserve">Pm n.e.s.</t>
  </si>
  <si>
    <t xml:space="preserve">Sm n.e.s.</t>
  </si>
  <si>
    <t xml:space="preserve">Eu n.e.s.</t>
  </si>
  <si>
    <t xml:space="preserve">Gd n.e.s.</t>
  </si>
  <si>
    <t xml:space="preserve">Tb n.e.s.</t>
  </si>
  <si>
    <t xml:space="preserve">Dy n.e.s.</t>
  </si>
  <si>
    <t xml:space="preserve">Ho n.e.s.</t>
  </si>
  <si>
    <t xml:space="preserve">Er n.e.s.</t>
  </si>
  <si>
    <t xml:space="preserve">Tm n.e.s.</t>
  </si>
  <si>
    <t xml:space="preserve">Yb n.e.s.</t>
  </si>
  <si>
    <t xml:space="preserve">Lu n.e.s.</t>
  </si>
  <si>
    <t xml:space="preserve">Hf n.e.s.</t>
  </si>
  <si>
    <t xml:space="preserve">Ta n.e.s.</t>
  </si>
  <si>
    <t xml:space="preserve">W n.e.s.</t>
  </si>
  <si>
    <t xml:space="preserve">Re n.e.s.</t>
  </si>
  <si>
    <t xml:space="preserve">Os n.e.s.</t>
  </si>
  <si>
    <t xml:space="preserve">Ir n.e.s.</t>
  </si>
  <si>
    <t xml:space="preserve">Pt n.e.s.</t>
  </si>
  <si>
    <t xml:space="preserve">Au n.e.s.</t>
  </si>
  <si>
    <t xml:space="preserve">Tl n.e.s.</t>
  </si>
  <si>
    <t xml:space="preserve">Bi n.e.s.</t>
  </si>
  <si>
    <t xml:space="preserve">Po n.e.s.</t>
  </si>
  <si>
    <t xml:space="preserve">At n.e.s.</t>
  </si>
  <si>
    <t xml:space="preserve">Rn n.e.s.</t>
  </si>
  <si>
    <t xml:space="preserve">Fr n.e.s.</t>
  </si>
  <si>
    <t xml:space="preserve">Ra n.e.s.</t>
  </si>
  <si>
    <t xml:space="preserve">Ac n.e.s.</t>
  </si>
  <si>
    <t xml:space="preserve">Th n.e.s.</t>
  </si>
  <si>
    <t xml:space="preserve">Pa n.e.s.</t>
  </si>
  <si>
    <t xml:space="preserve">U n.e.s.</t>
  </si>
  <si>
    <t xml:space="preserve">Np n.e.s.</t>
  </si>
  <si>
    <t xml:space="preserve">Pu n.e.s.</t>
  </si>
  <si>
    <t xml:space="preserve">Am n.e.s.</t>
  </si>
  <si>
    <t xml:space="preserve">Cm n.e.s.</t>
  </si>
  <si>
    <t xml:space="preserve">Bk n.e.s.</t>
  </si>
  <si>
    <t xml:space="preserve">Cf n.e.s.</t>
  </si>
  <si>
    <t xml:space="preserve">Es n.e.s.</t>
  </si>
  <si>
    <t xml:space="preserve">Fm n.e.s.</t>
  </si>
  <si>
    <t xml:space="preserve">Md n.e.s.</t>
  </si>
  <si>
    <t xml:space="preserve">No n.e.s.</t>
  </si>
  <si>
    <t xml:space="preserve">Lr n.e.s.</t>
  </si>
  <si>
    <t xml:space="preserve">Rf n.e.s.</t>
  </si>
  <si>
    <t xml:space="preserve">Db n.e.s.</t>
  </si>
  <si>
    <t xml:space="preserve">Sg n.e.s.</t>
  </si>
  <si>
    <t xml:space="preserve">Bh n.e.s.</t>
  </si>
  <si>
    <t xml:space="preserve">Hs n.e.s.</t>
  </si>
  <si>
    <t xml:space="preserve">Mt n.e.s.</t>
  </si>
  <si>
    <t xml:space="preserve">Ds n.e.s.</t>
  </si>
  <si>
    <t xml:space="preserve">Rg n.e.s.</t>
  </si>
  <si>
    <t xml:space="preserve">Cn n.e.s.</t>
  </si>
  <si>
    <t xml:space="preserve">Nh n.e.s.</t>
  </si>
  <si>
    <t xml:space="preserve">Fl n.e.s.</t>
  </si>
  <si>
    <t xml:space="preserve">Mc n.e.s.</t>
  </si>
  <si>
    <t xml:space="preserve">Lv n.e.s.</t>
  </si>
  <si>
    <t xml:space="preserve">Ts n.e.s.</t>
  </si>
  <si>
    <t xml:space="preserve">Og n.e.s.</t>
  </si>
  <si>
    <t xml:space="preserve">productId</t>
  </si>
  <si>
    <t xml:space="preserve">Background Product Id</t>
  </si>
  <si>
    <t xml:space="preserve">Background Source Id</t>
  </si>
  <si>
    <t xml:space="preserve">ProxyComment</t>
  </si>
  <si>
    <t xml:space="preserve">A-01</t>
  </si>
  <si>
    <t xml:space="preserve">Journaux</t>
  </si>
  <si>
    <t xml:space="preserve">Total mass [kg]</t>
  </si>
  <si>
    <t xml:space="preserve">A-02</t>
  </si>
  <si>
    <t xml:space="preserve">Publications_et_circulaires_en_papier_journal</t>
  </si>
  <si>
    <t xml:space="preserve">A-03</t>
  </si>
  <si>
    <t xml:space="preserve">Revues_et_magazines</t>
  </si>
  <si>
    <t xml:space="preserve">A-04</t>
  </si>
  <si>
    <t xml:space="preserve">Catalogues_et_documents_reliés</t>
  </si>
  <si>
    <t xml:space="preserve">A-05</t>
  </si>
  <si>
    <t xml:space="preserve">Bottins</t>
  </si>
  <si>
    <t xml:space="preserve">A-06</t>
  </si>
  <si>
    <t xml:space="preserve">Papier_a_usage_general_/_Papier_de_bureau</t>
  </si>
  <si>
    <t xml:space="preserve">A-07</t>
  </si>
  <si>
    <t xml:space="preserve">Autres_imprimes</t>
  </si>
  <si>
    <t xml:space="preserve">A-08</t>
  </si>
  <si>
    <t xml:space="preserve">Livres</t>
  </si>
  <si>
    <t xml:space="preserve">A-09</t>
  </si>
  <si>
    <t xml:space="preserve">Autres_imprimes_non_vises_par_EEQ</t>
  </si>
  <si>
    <t xml:space="preserve">B-01</t>
  </si>
  <si>
    <t xml:space="preserve">Carton_ondule</t>
  </si>
  <si>
    <t xml:space="preserve">B-02</t>
  </si>
  <si>
    <t xml:space="preserve">Sacs_d'emplettes_de_papier_kraft</t>
  </si>
  <si>
    <t xml:space="preserve">B-03</t>
  </si>
  <si>
    <t xml:space="preserve">Emballages_de_papier_kraft</t>
  </si>
  <si>
    <t xml:space="preserve">B-04</t>
  </si>
  <si>
    <t xml:space="preserve">Carton_presse</t>
  </si>
  <si>
    <t xml:space="preserve">B-05</t>
  </si>
  <si>
    <t xml:space="preserve">Carton_plat_d'emballage</t>
  </si>
  <si>
    <t xml:space="preserve">B-06</t>
  </si>
  <si>
    <t xml:space="preserve">Autres_emballages_de_papier</t>
  </si>
  <si>
    <t xml:space="preserve">B-07</t>
  </si>
  <si>
    <t xml:space="preserve">Contenants_multicouches</t>
  </si>
  <si>
    <t xml:space="preserve">B-08</t>
  </si>
  <si>
    <t xml:space="preserve">Contenants_lamines</t>
  </si>
  <si>
    <t xml:space="preserve">B-09</t>
  </si>
  <si>
    <t xml:space="preserve">Papier_lamine</t>
  </si>
  <si>
    <t xml:space="preserve">B-10</t>
  </si>
  <si>
    <t xml:space="preserve">Contenants_composites</t>
  </si>
  <si>
    <t xml:space="preserve">B-11</t>
  </si>
  <si>
    <t xml:space="preserve">Tetra_Pak_et_autres_contenants_aseptiques_multicouches</t>
  </si>
  <si>
    <t xml:space="preserve">B-12</t>
  </si>
  <si>
    <t xml:space="preserve">Contenants_et_emballages_en_bois</t>
  </si>
  <si>
    <t xml:space="preserve">C-01</t>
  </si>
  <si>
    <t xml:space="preserve">Bouteilles_consignees_de_boisson_alcoolisee</t>
  </si>
  <si>
    <t xml:space="preserve">C-02</t>
  </si>
  <si>
    <t xml:space="preserve">Bouteilles_consignees_de_boisson_non_alcoolisee</t>
  </si>
  <si>
    <t xml:space="preserve">C-03</t>
  </si>
  <si>
    <t xml:space="preserve">Bouteilles_non_consignees_de_boisson_alcoolisee</t>
  </si>
  <si>
    <t xml:space="preserve">C-04</t>
  </si>
  <si>
    <t xml:space="preserve">Bouteilles_non_consignees_de_boisson_non_alcoolisee</t>
  </si>
  <si>
    <t xml:space="preserve">C-05</t>
  </si>
  <si>
    <t xml:space="preserve">Contenants_alimentaires</t>
  </si>
  <si>
    <t xml:space="preserve">C-06</t>
  </si>
  <si>
    <t xml:space="preserve">Verre_plat,_gres,_ceramique_et_autre_verre</t>
  </si>
  <si>
    <t xml:space="preserve">D-01</t>
  </si>
  <si>
    <t xml:space="preserve">Canettes_consignees</t>
  </si>
  <si>
    <t xml:space="preserve">D-02</t>
  </si>
  <si>
    <t xml:space="preserve">Canettes_de_boisson_en_aluminium_non_consignees</t>
  </si>
  <si>
    <t xml:space="preserve">D-03</t>
  </si>
  <si>
    <t xml:space="preserve">Autres_emballages_en_aluminium_rigide</t>
  </si>
  <si>
    <t xml:space="preserve">D-04</t>
  </si>
  <si>
    <t xml:space="preserve">Papier_aluminium_et_contenants_en_metal</t>
  </si>
  <si>
    <t xml:space="preserve">D-05</t>
  </si>
  <si>
    <t xml:space="preserve">Aerosols_et_tubes_metalliques_acier</t>
  </si>
  <si>
    <t xml:space="preserve">D-06</t>
  </si>
  <si>
    <t xml:space="preserve">Autres_contenants_et_emballages_non_consignes_en_metal</t>
  </si>
  <si>
    <t xml:space="preserve">D-07</t>
  </si>
  <si>
    <t xml:space="preserve">Autres_metaux</t>
  </si>
  <si>
    <t xml:space="preserve">E-01</t>
  </si>
  <si>
    <t xml:space="preserve">Bouteilles_de_boisson_consignees</t>
  </si>
  <si>
    <t xml:space="preserve">E-02</t>
  </si>
  <si>
    <t xml:space="preserve">Bouteilles_d'eau_a_remplissage_unique</t>
  </si>
  <si>
    <t xml:space="preserve">E-03</t>
  </si>
  <si>
    <t xml:space="preserve">Bouteilles_de_boisson_non_consignees_1_transparentes_clair_bleu_ou_vert_pale</t>
  </si>
  <si>
    <t xml:space="preserve">E-04</t>
  </si>
  <si>
    <t xml:space="preserve">Bouteilles_et_contenants_avec_bouchons_1_transparents_clair_bleu_ou_vert_pale</t>
  </si>
  <si>
    <t xml:space="preserve">E-05</t>
  </si>
  <si>
    <t xml:space="preserve">Bouteilles_de_boisson_non_consignees_1_opaques_ou_transparentes_autres_que_clair_bleu_ou_vert_pale</t>
  </si>
  <si>
    <t xml:space="preserve">E-06</t>
  </si>
  <si>
    <t xml:space="preserve">Bouteilles_et_contenants_avec_bouchons_1_opaques_ou_transparents_autres_que_clair,_bleu_ou_vert_pale</t>
  </si>
  <si>
    <t xml:space="preserve">E-07</t>
  </si>
  <si>
    <t xml:space="preserve">Autres_emballages_1_opaques_ou_transparents_autres_que_clair,_bleu_ou_vert_pale</t>
  </si>
  <si>
    <t xml:space="preserve">E-08</t>
  </si>
  <si>
    <t xml:space="preserve">Autres_emballages_1_transparents_-_clair,_bleu_ou_vert_pale</t>
  </si>
  <si>
    <t xml:space="preserve">E-09</t>
  </si>
  <si>
    <t xml:space="preserve">Bouteilles_de_boisson_2</t>
  </si>
  <si>
    <t xml:space="preserve">E-10</t>
  </si>
  <si>
    <t xml:space="preserve">Bouteilles_et_contenants_à_bouchon_2</t>
  </si>
  <si>
    <t xml:space="preserve">E-11</t>
  </si>
  <si>
    <t xml:space="preserve">Autres_emballages_2</t>
  </si>
  <si>
    <t xml:space="preserve">E-12</t>
  </si>
  <si>
    <t xml:space="preserve">Bouteilles_et_contenants_alimentaires_et_autres_3</t>
  </si>
  <si>
    <t xml:space="preserve">E-13</t>
  </si>
  <si>
    <t xml:space="preserve">Plastique_rigide_4</t>
  </si>
  <si>
    <t xml:space="preserve">E-14</t>
  </si>
  <si>
    <t xml:space="preserve">Plastique_rigide_5</t>
  </si>
  <si>
    <t xml:space="preserve">E-15</t>
  </si>
  <si>
    <t xml:space="preserve">Seaux,_chaudieres_et_couvercles_2_et_5</t>
  </si>
  <si>
    <t xml:space="preserve">E-16</t>
  </si>
  <si>
    <t xml:space="preserve">Autres_emballages_rigides_sans_code_et_plastique_7_non_PLA</t>
  </si>
  <si>
    <t xml:space="preserve">E-17</t>
  </si>
  <si>
    <t xml:space="preserve">Contenants_et_emballages_6_polystyrene_expanse_de_protection</t>
  </si>
  <si>
    <t xml:space="preserve">E-18</t>
  </si>
  <si>
    <t xml:space="preserve">Contenants_et_emballages_6_polystyrene_expanse_alimentaire</t>
  </si>
  <si>
    <t xml:space="preserve">E-19</t>
  </si>
  <si>
    <t xml:space="preserve">Contenants_et_emballages_6_polystyrene_non_expanse</t>
  </si>
  <si>
    <t xml:space="preserve">E-20</t>
  </si>
  <si>
    <t xml:space="preserve">Sachets_autoportants_stand-up_pouches</t>
  </si>
  <si>
    <t xml:space="preserve">E-21</t>
  </si>
  <si>
    <t xml:space="preserve">Autres_sacs_lms_plastique_et_lamines</t>
  </si>
  <si>
    <t xml:space="preserve">E-22</t>
  </si>
  <si>
    <t xml:space="preserve">Pellicules_et_sacs_d'emballage_2_et_4</t>
  </si>
  <si>
    <t xml:space="preserve">E-23</t>
  </si>
  <si>
    <t xml:space="preserve">Sacs_d'emplettes_degradables</t>
  </si>
  <si>
    <t xml:space="preserve">E-24</t>
  </si>
  <si>
    <t xml:space="preserve">Sacs_d'emplettes_non_degradables</t>
  </si>
  <si>
    <t xml:space="preserve">E-25</t>
  </si>
  <si>
    <t xml:space="preserve">Polylactiques_PLA_et_autres_plastiques_degradables</t>
  </si>
  <si>
    <t xml:space="preserve">E-26</t>
  </si>
  <si>
    <t xml:space="preserve">Autres_films_plastique_non-emballage</t>
  </si>
  <si>
    <t xml:space="preserve">E-27</t>
  </si>
  <si>
    <t xml:space="preserve">Autres_plastiques</t>
  </si>
  <si>
    <t xml:space="preserve">F-01</t>
  </si>
  <si>
    <t xml:space="preserve">Herbes</t>
  </si>
  <si>
    <t xml:space="preserve">F-02</t>
  </si>
  <si>
    <t xml:space="preserve">Feuilles</t>
  </si>
  <si>
    <t xml:space="preserve">F-03</t>
  </si>
  <si>
    <t xml:space="preserve">Autres_residus_de_jardin</t>
  </si>
  <si>
    <t xml:space="preserve">F-04</t>
  </si>
  <si>
    <t xml:space="preserve">Residus_de_table</t>
  </si>
  <si>
    <t xml:space="preserve">F-05</t>
  </si>
  <si>
    <t xml:space="preserve">Autres_matieres_compostables_pouvant_etre_acceptees_dans_une_collecte_de_3e_voie</t>
  </si>
  <si>
    <t xml:space="preserve">G-01</t>
  </si>
  <si>
    <t xml:space="preserve">Couches_jetables</t>
  </si>
  <si>
    <t xml:space="preserve">G-02</t>
  </si>
  <si>
    <t xml:space="preserve">Autres_matieres_compostables_generalement_non_acceptees_dans_une_collecte_de_3e_voie</t>
  </si>
  <si>
    <t xml:space="preserve">H-01</t>
  </si>
  <si>
    <t xml:space="preserve">Gros_et_petits_appareils_electroménagers,_appareils_de_refrigeration_et_outils_electriques</t>
  </si>
  <si>
    <t xml:space="preserve">H-02</t>
  </si>
  <si>
    <t xml:space="preserve">Autres_meubles_et_encombrants_et_autres_articles_de_maison</t>
  </si>
  <si>
    <t xml:space="preserve">H-03</t>
  </si>
  <si>
    <t xml:space="preserve">Bois_d'œuvre</t>
  </si>
  <si>
    <t xml:space="preserve">H-04</t>
  </si>
  <si>
    <t xml:space="preserve">Autres_residus_de_CRD</t>
  </si>
  <si>
    <t xml:space="preserve">H-05</t>
  </si>
  <si>
    <t xml:space="preserve">Residus_domestiques_dangereux</t>
  </si>
  <si>
    <t xml:space="preserve">H-06</t>
  </si>
  <si>
    <t xml:space="preserve">Textiles_et_chaussures</t>
  </si>
  <si>
    <t xml:space="preserve">G-03</t>
  </si>
  <si>
    <t xml:space="preserve">Objets_divers</t>
  </si>
  <si>
    <t xml:space="preserve">G-04</t>
  </si>
  <si>
    <t xml:space="preserve">Autres_matieres_résiduelles</t>
  </si>
  <si>
    <t xml:space="preserve">H-07</t>
  </si>
  <si>
    <t xml:space="preserve">Objets_electroniques</t>
  </si>
  <si>
    <t xml:space="preserve">H-08</t>
  </si>
  <si>
    <t xml:space="preserve">Pneus</t>
  </si>
  <si>
    <t xml:space="preserve">H-09</t>
  </si>
  <si>
    <t xml:space="preserve">Beton</t>
  </si>
  <si>
    <t xml:space="preserve">H-10</t>
  </si>
  <si>
    <t xml:space="preserve">Bardeau_d'asphalte</t>
  </si>
  <si>
    <t xml:space="preserve">H-11</t>
  </si>
  <si>
    <t xml:space="preserve">Brique</t>
  </si>
  <si>
    <t xml:space="preserve">T2-01</t>
  </si>
  <si>
    <t xml:space="preserve">Leaves</t>
  </si>
  <si>
    <t xml:space="preserve">T2-02</t>
  </si>
  <si>
    <t xml:space="preserve">Grass</t>
  </si>
  <si>
    <t xml:space="preserve">T2-03</t>
  </si>
  <si>
    <t xml:space="preserve">Branches</t>
  </si>
  <si>
    <t xml:space="preserve">T2-04</t>
  </si>
  <si>
    <t xml:space="preserve">Food_Waste</t>
  </si>
  <si>
    <t xml:space="preserve">T2-05</t>
  </si>
  <si>
    <t xml:space="preserve">Wood</t>
  </si>
  <si>
    <t xml:space="preserve">T2-06</t>
  </si>
  <si>
    <t xml:space="preserve">Textiles</t>
  </si>
  <si>
    <t xml:space="preserve">T2-07</t>
  </si>
  <si>
    <t xml:space="preserve">Rubber_Leather</t>
  </si>
  <si>
    <t xml:space="preserve">T2-08</t>
  </si>
  <si>
    <t xml:space="preserve">Newsprint</t>
  </si>
  <si>
    <t xml:space="preserve">T2-09</t>
  </si>
  <si>
    <t xml:space="preserve">Corrugated_Cardobard</t>
  </si>
  <si>
    <t xml:space="preserve">T2-10</t>
  </si>
  <si>
    <t xml:space="preserve">Office_Paper</t>
  </si>
  <si>
    <t xml:space="preserve">T2-11</t>
  </si>
  <si>
    <t xml:space="preserve">Magazines</t>
  </si>
  <si>
    <t xml:space="preserve">T2-12</t>
  </si>
  <si>
    <t xml:space="preserve">3rd_Class_Mail</t>
  </si>
  <si>
    <t xml:space="preserve">T2-13</t>
  </si>
  <si>
    <t xml:space="preserve">Folding_Cartons</t>
  </si>
  <si>
    <t xml:space="preserve">T2-14</t>
  </si>
  <si>
    <t xml:space="preserve">Bags_and_Sacks</t>
  </si>
  <si>
    <t xml:space="preserve">T2-15</t>
  </si>
  <si>
    <t xml:space="preserve">Paper_Non_recyclable</t>
  </si>
  <si>
    <t xml:space="preserve">T2-16</t>
  </si>
  <si>
    <t xml:space="preserve">HDPE_Translucent_Containers</t>
  </si>
  <si>
    <t xml:space="preserve">T2-17</t>
  </si>
  <si>
    <t xml:space="preserve">HDPE_Pigmented_Containers</t>
  </si>
  <si>
    <t xml:space="preserve">T2-18</t>
  </si>
  <si>
    <t xml:space="preserve">PET_Containers</t>
  </si>
  <si>
    <t xml:space="preserve">T2-19</t>
  </si>
  <si>
    <t xml:space="preserve">Plastic_Film</t>
  </si>
  <si>
    <t xml:space="preserve">T2-20</t>
  </si>
  <si>
    <t xml:space="preserve">Plastic_Non_Recyclable</t>
  </si>
  <si>
    <t xml:space="preserve">T2-21</t>
  </si>
  <si>
    <t xml:space="preserve">Ferrous_Cans</t>
  </si>
  <si>
    <t xml:space="preserve">T2-22</t>
  </si>
  <si>
    <t xml:space="preserve">Ferrous_Metal_Others</t>
  </si>
  <si>
    <t xml:space="preserve">T2-23</t>
  </si>
  <si>
    <t xml:space="preserve">Aluminum_Cans</t>
  </si>
  <si>
    <t xml:space="preserve">T2-24</t>
  </si>
  <si>
    <t xml:space="preserve">Aluminum_Foil</t>
  </si>
  <si>
    <t xml:space="preserve">T2-25</t>
  </si>
  <si>
    <t xml:space="preserve">Al_Non_recyclable</t>
  </si>
  <si>
    <t xml:space="preserve">T2-26</t>
  </si>
  <si>
    <t xml:space="preserve">Glass</t>
  </si>
  <si>
    <t xml:space="preserve">T2-27</t>
  </si>
  <si>
    <t xml:space="preserve">Misc_Inorganic</t>
  </si>
  <si>
    <t xml:space="preserve">T2-28</t>
  </si>
  <si>
    <t xml:space="preserve">Misc_Organic</t>
  </si>
  <si>
    <t xml:space="preserve">T25-01</t>
  </si>
  <si>
    <t xml:space="preserve">T25-02</t>
  </si>
  <si>
    <t xml:space="preserve">T25-03</t>
  </si>
  <si>
    <t xml:space="preserve">T25-04</t>
  </si>
  <si>
    <t xml:space="preserve">T25-05</t>
  </si>
  <si>
    <t xml:space="preserve">T25-06</t>
  </si>
  <si>
    <t xml:space="preserve">Miscellaneous_Organic</t>
  </si>
  <si>
    <t xml:space="preserve">T25-07</t>
  </si>
  <si>
    <t xml:space="preserve">T25-08</t>
  </si>
  <si>
    <t xml:space="preserve">Other_Paper_and_Fibers</t>
  </si>
  <si>
    <t xml:space="preserve">T25-09</t>
  </si>
  <si>
    <t xml:space="preserve">Plastic_container</t>
  </si>
  <si>
    <t xml:space="preserve">T25-10</t>
  </si>
  <si>
    <t xml:space="preserve">Other_plastics</t>
  </si>
  <si>
    <t xml:space="preserve">T25-11</t>
  </si>
  <si>
    <t xml:space="preserve">Metal_and_Glass</t>
  </si>
  <si>
    <t xml:space="preserve">T25-12</t>
  </si>
  <si>
    <t xml:space="preserve">Rubber_and_Leather</t>
  </si>
  <si>
    <t xml:space="preserve">T25-13</t>
  </si>
  <si>
    <t xml:space="preserve">Miscellaneous_Inorganic</t>
  </si>
  <si>
    <t xml:space="preserve">overs_1</t>
  </si>
  <si>
    <t xml:space="preserve">Overs_from_PreScreening_1</t>
  </si>
  <si>
    <t xml:space="preserve">unders_1</t>
  </si>
  <si>
    <t xml:space="preserve">Unders_from_PreScreening_1</t>
  </si>
  <si>
    <t xml:space="preserve">overs_2</t>
  </si>
  <si>
    <t xml:space="preserve">Overs_from_PreScreening_2</t>
  </si>
  <si>
    <t xml:space="preserve">unders_2</t>
  </si>
  <si>
    <t xml:space="preserve">Unders_from_PreScreening_2</t>
  </si>
  <si>
    <t xml:space="preserve">amendment_carbon</t>
  </si>
  <si>
    <t xml:space="preserve">Amendment_of_carbon_woodchips</t>
  </si>
  <si>
    <t xml:space="preserve">mixed</t>
  </si>
  <si>
    <t xml:space="preserve">Mixed_input_fed_to_compost</t>
  </si>
  <si>
    <t xml:space="preserve">compost_1</t>
  </si>
  <si>
    <t xml:space="preserve">Compost_1_from_ActiveComposting</t>
  </si>
  <si>
    <t xml:space="preserve">off_gas_1</t>
  </si>
  <si>
    <t xml:space="preserve">OffGases_1_from_ActiveComposting</t>
  </si>
  <si>
    <t xml:space="preserve">off_gas</t>
  </si>
  <si>
    <t xml:space="preserve">OffGas_test</t>
  </si>
  <si>
    <t xml:space="preserve">collecte_orga</t>
  </si>
  <si>
    <t xml:space="preserve">Collecte_Matieres_organiques</t>
  </si>
  <si>
    <t xml:space="preserve">overs_postscreen</t>
  </si>
  <si>
    <t xml:space="preserve">Overs_from_PostScreening</t>
  </si>
  <si>
    <t xml:space="preserve">unders_postscreen</t>
  </si>
  <si>
    <t xml:space="preserve">Unders_from_PostScreening</t>
  </si>
  <si>
    <t xml:space="preserve">kg </t>
  </si>
  <si>
    <t xml:space="preserve">vac_out</t>
  </si>
  <si>
    <t xml:space="preserve">Vacuumed_out</t>
  </si>
  <si>
    <t xml:space="preserve">compost_final</t>
  </si>
  <si>
    <t xml:space="preserve">Final_compost_out</t>
  </si>
  <si>
    <t xml:space="preserve">compost_mature</t>
  </si>
  <si>
    <t xml:space="preserve">Final_mature_compost</t>
  </si>
  <si>
    <t xml:space="preserve">gisement_coll_orga</t>
  </si>
  <si>
    <t xml:space="preserve">Gisement catégorisé issu de la collecte de matiere organique</t>
  </si>
  <si>
    <t xml:space="preserve">electricity</t>
  </si>
  <si>
    <t xml:space="preserve">Energy</t>
  </si>
  <si>
    <t xml:space="preserve">kWh</t>
  </si>
  <si>
    <t xml:space="preserve">d69294d7-8d64-4915-a896-9996a014c410</t>
  </si>
  <si>
    <t xml:space="preserve">bc5a9265-2d59-4dd1-b532-b843edb5f4b0</t>
  </si>
  <si>
    <t xml:space="preserve">diesel</t>
  </si>
  <si>
    <t xml:space="preserve">Volume</t>
  </si>
  <si>
    <t xml:space="preserve">L</t>
  </si>
  <si>
    <t xml:space="preserve">fecdf330-8660-4362-adde-ab5ea197ab1d</t>
  </si>
  <si>
    <t xml:space="preserve">90784a59-3cf7-4ad2-b4cb-528ae6a58bae</t>
  </si>
  <si>
    <t xml:space="preserve">composting_facility_open</t>
  </si>
  <si>
    <t xml:space="preserve">Composting_facility, open</t>
  </si>
  <si>
    <t xml:space="preserve">Unit</t>
  </si>
  <si>
    <t xml:space="preserve">u</t>
  </si>
  <si>
    <t xml:space="preserve">bfdc2268-b9c4-462a-8971-4503ffdfbaf3</t>
  </si>
  <si>
    <t xml:space="preserve">cb4febb0-8dbf-44ba-bace-b4a0fbf98f38</t>
  </si>
  <si>
    <t xml:space="preserve">compost_1_subst</t>
  </si>
  <si>
    <t xml:space="preserve">Substances et elements degradés, retrouvés dans le compost_1</t>
  </si>
  <si>
    <t xml:space="preserve">compost_1_rem</t>
  </si>
  <si>
    <t xml:space="preserve">Goods remaining not degraded  from composting, retrouvés dans le compost_1</t>
  </si>
  <si>
    <t xml:space="preserve">oxygen_from_airtank</t>
  </si>
  <si>
    <t xml:space="preserve">Oxygen_from_airtank</t>
  </si>
  <si>
    <t xml:space="preserve">fertiliser_N</t>
  </si>
  <si>
    <t xml:space="preserve">calcium ammonium nitrate production</t>
  </si>
  <si>
    <t xml:space="preserve">f5707bdf-f7e2-479b-b3ea-99c04de8a927</t>
  </si>
  <si>
    <t xml:space="preserve">72881136-1c43-45fb-bf07-3cc6d0e24020</t>
  </si>
  <si>
    <t xml:space="preserve">Produit : N</t>
  </si>
  <si>
    <t xml:space="preserve">fertiliser_P2O5</t>
  </si>
  <si>
    <t xml:space="preserve">ammonium nitrate phosphate production</t>
  </si>
  <si>
    <t xml:space="preserve">5321a299-0c03-4bfc-9dda-d020456f6b2e</t>
  </si>
  <si>
    <t xml:space="preserve">8342cd50-4d9f-438b-b7c9-cc882d65d01a</t>
  </si>
  <si>
    <t xml:space="preserve">Produit : P2O5</t>
  </si>
  <si>
    <t xml:space="preserve">overs_end</t>
  </si>
  <si>
    <t xml:space="preserve">Overs_from_postscreen</t>
  </si>
  <si>
    <t xml:space="preserve">unders_end</t>
  </si>
  <si>
    <t xml:space="preserve">Unders_from_postscreen</t>
  </si>
  <si>
    <t xml:space="preserve">activityId</t>
  </si>
  <si>
    <t xml:space="preserve">geography</t>
  </si>
  <si>
    <t xml:space="preserve">aggr_1</t>
  </si>
  <si>
    <t xml:space="preserve">Aggrégation Recyc-Qc vers T2_SWOLF</t>
  </si>
  <si>
    <t xml:space="preserve">GLO</t>
  </si>
  <si>
    <t xml:space="preserve">aggr_2</t>
  </si>
  <si>
    <t xml:space="preserve">Aggrégation T2_SWOLF vers T25_SWOLF</t>
  </si>
  <si>
    <t xml:space="preserve">pre_screen_1</t>
  </si>
  <si>
    <t xml:space="preserve">Pre_Screening_1</t>
  </si>
  <si>
    <t xml:space="preserve">QC</t>
  </si>
  <si>
    <t xml:space="preserve">pre_screen_2</t>
  </si>
  <si>
    <t xml:space="preserve">Pre_Screening_2</t>
  </si>
  <si>
    <t xml:space="preserve">act_composting</t>
  </si>
  <si>
    <t xml:space="preserve">Active_Composting</t>
  </si>
  <si>
    <t xml:space="preserve">post_screen</t>
  </si>
  <si>
    <t xml:space="preserve">Post_Screening</t>
  </si>
  <si>
    <t xml:space="preserve">vacuum</t>
  </si>
  <si>
    <t xml:space="preserve">Vacuum</t>
  </si>
  <si>
    <t xml:space="preserve">mixing</t>
  </si>
  <si>
    <t xml:space="preserve">Mixing_before_activecomposting</t>
  </si>
  <si>
    <t xml:space="preserve">substitution_npk</t>
  </si>
  <si>
    <t xml:space="preserve">Substitution_of_fertilizers</t>
  </si>
  <si>
    <t xml:space="preserve">compost_overall</t>
  </si>
  <si>
    <t xml:space="preserve">Compost</t>
  </si>
  <si>
    <t xml:space="preserve">emissionId</t>
  </si>
  <si>
    <t xml:space="preserve">comp</t>
  </si>
  <si>
    <t xml:space="preserve">subcomp</t>
  </si>
  <si>
    <t xml:space="preserve">73ed05cc-9727-4abf-9516-4b5c0fe54a16</t>
  </si>
  <si>
    <t xml:space="preserve">Carbon dioxide, non-fossil</t>
  </si>
  <si>
    <t xml:space="preserve">air</t>
  </si>
  <si>
    <t xml:space="preserve">urban air close to ground</t>
  </si>
  <si>
    <t xml:space="preserve">b53d3744-3629-4219-be20-980865e54031</t>
  </si>
  <si>
    <t xml:space="preserve">Methane</t>
  </si>
  <si>
    <t xml:space="preserve">9990b51b-7023-4700-bca0-1a32ef921f74</t>
  </si>
  <si>
    <t xml:space="preserve">d068f3e2-b033-417b-a359-ca4f25da9731</t>
  </si>
  <si>
    <t xml:space="preserve">Nitrogen oxides</t>
  </si>
  <si>
    <t xml:space="preserve">e3f5fd63-7dcb-41f1-9b8a-a48a8d68bc65</t>
  </si>
  <si>
    <t xml:space="preserve">natural resource</t>
  </si>
  <si>
    <t xml:space="preserve">in air</t>
  </si>
  <si>
    <t xml:space="preserve">af01e564-f816-4906-bd4f-b7c932f926b9</t>
  </si>
  <si>
    <t xml:space="preserve"> </t>
  </si>
  <si>
    <t xml:space="preserve">ID of products inside product</t>
  </si>
  <si>
    <t xml:space="preserve">value</t>
  </si>
  <si>
    <t xml:space="preserve">id good</t>
  </si>
  <si>
    <t xml:space="preserve">Ca n.e.s.</t>
  </si>
  <si>
    <t xml:space="preserve">Cl n.e.s.</t>
  </si>
  <si>
    <t xml:space="preserve">F n.e.s.</t>
  </si>
  <si>
    <t xml:space="preserve">H n.e.s.</t>
  </si>
  <si>
    <t xml:space="preserve">K n.e.s.</t>
  </si>
  <si>
    <t xml:space="preserve">N n.e.s.</t>
  </si>
  <si>
    <t xml:space="preserve">Na n.e.s.</t>
  </si>
  <si>
    <t xml:space="preserve">O n.e.s.</t>
  </si>
  <si>
    <t xml:space="preserve">P n.e.s.</t>
  </si>
  <si>
    <t xml:space="preserve">S n.e.s.</t>
  </si>
  <si>
    <t xml:space="preserve">Ag n.e.s.</t>
  </si>
  <si>
    <t xml:space="preserve">Al n.e.s.</t>
  </si>
  <si>
    <t xml:space="preserve">Ar n.e.s.</t>
  </si>
  <si>
    <t xml:space="preserve">As n.e.s.</t>
  </si>
  <si>
    <t xml:space="preserve">Cd n.e.s.</t>
  </si>
  <si>
    <t xml:space="preserve">Co n.e.s.</t>
  </si>
  <si>
    <t xml:space="preserve">Cr n.e.s.</t>
  </si>
  <si>
    <t xml:space="preserve">Cu n.e.s.</t>
  </si>
  <si>
    <t xml:space="preserve">Hg n.e.s.</t>
  </si>
  <si>
    <t xml:space="preserve">Mg n.e.s.</t>
  </si>
  <si>
    <t xml:space="preserve">Mn n.e.s.</t>
  </si>
  <si>
    <t xml:space="preserve">Mo n.e.s.</t>
  </si>
  <si>
    <t xml:space="preserve">Ni n.e.s.</t>
  </si>
  <si>
    <t xml:space="preserve">Pb n.e.s.</t>
  </si>
  <si>
    <t xml:space="preserve">Zn n.e.s.</t>
  </si>
  <si>
    <t xml:space="preserve">Inertes n.e.s.</t>
  </si>
  <si>
    <t xml:space="preserve">substance</t>
  </si>
  <si>
    <t xml:space="preserve">element</t>
  </si>
  <si>
    <t xml:space="preserve">molar composition</t>
  </si>
  <si>
    <t xml:space="preserve">act_id</t>
  </si>
  <si>
    <t xml:space="preserve">sub_activity</t>
  </si>
  <si>
    <t xml:space="preserve">reference_input_flow</t>
  </si>
  <si>
    <t xml:space="preserve">v</t>
  </si>
  <si>
    <t xml:space="preserve">Overs_1</t>
  </si>
  <si>
    <t xml:space="preserve">Unders_1</t>
  </si>
  <si>
    <t xml:space="preserve">Unders_2</t>
  </si>
  <si>
    <t xml:space="preserve">Destination activity ID</t>
  </si>
  <si>
    <t xml:space="preserve">index</t>
  </si>
  <si>
    <t xml:space="preserve">Emission ID</t>
  </si>
  <si>
    <t xml:space="preserve">Use (U)</t>
  </si>
  <si>
    <t xml:space="preserve">Supply (V)</t>
  </si>
  <si>
    <t xml:space="preserve">Emission (F)</t>
  </si>
  <si>
    <t xml:space="preserve">Comments</t>
  </si>
  <si>
    <t xml:space="preserve">Source</t>
  </si>
  <si>
    <t xml:space="preserve">Uncertainty</t>
  </si>
  <si>
    <t xml:space="preserve">activityNameId</t>
  </si>
  <si>
    <t xml:space="preserve">activityName</t>
  </si>
  <si>
    <t xml:space="preserve">productName</t>
  </si>
  <si>
    <t xml:space="preserve">unitName</t>
  </si>
  <si>
    <t xml:space="preserve">price</t>
  </si>
  <si>
    <t xml:space="preserve">priceUnit</t>
  </si>
  <si>
    <t xml:space="preserve">emissionName</t>
  </si>
  <si>
    <t xml:space="preserve">d21da01e-f96f-4db5-9746-7b70db8a1f2c</t>
  </si>
  <si>
    <t xml:space="preserve">1,4-Butanediol</t>
  </si>
  <si>
    <t xml:space="preserve">low population density, long-term</t>
  </si>
  <si>
    <t xml:space="preserve">90653a29-2f53-4b1b-88bd-9ae2fe64a8d6</t>
  </si>
  <si>
    <t xml:space="preserve">lower stratosphere + upper troposphere</t>
  </si>
  <si>
    <t xml:space="preserve">83bafcf1-2f2e-4a32-89a0-f1f16ca10626</t>
  </si>
  <si>
    <t xml:space="preserve">non-urban air or from high stacks</t>
  </si>
  <si>
    <t xml:space="preserve">09db39be-d9a6-4fc3-8d25-1f80b23e9131</t>
  </si>
  <si>
    <t xml:space="preserve">unspecified</t>
  </si>
  <si>
    <t xml:space="preserve">38a622c6-f086-4763-a952-7c6b3b1c42ba</t>
  </si>
  <si>
    <t xml:space="preserve">9dd01d5b-3677-4822-9cd4-36d21b0e23d1</t>
  </si>
  <si>
    <t xml:space="preserve">1-Pentanol</t>
  </si>
  <si>
    <t xml:space="preserve">b78e77cb-7636-4420-855e-17239984f8b3</t>
  </si>
  <si>
    <t xml:space="preserve">cc9a442f-c96a-4bdc-990d-8b58f72b4e07</t>
  </si>
  <si>
    <t xml:space="preserve">048baf1e-6cdc-44a5-92e2-32d15ff54885</t>
  </si>
  <si>
    <t xml:space="preserve">541a823c-0aad-4dc4-9123-d4af4647d942</t>
  </si>
  <si>
    <t xml:space="preserve">47a8dfb8-f1e5-4460-b7ca-eeea1ca44596</t>
  </si>
  <si>
    <t xml:space="preserve">1-Pentene</t>
  </si>
  <si>
    <t xml:space="preserve">87eed31b-5a6b-43ae-9a02-778a8c6e4ff8</t>
  </si>
  <si>
    <t xml:space="preserve">ccfea48e-0aec-4573-8ed1-fb7c0f1b14ae</t>
  </si>
  <si>
    <t xml:space="preserve">651cbfbb-3027-4e20-a5b0-4a67e86e837a</t>
  </si>
  <si>
    <t xml:space="preserve">8cbaa905-41b0-4327-8403-bf1c8eb25429</t>
  </si>
  <si>
    <t xml:space="preserve">5e98fd60-8da0-4006-9729-4d2797f96302</t>
  </si>
  <si>
    <t xml:space="preserve">2,2,4-Trimethyl pentane</t>
  </si>
  <si>
    <t xml:space="preserve">e6137e6e-84a6-4fa1-a5bf-47c8153d7c05</t>
  </si>
  <si>
    <t xml:space="preserve">2,4-D</t>
  </si>
  <si>
    <t xml:space="preserve">4f777e05-70f9-4a18-a406-d8232325073f</t>
  </si>
  <si>
    <t xml:space="preserve">2,4-D amines</t>
  </si>
  <si>
    <t xml:space="preserve">99e1284e-58fc-4652-bc24-b796b858b24e</t>
  </si>
  <si>
    <t xml:space="preserve">2,4-D ester</t>
  </si>
  <si>
    <t xml:space="preserve">0b2a8601-aa6e-42e9-8091-21cba87c0f0c</t>
  </si>
  <si>
    <t xml:space="preserve">2,4-DB</t>
  </si>
  <si>
    <t xml:space="preserve">cdce48e7-8c92-4214-b948-cc46a4700fe6</t>
  </si>
  <si>
    <t xml:space="preserve">2-Aminopropanol</t>
  </si>
  <si>
    <t xml:space="preserve">c43cede7-18e7-49a4-aaf1-574975584a1b</t>
  </si>
  <si>
    <t xml:space="preserve">b1fa0fe9-49d4-4e1d-9502-3b2d10a313c9</t>
  </si>
  <si>
    <t xml:space="preserve">3e07d825-a98e-4cdc-afa3-610fa7739261</t>
  </si>
  <si>
    <t xml:space="preserve">a0fec60d-3f74-48bf-a2d2-58c30fc13e53</t>
  </si>
  <si>
    <t xml:space="preserve">1b4da243-3412-4425-b44e-dea22e7ebd43</t>
  </si>
  <si>
    <t xml:space="preserve">2-Methyl pentane</t>
  </si>
  <si>
    <t xml:space="preserve">a9afc2a9-9479-44b6-afcf-23f305bb261c</t>
  </si>
  <si>
    <t xml:space="preserve">d25a3860-4be0-4fb3-ae03-2a4f04d2aa6f</t>
  </si>
  <si>
    <t xml:space="preserve">059e6a26-7035-4621-a360-c71c5778eec8</t>
  </si>
  <si>
    <t xml:space="preserve">d5649872-502b-4d23-b882-26d74a9fc4b4</t>
  </si>
  <si>
    <t xml:space="preserve">88be8e1b-1bdc-46e1-9856-187a95b3d872</t>
  </si>
  <si>
    <t xml:space="preserve">2-Methyl-1-propanol</t>
  </si>
  <si>
    <t xml:space="preserve">17f06f74-feea-4b7c-a125-a67ae6e1dcfb</t>
  </si>
  <si>
    <t xml:space="preserve">76e532b3-25c7-487e-894c-5bf306cdd012</t>
  </si>
  <si>
    <t xml:space="preserve">47bee45d-6d2b-48a6-a0c8-fcb8debc7f5d</t>
  </si>
  <si>
    <t xml:space="preserve">e2d860e3-1038-4386-a5f1-25ad75d18bbd</t>
  </si>
  <si>
    <t xml:space="preserve">394c876b-9b10-4f7f-b2b7-4e61b691d7c6</t>
  </si>
  <si>
    <t xml:space="preserve">2-Methyl-2-butene</t>
  </si>
  <si>
    <t xml:space="preserve">f9501098-4a8e-4cd1-98b7-00afbac477a4</t>
  </si>
  <si>
    <t xml:space="preserve">ef762eea-a8a2-49e1-8ed6-a12d325856f4</t>
  </si>
  <si>
    <t xml:space="preserve">4e44630f-4197-4f05-809f-0fef07fba7d3</t>
  </si>
  <si>
    <t xml:space="preserve">79a87f98-0b00-4e7e-86f8-70667307f696</t>
  </si>
  <si>
    <t xml:space="preserve">409f0e6f-f0a5-4011-8f85-938e9a078f92</t>
  </si>
  <si>
    <t xml:space="preserve">2-Nitrobenzoic acid</t>
  </si>
  <si>
    <t xml:space="preserve">878099e4-3f82-4ec6-88c5-1acd745bf01a</t>
  </si>
  <si>
    <t xml:space="preserve">5884b91e-d758-4fb4-9bf0-6cf87093cdb2</t>
  </si>
  <si>
    <t xml:space="preserve">98d3f159-b420-4e43-aab5-4fd093b82429</t>
  </si>
  <si>
    <t xml:space="preserve">90d374f1-b739-45b2-a734-d6bdd8c8dc9c</t>
  </si>
  <si>
    <t xml:space="preserve">326b94e8-aea0-4bd4-8a50-63bf283882a8</t>
  </si>
  <si>
    <t xml:space="preserve">2-Propanol</t>
  </si>
  <si>
    <t xml:space="preserve">1cd24bc8-53b9-43e8-ad58-4438c9244a10</t>
  </si>
  <si>
    <t xml:space="preserve">ed1aff41-0bfc-48b8-8250-840c0a2f6961</t>
  </si>
  <si>
    <t xml:space="preserve">479edec6-763c-49fc-83f8-49780f08cf29</t>
  </si>
  <si>
    <t xml:space="preserve">cbf58f64-9286-406f-8dcb-ef1d81eec980</t>
  </si>
  <si>
    <t xml:space="preserve">dc50265c-a1ea-49b3-97a9-fad6f1da0bd7</t>
  </si>
  <si>
    <t xml:space="preserve">3-Methyl-1-butanol</t>
  </si>
  <si>
    <t xml:space="preserve">f792a1df-81cb-4c95-8c4a-e0626701e619</t>
  </si>
  <si>
    <t xml:space="preserve">8d50d9ce-3284-4a1e-ab89-2a7a931b110d</t>
  </si>
  <si>
    <t xml:space="preserve">1eefb686-03de-4dc8-933a-e3b7459438da</t>
  </si>
  <si>
    <t xml:space="preserve">c6310f81-3859-4c5c-990a-4662ba179693</t>
  </si>
  <si>
    <t xml:space="preserve">497e2e7c-0e1a-4b9f-a94e-d63d5e49dcf8</t>
  </si>
  <si>
    <t xml:space="preserve">4-Methyl-2-pentanone</t>
  </si>
  <si>
    <t xml:space="preserve">a6dd536a-5443-4c23-bb5e-60f0fa68af13</t>
  </si>
  <si>
    <t xml:space="preserve">6ed53433-96ff-402c-87d0-52b8271aadac</t>
  </si>
  <si>
    <t xml:space="preserve">53214ef0-3cc1-4166-920b-08ca46f7c457</t>
  </si>
  <si>
    <t xml:space="preserve">9fbec2f4-6b42-4e63-9573-14e04befe20f</t>
  </si>
  <si>
    <t xml:space="preserve">0555dc8e-d8b3-4da1-afaa-a2144758d590</t>
  </si>
  <si>
    <t xml:space="preserve">Acenaphthene</t>
  </si>
  <si>
    <t xml:space="preserve">f6432a5a-eb35-4395-9909-5d0e17296681</t>
  </si>
  <si>
    <t xml:space="preserve">922a7ccf-3338-43ad-bd7e-77d51df051ab</t>
  </si>
  <si>
    <t xml:space="preserve">1f4afa32-a9a2-40da-8396-104452cb637f</t>
  </si>
  <si>
    <t xml:space="preserve">99c07b66-c039-4896-866d-06abdaa9d46a</t>
  </si>
  <si>
    <t xml:space="preserve">e0346157-1f0e-4bf9-b234-78fead761e18</t>
  </si>
  <si>
    <t xml:space="preserve">Acenaphthylene</t>
  </si>
  <si>
    <t xml:space="preserve">73a06727-fec3-4d8d-8de5-ef1a0cc2c280</t>
  </si>
  <si>
    <t xml:space="preserve">Acephate</t>
  </si>
  <si>
    <t xml:space="preserve">55b0bc94-7f43-4930-ad57-25af3f892757</t>
  </si>
  <si>
    <t xml:space="preserve">Acetaldehyde</t>
  </si>
  <si>
    <t xml:space="preserve">43a7e8ef-634e-401b-92f1-32cb42f226ac</t>
  </si>
  <si>
    <t xml:space="preserve">fc9f9a81-c4b9-4dce-bc20-9f04e05ca2f1</t>
  </si>
  <si>
    <t xml:space="preserve">e3e8f6a2-c45e-4685-9859-698b2eadaf5b</t>
  </si>
  <si>
    <t xml:space="preserve">5ad58fcc-e9ba-4155-a3c9-e4ffb3065a6f</t>
  </si>
  <si>
    <t xml:space="preserve">c3de45a3-e6fd-494e-aa85-d352b478e87b</t>
  </si>
  <si>
    <t xml:space="preserve">Acetamide</t>
  </si>
  <si>
    <t xml:space="preserve">e9acbffd-7211-42e2-9f3a-cd9556e21132</t>
  </si>
  <si>
    <t xml:space="preserve">Acetic acid</t>
  </si>
  <si>
    <t xml:space="preserve">f53378fe-3e04-4f74-9a08-bea2a6332b67</t>
  </si>
  <si>
    <t xml:space="preserve">c5cc0625-6e01-4639-b053-5d1d9d22a53c</t>
  </si>
  <si>
    <t xml:space="preserve">d157416d-db9b-4f88-a7f3-a9a5f1ea88f2</t>
  </si>
  <si>
    <t xml:space="preserve">b9b68c0c-053e-41de-ab72-8dfe1c3f5755</t>
  </si>
  <si>
    <t xml:space="preserve">79e99a7d-9cda-407e-9503-da5419f604b4</t>
  </si>
  <si>
    <t xml:space="preserve">Acetic acid, trifluoro-</t>
  </si>
  <si>
    <t xml:space="preserve">66d62655-2b96-4e07-84f6-721f4a3e3ec7</t>
  </si>
  <si>
    <t xml:space="preserve">1511586a-8f52-4e6b-bb46-78a0c083155f</t>
  </si>
  <si>
    <t xml:space="preserve">d4f209e8-335f-4a2f-9384-77a23fbc7dee</t>
  </si>
  <si>
    <t xml:space="preserve">f38210d0-4566-4497-b270-662028efc0c6</t>
  </si>
  <si>
    <t xml:space="preserve">e91093c9-20df-49c5-8960-eabf05af6832</t>
  </si>
  <si>
    <t xml:space="preserve">Acetone</t>
  </si>
  <si>
    <t xml:space="preserve">a765d3a1-65c6-4544-8487-b3104b937568</t>
  </si>
  <si>
    <t xml:space="preserve">7a2d7097-20c4-4b5f-b2ee-bcfc2ba1378f</t>
  </si>
  <si>
    <t xml:space="preserve">f3d5fd96-8805-4d3d-867a-5df27975b07f</t>
  </si>
  <si>
    <t xml:space="preserve">1f130425-11f9-4ec2-8d2f-d282acaacf5c</t>
  </si>
  <si>
    <t xml:space="preserve">3f49a574-0d24-47ba-a669-c4f2f5be5f13</t>
  </si>
  <si>
    <t xml:space="preserve">Acetonitrile</t>
  </si>
  <si>
    <t xml:space="preserve">590475cc-79c7-4398-8fc7-d2bcb396d9ee</t>
  </si>
  <si>
    <t xml:space="preserve">f7553ef8-e4f3-4b9c-98be-81fa36315648</t>
  </si>
  <si>
    <t xml:space="preserve">ff45a199-18e0-4777-886b-e2d0422d2f82</t>
  </si>
  <si>
    <t xml:space="preserve">56dea244-390c-4f56-8b11-c8de2902816e</t>
  </si>
  <si>
    <t xml:space="preserve">1dcae348-9373-4ff6-96f0-1a444fa96587</t>
  </si>
  <si>
    <t xml:space="preserve">Acifluorfen</t>
  </si>
  <si>
    <t xml:space="preserve">086f6b04-002c-49a0-9be8-2bad29a9c17a</t>
  </si>
  <si>
    <t xml:space="preserve">Acrolein</t>
  </si>
  <si>
    <t xml:space="preserve">1ccc25c5-f5c0-4deb-b34a-965ccbaa4caa</t>
  </si>
  <si>
    <t xml:space="preserve">12840cef-c3b8-4ef2-b7d4-3a73dbd6a280</t>
  </si>
  <si>
    <t xml:space="preserve">d896ced7-a107-4017-b284-d95a8ef3e735</t>
  </si>
  <si>
    <t xml:space="preserve">7ed6dc0d-9c2e-4046-a44b-e8a708c2081e</t>
  </si>
  <si>
    <t xml:space="preserve">10bb4bbd-818f-4dd1-a5bd-5105c43bc32f</t>
  </si>
  <si>
    <t xml:space="preserve">Acrylic acid</t>
  </si>
  <si>
    <t xml:space="preserve">f6b4242e-ea42-4d2e-b7c1-ba8e9ed2fbb0</t>
  </si>
  <si>
    <t xml:space="preserve">4bc5da16-8b02-4a10-acfd-4a696a7a45af</t>
  </si>
  <si>
    <t xml:space="preserve">faca26d7-b953-4dd6-94a9-7b8975452e1c</t>
  </si>
  <si>
    <t xml:space="preserve">42f51ad5-6190-4641-b961-f411310554e9</t>
  </si>
  <si>
    <t xml:space="preserve">4a28ea6f-3e26-4a84-a8f5-6a9596651d1c</t>
  </si>
  <si>
    <t xml:space="preserve">Acrylonitrile</t>
  </si>
  <si>
    <t xml:space="preserve">9808cb2d-f1d8-41c2-9a8d-74d5092b27ec</t>
  </si>
  <si>
    <t xml:space="preserve">5b5879b0-6fbf-48ce-bff3-4292bda15526</t>
  </si>
  <si>
    <t xml:space="preserve">981ea86a-b527-4e29-b092-f16d2cd57e45</t>
  </si>
  <si>
    <t xml:space="preserve">7480ea64-2bb7-4e80-9062-fd24a84335c1</t>
  </si>
  <si>
    <t xml:space="preserve">f06815cb-65ca-4446-8ea9-329ae0252c29</t>
  </si>
  <si>
    <t xml:space="preserve">Actinides, radioactive, unspecified</t>
  </si>
  <si>
    <t xml:space="preserve">kBq</t>
  </si>
  <si>
    <t xml:space="preserve">c56df4f7-c9e9-4892-a045-4b2fb93ff297</t>
  </si>
  <si>
    <t xml:space="preserve">02703daf-fde4-489a-b7e5-523e46151312</t>
  </si>
  <si>
    <t xml:space="preserve">d3805249-4c8b-48fb-8843-a7765b8d1322</t>
  </si>
  <si>
    <t xml:space="preserve">e73fc455-cc04-4328-b961-1e388410e6c5</t>
  </si>
  <si>
    <t xml:space="preserve">285188e4-9b50-4916-a2bd-e7ce44354a88</t>
  </si>
  <si>
    <t xml:space="preserve">Aerosols, radioactive, unspecified</t>
  </si>
  <si>
    <t xml:space="preserve">e0a9f6c3-eee7-4a77-82fd-6a64af73a790</t>
  </si>
  <si>
    <t xml:space="preserve">72958cbe-6609-46c2-bbfa-ee4ab826ca12</t>
  </si>
  <si>
    <t xml:space="preserve">cec0687d-7d44-4e80-ae2f-428c2664d66d</t>
  </si>
  <si>
    <t xml:space="preserve">2e18b480-7449-4800-85bd-c8ad0e649c03</t>
  </si>
  <si>
    <t xml:space="preserve">de9e0841-d02a-4af0-993a-39e32e69e7d3</t>
  </si>
  <si>
    <t xml:space="preserve">Alachlor</t>
  </si>
  <si>
    <t xml:space="preserve">5f1878da-0442-40c8-8c89-7173d67697cf</t>
  </si>
  <si>
    <t xml:space="preserve">Aldehydes, unspecified</t>
  </si>
  <si>
    <t xml:space="preserve">ac07bb4a-a492-45b3-9a07-4ab9b8959374</t>
  </si>
  <si>
    <t xml:space="preserve">ba1a3dcb-d53a-42fd-80f0-d09f3a12ffe2</t>
  </si>
  <si>
    <t xml:space="preserve">06f0a67c-ec68-435d-8c32-0decd79a4a1a</t>
  </si>
  <si>
    <t xml:space="preserve">d961f86b-e36b-4ac6-8cd4-b253e496de79</t>
  </si>
  <si>
    <t xml:space="preserve">46e63323-cffd-4c46-829b-5f006b50fa9b</t>
  </si>
  <si>
    <t xml:space="preserve">Aluminium</t>
  </si>
  <si>
    <t xml:space="preserve">d96403bf-902e-4b7a-8ffd-32fe09e4017f</t>
  </si>
  <si>
    <t xml:space="preserve">9c3bd678-1b2f-4b95-a245-d5c8a3fe326b</t>
  </si>
  <si>
    <t xml:space="preserve">ff65658c-2d39-44a2-b23e-7ec3c644f064</t>
  </si>
  <si>
    <t xml:space="preserve">6f0b8b7c-3888-4174-b7e3-916d42d678ee</t>
  </si>
  <si>
    <t xml:space="preserve">fe7cb994-f3bb-41aa-84ad-5c59290af14a</t>
  </si>
  <si>
    <t xml:space="preserve">Americium-241</t>
  </si>
  <si>
    <t xml:space="preserve">ce11d77b-c85a-4f03-816e-714dcda260ea</t>
  </si>
  <si>
    <t xml:space="preserve">16d7b9bd-003a-493b-8b98-b6986d3cae24</t>
  </si>
  <si>
    <t xml:space="preserve">a0e98cdc-79cd-4073-9713-c1a48238883a</t>
  </si>
  <si>
    <t xml:space="preserve">b8efaa9d-2335-4a90-be50-9e6169133e80</t>
  </si>
  <si>
    <t xml:space="preserve">b157329c-4179-5491-97c4-649900954ffa</t>
  </si>
  <si>
    <t xml:space="preserve">Amine oxide</t>
  </si>
  <si>
    <t xml:space="preserve">2b50f643-216a-412b-a0e5-5946867aa2ed</t>
  </si>
  <si>
    <t xml:space="preserve">8494ed3c-0416-4aa5-b100-51a2b2bcadbd</t>
  </si>
  <si>
    <t xml:space="preserve">0f440cc0-0f74-446d-99d6-8ff0e97a2444</t>
  </si>
  <si>
    <t xml:space="preserve">87883a4e-1e3e-4c9d-90c0-f1bea36f8014</t>
  </si>
  <si>
    <t xml:space="preserve">15c4a3e0-bd82-4acd-a8fd-58aba60dd9fc</t>
  </si>
  <si>
    <t xml:space="preserve">Ammonium carbonate</t>
  </si>
  <si>
    <t xml:space="preserve">73ec59d7-a227-407f-963a-fd9c61b4d172</t>
  </si>
  <si>
    <t xml:space="preserve">d40b90a8-c469-41ec-b5ea-f80386859a82</t>
  </si>
  <si>
    <t xml:space="preserve">c36f35d1-e815-4c85-8686-1a2d21264a2c</t>
  </si>
  <si>
    <t xml:space="preserve">11f41c41-7733-49bc-b1b1-1f00fbade521</t>
  </si>
  <si>
    <t xml:space="preserve">cbad8aa1-0cfe-47c0-b7d5-7b58c433e601</t>
  </si>
  <si>
    <t xml:space="preserve">Aniline</t>
  </si>
  <si>
    <t xml:space="preserve">62e75c30-0933-4b72-a2ec-6251b7ab8e67</t>
  </si>
  <si>
    <t xml:space="preserve">857e2a6a-7072-4d9d-8c0b-707fdc2bcbc0</t>
  </si>
  <si>
    <t xml:space="preserve">ffcd4d88-aeb9-491c-ae8c-98838ed38b4d</t>
  </si>
  <si>
    <t xml:space="preserve">79def65c-bd77-4fb2-a1df-f4dba98ada8f</t>
  </si>
  <si>
    <t xml:space="preserve">fc840c3f-dbcd-4175-9bc2-7fba64501e39</t>
  </si>
  <si>
    <t xml:space="preserve">Anthracene</t>
  </si>
  <si>
    <t xml:space="preserve">412022a7-3c01-4e3c-92c8-d710927ed17a</t>
  </si>
  <si>
    <t xml:space="preserve">Anthranilic acid</t>
  </si>
  <si>
    <t xml:space="preserve">cb03e520-4102-4fdf-a904-300f60e88151</t>
  </si>
  <si>
    <t xml:space="preserve">2cfb7e90-7484-48e3-9885-a7f097965ec3</t>
  </si>
  <si>
    <t xml:space="preserve">9495989d-ca0f-4c30-a301-9aa8ae006676</t>
  </si>
  <si>
    <t xml:space="preserve">48adac6a-94d3-4a65-901b-e60824c01a65</t>
  </si>
  <si>
    <t xml:space="preserve">fa39136e-1ef6-43c1-af68-104da104568d</t>
  </si>
  <si>
    <t xml:space="preserve">49803ad0-9ca2-4507-a5ea-f152d16c929d</t>
  </si>
  <si>
    <t xml:space="preserve">43b29ad9-26dd-4838-b931-6216e55a0120</t>
  </si>
  <si>
    <t xml:space="preserve">77927dac-dea3-429d-a434-d5a71d92c4f7</t>
  </si>
  <si>
    <t xml:space="preserve">3ea5684a-6d64-4f96-8c09-1d90f997c9d4</t>
  </si>
  <si>
    <t xml:space="preserve">6cf5c7e9-f3c2-4185-82bb-b5a1278651da</t>
  </si>
  <si>
    <t xml:space="preserve">Antimony-124</t>
  </si>
  <si>
    <t xml:space="preserve">f7236656-9c75-47c1-8435-26283fd5d58b</t>
  </si>
  <si>
    <t xml:space="preserve">7567e592-ecfa-467b-9f11-19f11786505b</t>
  </si>
  <si>
    <t xml:space="preserve">8cd82962-d90f-409a-b3c1-961d5365d338</t>
  </si>
  <si>
    <t xml:space="preserve">42c74b9e-fa00-4612-a3bf-4951237cba04</t>
  </si>
  <si>
    <t xml:space="preserve">ffe3e89e-e0c1-4665-a6e5-2404c131fe32</t>
  </si>
  <si>
    <t xml:space="preserve">Antimony-125</t>
  </si>
  <si>
    <t xml:space="preserve">b2466957-a3f8-4b31-8b95-3f5e6f99b594</t>
  </si>
  <si>
    <t xml:space="preserve">51f80fcc-8eb0-4912-afbd-e9b9861e45a4</t>
  </si>
  <si>
    <t xml:space="preserve">9314fbdb-a2c7-466b-bb6c-61c89f09df51</t>
  </si>
  <si>
    <t xml:space="preserve">33d0fe96-541c-4ac2-9dd6-51b44dc39676</t>
  </si>
  <si>
    <t xml:space="preserve">38321e66-f6ab-4908-b26f-c17267559bc5</t>
  </si>
  <si>
    <t xml:space="preserve">Argon-40</t>
  </si>
  <si>
    <t xml:space="preserve">3ebed407-1756-4880-8d8e-3b4da32bff8d</t>
  </si>
  <si>
    <t xml:space="preserve">Argon-41</t>
  </si>
  <si>
    <t xml:space="preserve">4af1e88c-f848-4b3e-8a58-20c14de505d9</t>
  </si>
  <si>
    <t xml:space="preserve">091d8157-f865-4858-8ceb-0a49ac84614b</t>
  </si>
  <si>
    <t xml:space="preserve">e7edd471-6c72-42b0-8c2b-8dc9f1959c63</t>
  </si>
  <si>
    <t xml:space="preserve">6006f0fd-a887-4969-8604-85f31be0b420</t>
  </si>
  <si>
    <t xml:space="preserve">ed751c30-a896-44f3-9a83-2a5328dde94d</t>
  </si>
  <si>
    <t xml:space="preserve">cfce0b1a-2873-46fa-8e12-afb5a4213886</t>
  </si>
  <si>
    <t xml:space="preserve">7348af7c-e102-4a03-a0df-efce16469eed</t>
  </si>
  <si>
    <t xml:space="preserve">dc6dbdaa-9f13-43a8-8af5-6603688c6ad0</t>
  </si>
  <si>
    <t xml:space="preserve">f4d0a2c8-efef-4188-85da-5801097389a2</t>
  </si>
  <si>
    <t xml:space="preserve">a592250d-c73f-4c22-8a20-7f3383f996f0</t>
  </si>
  <si>
    <t xml:space="preserve">Arsine</t>
  </si>
  <si>
    <t xml:space="preserve">652c8dd0-bc61-4ac0-b15f-fa9be858645d</t>
  </si>
  <si>
    <t xml:space="preserve">c03dae87-d4f6-4521-b15a-18ef2cbe9ed0</t>
  </si>
  <si>
    <t xml:space="preserve">aeae7594-af69-46d2-9965-8c235b5c3fe3</t>
  </si>
  <si>
    <t xml:space="preserve">fd9a5a38-992d-4c53-9b0f-16a69d37fb54</t>
  </si>
  <si>
    <t xml:space="preserve">c63b5ff6-0ca1-44a0-92ba-f634fb8373ad</t>
  </si>
  <si>
    <t xml:space="preserve">Atrazine</t>
  </si>
  <si>
    <t xml:space="preserve">0b5b83a4-ef85-4db6-a739-79f8e00d5dac</t>
  </si>
  <si>
    <t xml:space="preserve">Azoxystrobin</t>
  </si>
  <si>
    <t xml:space="preserve">cd5898ca-96ad-4038-b7ac-edf544d2800a</t>
  </si>
  <si>
    <t xml:space="preserve">98267bbc-0591-4eb8-8581-2231208c548d</t>
  </si>
  <si>
    <t xml:space="preserve">24cf82f8-c517-4fef-8f93-17519adb855e</t>
  </si>
  <si>
    <t xml:space="preserve">7e246e3a-5cff-43fc-a8e6-02d191424559</t>
  </si>
  <si>
    <t xml:space="preserve">5ffb3576-740f-41ba-814f-8538d83a4b3b</t>
  </si>
  <si>
    <t xml:space="preserve">cb7d14ab-f2f3-4dff-83a6-8803f7018301</t>
  </si>
  <si>
    <t xml:space="preserve">Barium-140</t>
  </si>
  <si>
    <t xml:space="preserve">e00fd1b8-6eb9-43c2-b6b1-2f6a7d37f981</t>
  </si>
  <si>
    <t xml:space="preserve">3f206533-f017-4d74-8a2d-e563af85d417</t>
  </si>
  <si>
    <t xml:space="preserve">634463b6-08b4-487a-b0af-4e19fbe8bca2</t>
  </si>
  <si>
    <t xml:space="preserve">971a80fe-44e3-4b15-8d17-412c1e55acb6</t>
  </si>
  <si>
    <t xml:space="preserve">29bb09a9-cfef-419e-8322-88e2f6bc0558</t>
  </si>
  <si>
    <t xml:space="preserve">Bentazone</t>
  </si>
  <si>
    <t xml:space="preserve">4db9bb53-4bdd-4f32-a6a8-521f58c5825c</t>
  </si>
  <si>
    <t xml:space="preserve">Benz(a)anthracene</t>
  </si>
  <si>
    <t xml:space="preserve">42d936bf-348c-47f9-8812-fdea739d9060</t>
  </si>
  <si>
    <t xml:space="preserve">Benzal chloride</t>
  </si>
  <si>
    <t xml:space="preserve">525f6850-5f34-447c-9132-cde666d12b52</t>
  </si>
  <si>
    <t xml:space="preserve">1b4810ed-4537-4cca-83ef-5af8a04668a7</t>
  </si>
  <si>
    <t xml:space="preserve">a65f4744-f555-44cb-8534-aa5adc72d7a7</t>
  </si>
  <si>
    <t xml:space="preserve">36b918a7-5b52-4853-812a-1f49c2366d89</t>
  </si>
  <si>
    <t xml:space="preserve">a61637db-d0a5-40c3-8969-e0b03509b667</t>
  </si>
  <si>
    <t xml:space="preserve">Benzaldehyde</t>
  </si>
  <si>
    <t xml:space="preserve">4c08620f-1001-43b2-a42c-e02163ac41a3</t>
  </si>
  <si>
    <t xml:space="preserve">2813518d-c4a8-4a8d-9542-f1882ec27c1c</t>
  </si>
  <si>
    <t xml:space="preserve">10d26189-a688-4859-8aa9-525e058a07f0</t>
  </si>
  <si>
    <t xml:space="preserve">fe65f7e4-ee5b-4a6f-9d60-6c2f829dca3f</t>
  </si>
  <si>
    <t xml:space="preserve">8476d82a-4a17-4c08-8339-efd46c6518e7</t>
  </si>
  <si>
    <t xml:space="preserve">Benzene</t>
  </si>
  <si>
    <t xml:space="preserve">eb15dd66-43ee-4161-ac90-2cd6d19ca72d</t>
  </si>
  <si>
    <t xml:space="preserve">5e883a00-04e6-4d96-8dce-12d7117c6635</t>
  </si>
  <si>
    <t xml:space="preserve">28999907-a8a7-45b3-857e-836495ca2aa0</t>
  </si>
  <si>
    <t xml:space="preserve">1bb6a502-3ff9-4a79-835c-5588b855f1f5</t>
  </si>
  <si>
    <t xml:space="preserve">584ffb1c-036d-417b-a9d1-1ec694dc2cdc</t>
  </si>
  <si>
    <t xml:space="preserve">Benzene, dichloro</t>
  </si>
  <si>
    <t xml:space="preserve">77db8bd1-5a69-465c-b51f-7b27fbb574a5</t>
  </si>
  <si>
    <t xml:space="preserve">06a42317-47bd-481d-b5ce-e091843497c6</t>
  </si>
  <si>
    <t xml:space="preserve">b1c36287-329c-49f0-93c2-68246d34007c</t>
  </si>
  <si>
    <t xml:space="preserve">9645e02f-855a-4b9f-8baf-f34a08fa80c4</t>
  </si>
  <si>
    <t xml:space="preserve">e4ef0139-8f7a-4541-a2fb-8316558eb296</t>
  </si>
  <si>
    <t xml:space="preserve">Benzene, ethyl-</t>
  </si>
  <si>
    <t xml:space="preserve">9b60f739-1e89-4e4f-a786-a8086058e656</t>
  </si>
  <si>
    <t xml:space="preserve">e0e605c8-370b-4b5a-b6d4-2e7a5a1a6709</t>
  </si>
  <si>
    <t xml:space="preserve">88ef28f1-cfd5-44a0-ac34-01acf2db84a0</t>
  </si>
  <si>
    <t xml:space="preserve">7c09916a-b6b5-47f5-bdf6-30d2511beb82</t>
  </si>
  <si>
    <t xml:space="preserve">964acc40-2da6-45f1-938b-da109b81d27f</t>
  </si>
  <si>
    <t xml:space="preserve">Benzene, hexachloro-</t>
  </si>
  <si>
    <t xml:space="preserve">fcd292e0-69dd-4093-9cd4-ff2e0b8c9b69</t>
  </si>
  <si>
    <t xml:space="preserve">a028cff8-e405-4d44-8322-f46e9e51bcdc</t>
  </si>
  <si>
    <t xml:space="preserve">04f42988-6207-4d09-a91f-155be8d27eb0</t>
  </si>
  <si>
    <t xml:space="preserve">1af44724-172c-462b-b277-bb4b2fd32c33</t>
  </si>
  <si>
    <t xml:space="preserve">2dfff11a-db89-40be-a64c-83db726cc1be</t>
  </si>
  <si>
    <t xml:space="preserve">Benzene, pentachloro-</t>
  </si>
  <si>
    <t xml:space="preserve">0cc9c42e-7ebf-4f34-b90f-cc3f6b5aa9a6</t>
  </si>
  <si>
    <t xml:space="preserve">7aba10bb-f9e0-4537-a3df-00bd5216e31a</t>
  </si>
  <si>
    <t xml:space="preserve">6a9ef0ac-2a82-492b-90f7-7f8d09995bbc</t>
  </si>
  <si>
    <t xml:space="preserve">c75dd699-08a5-4215-acf5-e618995e768f</t>
  </si>
  <si>
    <t xml:space="preserve">32d98afc-e42b-46f6-b53e-9c949875ab20</t>
  </si>
  <si>
    <t xml:space="preserve">Benzo(a)pyrene</t>
  </si>
  <si>
    <t xml:space="preserve">4e054ec3-6e16-4544-8ef8-69b22414adf6</t>
  </si>
  <si>
    <t xml:space="preserve">81c4ba39-8a3f-4a43-97b4-401605bbebf5</t>
  </si>
  <si>
    <t xml:space="preserve">5e13c2ab-5466-4ff5-816d-702dfdf25f76</t>
  </si>
  <si>
    <t xml:space="preserve">2cbb504a-ce2f-40e9-9d38-e130e95a1242</t>
  </si>
  <si>
    <t xml:space="preserve">35357464-0d86-4bbd-940f-7d0dd8e5df57</t>
  </si>
  <si>
    <t xml:space="preserve">Benzo(b)fluoranthene</t>
  </si>
  <si>
    <t xml:space="preserve">0605e241-ce98-4c10-8c61-d0a1775cdcb0</t>
  </si>
  <si>
    <t xml:space="preserve">Benzo(ghi)perylene</t>
  </si>
  <si>
    <t xml:space="preserve">cc5f1637-8aa5-442f-a8c6-43c8739944a0</t>
  </si>
  <si>
    <t xml:space="preserve">Benzo(k)fluoranthene</t>
  </si>
  <si>
    <t xml:space="preserve">5457df7d-0461-407c-9f09-0338dbff77ef</t>
  </si>
  <si>
    <t xml:space="preserve">a2b3bbb7-53ec-44e5-a184-9689f356235b</t>
  </si>
  <si>
    <t xml:space="preserve">5d4b497b-d265-42d1-a41a-113785a6d694</t>
  </si>
  <si>
    <t xml:space="preserve">20557d93-2b1c-49b5-b6c0-3528a8bbc307</t>
  </si>
  <si>
    <t xml:space="preserve">19e97bd6-d0ae-4208-bd77-d58e5d46d827</t>
  </si>
  <si>
    <t xml:space="preserve">02a7b111-6538-4496-a7cc-e03ea5b649bf</t>
  </si>
  <si>
    <t xml:space="preserve">Boric acid</t>
  </si>
  <si>
    <t xml:space="preserve">3d07d5f0-4ee5-4803-a5a3-6ad8f89bf4b1</t>
  </si>
  <si>
    <t xml:space="preserve">a89fab33-8e9b-4683-9da5-8ebd9c293f49</t>
  </si>
  <si>
    <t xml:space="preserve">f19d8e53-09ab-45fa-a7c1-f7da101dab3e</t>
  </si>
  <si>
    <t xml:space="preserve">d03809fd-dae9-4771-aec0-934a40bbb7e5</t>
  </si>
  <si>
    <t xml:space="preserve">0fbca534-f355-4477-b29f-7b5fc2fbce64</t>
  </si>
  <si>
    <t xml:space="preserve">2ffd26c6-0d3d-4379-9da2-2b578807a14b</t>
  </si>
  <si>
    <t xml:space="preserve">512364ac-5bba-4b77-8712-981247617519</t>
  </si>
  <si>
    <t xml:space="preserve">b8fc2875-a1ce-4a7c-a73d-6ba5b26319d3</t>
  </si>
  <si>
    <t xml:space="preserve">3e419ebc-c0f1-4f85-a544-cf3460a680b6</t>
  </si>
  <si>
    <t xml:space="preserve">454e32e4-09f5-4155-ae4c-7deab810a4b2</t>
  </si>
  <si>
    <t xml:space="preserve">Boron carbide</t>
  </si>
  <si>
    <t xml:space="preserve">5128d076-e7a6-4bba-9a3a-432b2bce31fd</t>
  </si>
  <si>
    <t xml:space="preserve">8a2ab025-c85d-49f0-9229-45f211ea6890</t>
  </si>
  <si>
    <t xml:space="preserve">4c0d236e-e50f-409e-b84b-b053da3394fa</t>
  </si>
  <si>
    <t xml:space="preserve">8aaf5a8b-b753-4d4b-8fe7-2f4969147738</t>
  </si>
  <si>
    <t xml:space="preserve">67a368ef-a4b8-4759-8128-93d080ccd21a</t>
  </si>
  <si>
    <t xml:space="preserve">Boron trifluoride</t>
  </si>
  <si>
    <t xml:space="preserve">0bb03c13-6035-4e0c-88a7-2c7d0bcd4125</t>
  </si>
  <si>
    <t xml:space="preserve">be248928-14cd-4478-978c-13c040c1c4a9</t>
  </si>
  <si>
    <t xml:space="preserve">8e7d8523-2761-4eb1-a55a-958be4b0d23b</t>
  </si>
  <si>
    <t xml:space="preserve">0367c22a-f1f5-48bc-8dea-95e784d19df2</t>
  </si>
  <si>
    <t xml:space="preserve">e52f678d-50c0-4154-b271-5e3b5402e21a</t>
  </si>
  <si>
    <t xml:space="preserve">4cb5fe3d-123b-4ae3-8ead-e3825fddf58e</t>
  </si>
  <si>
    <t xml:space="preserve">d32f9dd8-9514-4c22-8c99-2e108609731f</t>
  </si>
  <si>
    <t xml:space="preserve">c24f5894-f95e-4661-ba76-130397348894</t>
  </si>
  <si>
    <t xml:space="preserve">77c46f0e-c8c0-4bc3-992c-2a9725d49f70</t>
  </si>
  <si>
    <t xml:space="preserve">f2e4394f-61bb-5493-983d-d3d5b7b96a41</t>
  </si>
  <si>
    <t xml:space="preserve">Bromopropane</t>
  </si>
  <si>
    <t xml:space="preserve">8c690557-25ce-48f2-91b9-58126e82aaf6</t>
  </si>
  <si>
    <t xml:space="preserve">Bromoxynil</t>
  </si>
  <si>
    <t xml:space="preserve">0315d855-dff2-44af-bb37-1b855df53d69</t>
  </si>
  <si>
    <t xml:space="preserve">Butadiene</t>
  </si>
  <si>
    <t xml:space="preserve">91c76c8e-d725-475d-9be6-a90b99747075</t>
  </si>
  <si>
    <t xml:space="preserve">8a970585-5ce2-4226-b60d-df1c34649a56</t>
  </si>
  <si>
    <t xml:space="preserve">5064da53-d4ec-44ee-ba23-b20a4f8c4964</t>
  </si>
  <si>
    <t xml:space="preserve">e7140812-ce3d-49f5-97b0-2fef538217a5</t>
  </si>
  <si>
    <t xml:space="preserve">f4a1e10b-ed51-433e-a2f5-2a99f231a5e5</t>
  </si>
  <si>
    <t xml:space="preserve">Butane</t>
  </si>
  <si>
    <t xml:space="preserve">66ff5d22-17e2-4112-b486-3ea4e0191fba</t>
  </si>
  <si>
    <t xml:space="preserve">fa5512cf-04a2-4014-8e96-d3e2d137f0df</t>
  </si>
  <si>
    <t xml:space="preserve">982b0510-96ac-4bcb-a758-e98006b95f4d</t>
  </si>
  <si>
    <t xml:space="preserve">892f10da-7bf2-42b3-b171-221989661a05</t>
  </si>
  <si>
    <t xml:space="preserve">f202452b-5aff-45e6-9001-5fb0a2de7992</t>
  </si>
  <si>
    <t xml:space="preserve">Butanol</t>
  </si>
  <si>
    <t xml:space="preserve">b83f893c-f4b4-473f-bd13-a23fd300c5d1</t>
  </si>
  <si>
    <t xml:space="preserve">cb299863-b63a-45ae-a3fc-b5cc900aaeea</t>
  </si>
  <si>
    <t xml:space="preserve">b9a9b2ad-5db3-47aa-81de-3a48ae9ad4ec</t>
  </si>
  <si>
    <t xml:space="preserve">efc4290c-1404-4e01-8b5e-e75c6d90615c</t>
  </si>
  <si>
    <t xml:space="preserve">767a703f-842a-4b30-87f5-ca62b338a51d</t>
  </si>
  <si>
    <t xml:space="preserve">Butene</t>
  </si>
  <si>
    <t xml:space="preserve">f2663c0c-3618-4095-b8d8-9c3b5c7097fb</t>
  </si>
  <si>
    <t xml:space="preserve">deec5cec-4d8d-492a-9b0c-eab92dd55af8</t>
  </si>
  <si>
    <t xml:space="preserve">91f6386a-af2e-4bbb-a05c-62e4483b1bcf</t>
  </si>
  <si>
    <t xml:space="preserve">53fc7ec9-1b3f-4d89-ade6-8ca2934c1695</t>
  </si>
  <si>
    <t xml:space="preserve">1fee3bdb-480b-4194-b3d7-0e4bd2814c33</t>
  </si>
  <si>
    <t xml:space="preserve">Butyl acetate</t>
  </si>
  <si>
    <t xml:space="preserve">9f7e577d-509b-4bbd-805f-3293a44fdc89</t>
  </si>
  <si>
    <t xml:space="preserve">5c91a905-8d1d-4b84-b207-9b6332b4425e</t>
  </si>
  <si>
    <t xml:space="preserve">da3d541f-0063-4ddf-9b0d-7ba7b8cb6ec7</t>
  </si>
  <si>
    <t xml:space="preserve">108e9780-646b-448d-903b-609b3f65950b</t>
  </si>
  <si>
    <t xml:space="preserve">a5a9c364-1591-4247-8a42-60cfd33696ab</t>
  </si>
  <si>
    <t xml:space="preserve">Butylcarbamate, iodopropynyl</t>
  </si>
  <si>
    <t xml:space="preserve">f40d6828-f6de-43cd-9b93-e78813bdd140</t>
  </si>
  <si>
    <t xml:space="preserve">Butyrolactone</t>
  </si>
  <si>
    <t xml:space="preserve">ac7e2a8c-bf1a-42c7-b033-179a039dd437</t>
  </si>
  <si>
    <t xml:space="preserve">e8ee3fc4-2890-4d6a-a1df-40c4b48d698b</t>
  </si>
  <si>
    <t xml:space="preserve">17ae628d-e769-4aa3-a20e-9f9bad222bf2</t>
  </si>
  <si>
    <t xml:space="preserve">9036f1b8-4be6-4d97-96d8-c504acdfa2f0</t>
  </si>
  <si>
    <t xml:space="preserve">23eaa36d-add4-4219-961e-ca7104dc0de9</t>
  </si>
  <si>
    <t xml:space="preserve">dd1bbaa1-d1f1-4584-aeb2-6f02bfb04e87</t>
  </si>
  <si>
    <t xml:space="preserve">e2d58f90-9aac-4ac4-87f7-bbd6cfc358e3</t>
  </si>
  <si>
    <t xml:space="preserve">1c5a7322-9261-4d59-a692-adde6c12de92</t>
  </si>
  <si>
    <t xml:space="preserve">36e53653-1338-42c7-816c-f6667809e0b1</t>
  </si>
  <si>
    <t xml:space="preserve">cac53ea3-b11c-47a6-adfd-678672a088e6</t>
  </si>
  <si>
    <t xml:space="preserve">b24b66e6-633c-49bf-a6ce-1e81da0715ce</t>
  </si>
  <si>
    <t xml:space="preserve">15fd8f0f-c3c2-4f63-b8d0-86793a22aacd</t>
  </si>
  <si>
    <t xml:space="preserve">b87016c6-ac91-4414-98ce-fb665e0a6d2e</t>
  </si>
  <si>
    <t xml:space="preserve">a912f450-5233-489b-a2e9-8c029fab480f</t>
  </si>
  <si>
    <t xml:space="preserve">d01e19ca-a74b-4c54-88b8-8effdade14c9</t>
  </si>
  <si>
    <t xml:space="preserve">Calcium hydroxide</t>
  </si>
  <si>
    <t xml:space="preserve">411d78df-01f8-4a5f-8d13-92670620b934</t>
  </si>
  <si>
    <t xml:space="preserve">b605b6eb-8760-4142-b741-2844b00ccbb1</t>
  </si>
  <si>
    <t xml:space="preserve">5c2957fe-5790-4bbe-a7f1-06be8e6fb89a</t>
  </si>
  <si>
    <t xml:space="preserve">03c9b5ac-a8f1-4a10-a0a5-b01f699545d1</t>
  </si>
  <si>
    <t xml:space="preserve">02eb30a8-ed7c-456b-a1fe-2cdffea4fb8d</t>
  </si>
  <si>
    <t xml:space="preserve">Carbaryl</t>
  </si>
  <si>
    <t xml:space="preserve">e259263c-d1f1-449f-bb9b-73c6d0a32a00</t>
  </si>
  <si>
    <t xml:space="preserve">Carbon dioxide, fossil</t>
  </si>
  <si>
    <t xml:space="preserve">16eeda8a-1ea2-408e-ab37-2648495058dd</t>
  </si>
  <si>
    <t xml:space="preserve">aa7cac3a-3625-41d4-bc54-33e2cf11ec46</t>
  </si>
  <si>
    <t xml:space="preserve">349b29d1-3e58-4c66-98b9-9d1a076efd2e</t>
  </si>
  <si>
    <t xml:space="preserve">f9749677-9c9f-4678-ab55-c607dfdc2cb9</t>
  </si>
  <si>
    <t xml:space="preserve">5188df39-2bb8-4826-b469-fa9f86bacc09</t>
  </si>
  <si>
    <t xml:space="preserve">Carbon dioxide, from soil or biomass stock</t>
  </si>
  <si>
    <t xml:space="preserve">indoor</t>
  </si>
  <si>
    <t xml:space="preserve">e1c597cc-14cb-4ebb-af07-7a93a5b77d34</t>
  </si>
  <si>
    <t xml:space="preserve">6d89125e-e9b7-4d7e-a1fc-ada45dbd8815</t>
  </si>
  <si>
    <t xml:space="preserve">78eb1859-abd9-44c6-9ce3-f3b5b33d619c</t>
  </si>
  <si>
    <t xml:space="preserve">e4e9febc-07c1-403d-8d3a-6707bb4d96e6</t>
  </si>
  <si>
    <t xml:space="preserve">e8787b5e-d927-446d-81a9-f56977bbfeb4</t>
  </si>
  <si>
    <t xml:space="preserve">28e1e2d6-97ad-4dfd-932a-9edad36dcab9</t>
  </si>
  <si>
    <t xml:space="preserve">4e1f0bb0-2703-4303-bf86-972d810612cf</t>
  </si>
  <si>
    <t xml:space="preserve">d6235194-e4e6-4548-bfa3-ac095131aef4</t>
  </si>
  <si>
    <t xml:space="preserve">eba59fd6-f37e-41dc-9ca3-c7ea22d602c7</t>
  </si>
  <si>
    <t xml:space="preserve">bb6ef77c-b33e-48b2-b24d-1a5724ed5083</t>
  </si>
  <si>
    <t xml:space="preserve">Carbon disulfide</t>
  </si>
  <si>
    <t xml:space="preserve">a0399529-bdc0-49bc-a09b-9aea421fbd34</t>
  </si>
  <si>
    <t xml:space="preserve">15f9ebbb-b1b5-4bf7-88c6-d99424f5eced</t>
  </si>
  <si>
    <t xml:space="preserve">d94a5a1a-bc06-48fd-b6d9-7477ea65cacd</t>
  </si>
  <si>
    <t xml:space="preserve">14b6726a-44bf-4ad4-b933-02470d84c22a</t>
  </si>
  <si>
    <t xml:space="preserve">49c594c6-b6a8-42a3-95c5-cca812fda80b</t>
  </si>
  <si>
    <t xml:space="preserve">Carbon monoxide, fossil</t>
  </si>
  <si>
    <t xml:space="preserve">a3beb5ac-5149-47f6-a035-53fc5030f10a</t>
  </si>
  <si>
    <t xml:space="preserve">099b36ab-4c03-4587-87f4-2f81e337afb8</t>
  </si>
  <si>
    <t xml:space="preserve">ba2f3f82-c93a-47a5-822a-37ec97495275</t>
  </si>
  <si>
    <t xml:space="preserve">6edcc2df-88a3-48e1-83d8-ffc38d31c35b</t>
  </si>
  <si>
    <t xml:space="preserve">05f6e226-0593-46f5-a788-01fa306e66ad</t>
  </si>
  <si>
    <t xml:space="preserve">Carbon monoxide, from soil or biomass stock</t>
  </si>
  <si>
    <t xml:space="preserve">bd086aa3-312a-47af-a7b2-04fddbf8f01e</t>
  </si>
  <si>
    <t xml:space="preserve">e1da7e11-cc2c-4ea2-a42a-bf558150014b</t>
  </si>
  <si>
    <t xml:space="preserve">68b9b577-90cf-49e4-88bb-a55d80f3ac5d</t>
  </si>
  <si>
    <t xml:space="preserve">69a6c884-39be-444f-a67c-7436a5e66de2</t>
  </si>
  <si>
    <t xml:space="preserve">51c58d09-0699-4d51-80b3-a1bb2b9313e4</t>
  </si>
  <si>
    <t xml:space="preserve">588356df-f3b4-43a7-a76e-c47175a7eae0</t>
  </si>
  <si>
    <t xml:space="preserve">Carbon monoxide, non-fossil</t>
  </si>
  <si>
    <t xml:space="preserve">968495ec-1000-438a-9e11-467776ebb54e</t>
  </si>
  <si>
    <t xml:space="preserve">b821ad93-ba6a-4d74-b6ae-ca12cd9563d7</t>
  </si>
  <si>
    <t xml:space="preserve">2cb2333c-1599-46cf-8435-3dffce627524</t>
  </si>
  <si>
    <t xml:space="preserve">9afa0173-ecbd-4f2c-9c5c-b3128a032812</t>
  </si>
  <si>
    <t xml:space="preserve">284a896f-2aca-496e-9ab2-845525fbbc53</t>
  </si>
  <si>
    <t xml:space="preserve">Carbon-14</t>
  </si>
  <si>
    <t xml:space="preserve">6e7276bb-64f5-4421-8696-b0103b687ddd</t>
  </si>
  <si>
    <t xml:space="preserve">19256c0f-bea8-4e61-9499-8cc2f84953f8</t>
  </si>
  <si>
    <t xml:space="preserve">bfc66f26-0b11-4e6e-9e8c-2bfde24dc23c</t>
  </si>
  <si>
    <t xml:space="preserve">93add24b-0bbf-4903-b3c1-3c695f597c63</t>
  </si>
  <si>
    <t xml:space="preserve">476ff60f-c2a2-43d6-bbe7-b4c4eea6960a</t>
  </si>
  <si>
    <t xml:space="preserve">Carbonyl sulfide</t>
  </si>
  <si>
    <t xml:space="preserve">9f1f46bb-5629-4fd5-bed0-06f58800017a</t>
  </si>
  <si>
    <t xml:space="preserve">Carfentrazone-ethyl</t>
  </si>
  <si>
    <t xml:space="preserve">0ee028c3-80c7-4377-97b1-81f1a732be2c</t>
  </si>
  <si>
    <t xml:space="preserve">Cerium-141</t>
  </si>
  <si>
    <t xml:space="preserve">54ec40c4-c612-43f2-b6bb-222f93fe0771</t>
  </si>
  <si>
    <t xml:space="preserve">7d65e225-0ca3-4467-82f8-a8c09d66eac0</t>
  </si>
  <si>
    <t xml:space="preserve">c9e7bf95-483c-469c-8d21-9012f926b3b0</t>
  </si>
  <si>
    <t xml:space="preserve">d287d8b2-c666-47c1-9f06-70859a070120</t>
  </si>
  <si>
    <t xml:space="preserve">a69a8754-58be-4460-9363-60bc3c84894e</t>
  </si>
  <si>
    <t xml:space="preserve">Cerium-144</t>
  </si>
  <si>
    <t xml:space="preserve">e9935076-7617-4f7d-82dc-e0b842f4a78e</t>
  </si>
  <si>
    <t xml:space="preserve">7828852d-7a75-45ce-9e3b-4c443e3a1a63</t>
  </si>
  <si>
    <t xml:space="preserve">8aed2c21-f23c-4b4b-877e-69c2aa519a47</t>
  </si>
  <si>
    <t xml:space="preserve">a3d2b663-84af-4885-88d9-765624269efa</t>
  </si>
  <si>
    <t xml:space="preserve">8f2b8012-eda6-4f3f-9ae2-8ad10b5866f7</t>
  </si>
  <si>
    <t xml:space="preserve">Cesium-134</t>
  </si>
  <si>
    <t xml:space="preserve">7e4fad26-2081-4b55-8acc-974dafafeed8</t>
  </si>
  <si>
    <t xml:space="preserve">39b3200d-f95a-413a-9c96-6d90345d9dca</t>
  </si>
  <si>
    <t xml:space="preserve">4f2051b8-22e6-4592-8803-1e984f8fa61b</t>
  </si>
  <si>
    <t xml:space="preserve">4233a269-e2a4-4029-b8d5-60be44815587</t>
  </si>
  <si>
    <t xml:space="preserve">62b1a76d-22be-4076-ab47-58597e621ea3</t>
  </si>
  <si>
    <t xml:space="preserve">Cesium-137</t>
  </si>
  <si>
    <t xml:space="preserve">3a08acee-6c03-4335-b14f-4b51a2945a6f</t>
  </si>
  <si>
    <t xml:space="preserve">a9e65945-a4dd-42c2-89cf-81ad2eb6b0fd</t>
  </si>
  <si>
    <t xml:space="preserve">7b87ce50-ede0-40fa-a3ee-5f72553af0e7</t>
  </si>
  <si>
    <t xml:space="preserve">e62cf4c6-73a6-42b8-b0da-88aeac40e6ae</t>
  </si>
  <si>
    <t xml:space="preserve">bf0b5a1e-d1ca-4353-be1e-abc4cc99dec9</t>
  </si>
  <si>
    <t xml:space="preserve">Chloramine</t>
  </si>
  <si>
    <t xml:space="preserve">339edacb-b552-4ac4-b5ed-db6192e1925a</t>
  </si>
  <si>
    <t xml:space="preserve">de8ff400-b20e-4f36-a2c4-ec848b07c84f</t>
  </si>
  <si>
    <t xml:space="preserve">643e2fb1-a875-40a8-aaf5-ea4bde9a4872</t>
  </si>
  <si>
    <t xml:space="preserve">b34d0551-cb9a-4d3f-95ad-2cdb380d5cd1</t>
  </si>
  <si>
    <t xml:space="preserve">85807a72-053a-48bf-8604-47b242211d1f</t>
  </si>
  <si>
    <t xml:space="preserve">Chlorimuron-ethyl</t>
  </si>
  <si>
    <t xml:space="preserve">240ca121-d614-45f7-98fb-e6891559a4d0</t>
  </si>
  <si>
    <t xml:space="preserve">Chlorinated solvents, unspecified</t>
  </si>
  <si>
    <t xml:space="preserve">5370addb-668e-4223-9a58-8ae947807c27</t>
  </si>
  <si>
    <t xml:space="preserve">fb598112-aae8-4185-b71e-0a8f2c631aac</t>
  </si>
  <si>
    <t xml:space="preserve">c76ddd9e-fd9c-47c5-9b95-ad924146f0bb</t>
  </si>
  <si>
    <t xml:space="preserve">39d1390a-ded6-41cb-a536-d47510bf2fbc</t>
  </si>
  <si>
    <t xml:space="preserve">247ac273-60fa-4e21-9408-793f75fa1d37</t>
  </si>
  <si>
    <t xml:space="preserve">f3254744-2459-4052-92cc-e6284c9c883b</t>
  </si>
  <si>
    <t xml:space="preserve">Chloroacetic acid</t>
  </si>
  <si>
    <t xml:space="preserve">666ba6f3-014c-4e96-b660-bcb5daa18798</t>
  </si>
  <si>
    <t xml:space="preserve">3ca7403e-c960-4a4e-a649-ab68b42b65b8</t>
  </si>
  <si>
    <t xml:space="preserve">9eb7a71d-0e15-4cf3-b8db-4b2ccf87380a</t>
  </si>
  <si>
    <t xml:space="preserve">ed38a7d2-ffa5-4c28-9aea-dd9df0d1898b</t>
  </si>
  <si>
    <t xml:space="preserve">78259cf2-1bb2-41ec-941c-9d70909df094</t>
  </si>
  <si>
    <t xml:space="preserve">Chloroform</t>
  </si>
  <si>
    <t xml:space="preserve">98af3079-fb76-488d-8afe-713814e14d36</t>
  </si>
  <si>
    <t xml:space="preserve">fa9b9736-6de8-4bd6-ba22-1bd78c798373</t>
  </si>
  <si>
    <t xml:space="preserve">fbf6ab3a-74e3-4cbe-b61d-959728bdce46</t>
  </si>
  <si>
    <t xml:space="preserve">4cadbc9f-0472-4bb9-a942-df5b90e37878</t>
  </si>
  <si>
    <t xml:space="preserve">b66104c3-8096-4c8d-abbc-cae04770d8d1</t>
  </si>
  <si>
    <t xml:space="preserve">Chlorosilane, trimethyl-</t>
  </si>
  <si>
    <t xml:space="preserve">b0cfe7ff-d676-440b-a113-414b733daaf8</t>
  </si>
  <si>
    <t xml:space="preserve">5ca10fd5-fb77-43ad-969f-c47808244801</t>
  </si>
  <si>
    <t xml:space="preserve">fa442f6a-4fc6-4c57-942b-c84c6c41c8b4</t>
  </si>
  <si>
    <t xml:space="preserve">0131a35d-1d37-46ee-aed2-5ca12ac07ad4</t>
  </si>
  <si>
    <t xml:space="preserve">b8ba284a-9560-40a1-bde9-75943d8c923a</t>
  </si>
  <si>
    <t xml:space="preserve">Chlorosulfonic acid</t>
  </si>
  <si>
    <t xml:space="preserve">514de41e-c977-4ae7-8fe8-86a29791fee4</t>
  </si>
  <si>
    <t xml:space="preserve">db7fd21a-9bfc-4a23-992a-4efefeee99b7</t>
  </si>
  <si>
    <t xml:space="preserve">19e10755-75cf-4518-98c3-624201ac089f</t>
  </si>
  <si>
    <t xml:space="preserve">d46ae140-6502-4335-ab1c-9d6eab19ce78</t>
  </si>
  <si>
    <t xml:space="preserve">0822b867-9dca-4d5a-93c3-319d39b592cd</t>
  </si>
  <si>
    <t xml:space="preserve">Chlorpyrifos</t>
  </si>
  <si>
    <t xml:space="preserve">6b29d83a-c43c-484c-8e73-474a8a22d71e</t>
  </si>
  <si>
    <t xml:space="preserve">2a5ed451-12a2-47db-b4dc-fa0bfbc01d79</t>
  </si>
  <si>
    <t xml:space="preserve">4d40d8e3-9bc7-4ab1-ac5c-4f4a76fda8e5</t>
  </si>
  <si>
    <t xml:space="preserve">e142b577-e934-4085-9a07-3983d4d92afb</t>
  </si>
  <si>
    <t xml:space="preserve">7705f0e1-5b14-44f4-b330-1245b5c7fc08</t>
  </si>
  <si>
    <t xml:space="preserve">af60ad28-ce2b-4ea0-9277-983538e1a739</t>
  </si>
  <si>
    <t xml:space="preserve">Chromium IV</t>
  </si>
  <si>
    <t xml:space="preserve">c2e854f9-fe22-4fe7-9083-cf6d0a8c7254</t>
  </si>
  <si>
    <t xml:space="preserve">Chromium VI</t>
  </si>
  <si>
    <t xml:space="preserve">abbd3b09-a7ec-435a-9d01-34cf8581739e</t>
  </si>
  <si>
    <t xml:space="preserve">03b279a7-4626-4703-a451-d0650599dbd9</t>
  </si>
  <si>
    <t xml:space="preserve">81e17d9a-3e0b-414e-9b2e-eca7e5b3bd4a</t>
  </si>
  <si>
    <t xml:space="preserve">7a59e8d5-cd11-4ee7-b1ca-30979d2b0b3a</t>
  </si>
  <si>
    <t xml:space="preserve">4379a45a-092e-4c8f-8124-6841e920b807</t>
  </si>
  <si>
    <t xml:space="preserve">Chromium-51</t>
  </si>
  <si>
    <t xml:space="preserve">0a4d49cc-8a90-4ca2-8417-468951ae232b</t>
  </si>
  <si>
    <t xml:space="preserve">caffa231-9312-46b9-bbdf-c2782d225ef0</t>
  </si>
  <si>
    <t xml:space="preserve">b7802a4d-3a51-4449-9e1f-39fc663cc646</t>
  </si>
  <si>
    <t xml:space="preserve">8d467324-fa7b-42d5-bee1-6cc260e71693</t>
  </si>
  <si>
    <t xml:space="preserve">c492ac36-a5e1-446c-92c5-110a55654a80</t>
  </si>
  <si>
    <t xml:space="preserve">Chrysene</t>
  </si>
  <si>
    <t xml:space="preserve">b52924d8-e53f-4bd4-bb9e-1902db1784b2</t>
  </si>
  <si>
    <t xml:space="preserve">Clethodim</t>
  </si>
  <si>
    <t xml:space="preserve">5041394a-2d8f-4f9c-b399-a9f3a54ff235</t>
  </si>
  <si>
    <t xml:space="preserve">Cloransulam-methyl</t>
  </si>
  <si>
    <t xml:space="preserve">74eb3f02-09ec-46ce-8ee8-d67d0900136b</t>
  </si>
  <si>
    <t xml:space="preserve">9ce88274-57b6-42ed-a78b-4abef2301865</t>
  </si>
  <si>
    <t xml:space="preserve">b10faa87-2c1d-4f6e-aa65-9f80b376939a</t>
  </si>
  <si>
    <t xml:space="preserve">f0e28a62-ddf9-4c93-af81-676a58c3f2d4</t>
  </si>
  <si>
    <t xml:space="preserve">ca04300a-8338-4601-ba7c-66c10a4f6322</t>
  </si>
  <si>
    <t xml:space="preserve">1f37ae35-463b-476c-9cde-d3e049fa7680</t>
  </si>
  <si>
    <t xml:space="preserve">Cobalt-57</t>
  </si>
  <si>
    <t xml:space="preserve">1070d47d-3834-423e-9603-3626ecc162d8</t>
  </si>
  <si>
    <t xml:space="preserve">2b4a3249-b67a-4858-abf7-24aa1468f298</t>
  </si>
  <si>
    <t xml:space="preserve">1d013cac-a0ec-4c02-936c-053afe24f47f</t>
  </si>
  <si>
    <t xml:space="preserve">4e4a98f5-1db6-4314-a3bd-c098bf410e7e</t>
  </si>
  <si>
    <t xml:space="preserve">2e969e9b-f2e9-4fcc-8962-13a755dc8302</t>
  </si>
  <si>
    <t xml:space="preserve">Cobalt-58</t>
  </si>
  <si>
    <t xml:space="preserve">40526886-fcc3-4059-b025-58e254c03233</t>
  </si>
  <si>
    <t xml:space="preserve">033fb239-a6c7-4486-9f92-f5a80b346778</t>
  </si>
  <si>
    <t xml:space="preserve">70d0e8c8-8c46-4eee-ad05-92f05e8f129e</t>
  </si>
  <si>
    <t xml:space="preserve">7ab5611b-c200-464f-8edf-b7b59ca1889d</t>
  </si>
  <si>
    <t xml:space="preserve">4f9a12c7-74b1-4221-a1e5-5a8235379166</t>
  </si>
  <si>
    <t xml:space="preserve">Cobalt-60</t>
  </si>
  <si>
    <t xml:space="preserve">b4024357-ed17-4b19-9382-91815e67f62b</t>
  </si>
  <si>
    <t xml:space="preserve">441ef9b3-0df0-461b-bd84-358973e0c2ca</t>
  </si>
  <si>
    <t xml:space="preserve">ab4a11c8-14f8-40f1-8c4e-888347bb2546</t>
  </si>
  <si>
    <t xml:space="preserve">16e15fb4-aee8-42b8-a303-70d61a9b723a</t>
  </si>
  <si>
    <t xml:space="preserve">fd153f15-1d16-410a-91fa-04d205e36c43</t>
  </si>
  <si>
    <t xml:space="preserve">3573a5af-88f8-4f74-ade7-cd269cbc4e66</t>
  </si>
  <si>
    <t xml:space="preserve">e336eee7-148a-4d1c-8027-780cbfafa12b</t>
  </si>
  <si>
    <t xml:space="preserve">ec8144d6-d123-43b1-9c17-a295422a0498</t>
  </si>
  <si>
    <t xml:space="preserve">88cde01c-df69-40bb-9b14-6eac71bea5b8</t>
  </si>
  <si>
    <t xml:space="preserve">3b6e56fc-e148-44f1-b489-8c2ff91ebe81</t>
  </si>
  <si>
    <t xml:space="preserve">Cumene</t>
  </si>
  <si>
    <t xml:space="preserve">137f2ebc-8f8b-41fc-9ff6-d32f42565d56</t>
  </si>
  <si>
    <t xml:space="preserve">1a796dc4-5dcb-40da-a609-3a5a40655fad</t>
  </si>
  <si>
    <t xml:space="preserve">a192f5ac-fb5d-4e14-ac11-3c38283da9d0</t>
  </si>
  <si>
    <t xml:space="preserve">35c746fb-2d4a-4d06-9955-1973ce67b74e</t>
  </si>
  <si>
    <t xml:space="preserve">66da73e8-49bd-4171-9fcd-b5e85854aeda</t>
  </si>
  <si>
    <t xml:space="preserve">Curium alpha</t>
  </si>
  <si>
    <t xml:space="preserve">90c20168-5796-42f8-a305-c181b38ec1d4</t>
  </si>
  <si>
    <t xml:space="preserve">f59ba4cd-0354-404c-94c3-905de50980f3</t>
  </si>
  <si>
    <t xml:space="preserve">7545531d-dfc2-446d-9d9b-a0a3dfaa25df</t>
  </si>
  <si>
    <t xml:space="preserve">26328cc0-eaef-49b4-9c42-2396313bbb5e</t>
  </si>
  <si>
    <t xml:space="preserve">fce7f1a7-7b02-4e95-9cee-d95275fbb916</t>
  </si>
  <si>
    <t xml:space="preserve">Curium-242</t>
  </si>
  <si>
    <t xml:space="preserve">e0072fbb-8008-45b7-af36-834606d58cfe</t>
  </si>
  <si>
    <t xml:space="preserve">672719d0-6686-4b8e-891c-0f90e5fd8667</t>
  </si>
  <si>
    <t xml:space="preserve">9dc200b0-6faa-4518-9787-be7db7a9e29a</t>
  </si>
  <si>
    <t xml:space="preserve">32aaf6ef-c3e7-4c81-8e37-4c3c8768454f</t>
  </si>
  <si>
    <t xml:space="preserve">8e11a840-d41d-46eb-8e53-a5b3009c1910</t>
  </si>
  <si>
    <t xml:space="preserve">Curium-244</t>
  </si>
  <si>
    <t xml:space="preserve">f78de285-5fdc-4d33-92bb-d2ecea2b8641</t>
  </si>
  <si>
    <t xml:space="preserve">8a1ce588-d2b5-4fd6-a6db-16378c8f6d06</t>
  </si>
  <si>
    <t xml:space="preserve">8c64a7e7-0f81-410f-a0df-cbea124dd203</t>
  </si>
  <si>
    <t xml:space="preserve">8c7101c8-0542-4e61-b847-c97237b86022</t>
  </si>
  <si>
    <t xml:space="preserve">dd2177a3-a3ae-4b66-98f2-a85153cd9416</t>
  </si>
  <si>
    <t xml:space="preserve">Cyanide</t>
  </si>
  <si>
    <t xml:space="preserve">27c1a9a6-c45e-431f-830b-7061a100fed7</t>
  </si>
  <si>
    <t xml:space="preserve">9e8d685c-9948-4dc0-9c0b-d5c511e14d05</t>
  </si>
  <si>
    <t xml:space="preserve">d3e038e1-728c-4dea-ac30-c9abbbfcbc84</t>
  </si>
  <si>
    <t xml:space="preserve">921df5eb-cde6-40ea-8744-c02746db0a3c</t>
  </si>
  <si>
    <t xml:space="preserve">00df61ec-de0a-4f06-8736-839c6d225859</t>
  </si>
  <si>
    <t xml:space="preserve">Cyanoacetic acid</t>
  </si>
  <si>
    <t xml:space="preserve">b3ebd051-6ad4-4741-abf3-b55cad059e2c</t>
  </si>
  <si>
    <t xml:space="preserve">74ed605a-a4b7-4574-8a36-4638928b092d</t>
  </si>
  <si>
    <t xml:space="preserve">8af6a281-8879-4945-b476-550612e50527</t>
  </si>
  <si>
    <t xml:space="preserve">932d7913-eb64-484c-b2ec-7aae36e29017</t>
  </si>
  <si>
    <t xml:space="preserve">9ada9c2e-9817-42fe-88ba-3c18aba85585</t>
  </si>
  <si>
    <t xml:space="preserve">Cyclohexane</t>
  </si>
  <si>
    <t xml:space="preserve">f9727bf8-d8e3-432c-8feb-2dc43da4c37d</t>
  </si>
  <si>
    <t xml:space="preserve">22ff429e-4506-428d-9bba-4f9595ed3b99</t>
  </si>
  <si>
    <t xml:space="preserve">165aaeac-93d1-4afd-adf2-e3d6c0eaf629</t>
  </si>
  <si>
    <t xml:space="preserve">5512f026-b3a9-419a-b787-c0be0b39be1c</t>
  </si>
  <si>
    <t xml:space="preserve">2a042136-80fd-4c1c-8996-65a7985497d3</t>
  </si>
  <si>
    <t xml:space="preserve">Cyclohexane (for all cycloalkanes)</t>
  </si>
  <si>
    <t xml:space="preserve">87a6d2cc-251c-4a98-9bac-255e97637ccf</t>
  </si>
  <si>
    <t xml:space="preserve">Cyclopentane</t>
  </si>
  <si>
    <t xml:space="preserve">ffaaffd3-5deb-4508-9e5f-e47f551ac2b8</t>
  </si>
  <si>
    <t xml:space="preserve">Cyfluthrin</t>
  </si>
  <si>
    <t xml:space="preserve">54287273-55f8-4e8f-a115-8ff1aa5025d3</t>
  </si>
  <si>
    <t xml:space="preserve">Cyhalothrin, gamma-</t>
  </si>
  <si>
    <t xml:space="preserve">620d3423-2376-4fcc-bb89-2d468f8b2df8</t>
  </si>
  <si>
    <t xml:space="preserve">Cypermethrin</t>
  </si>
  <si>
    <t xml:space="preserve">23a4dfc7-c82e-4425-abf6-0195f78f3363</t>
  </si>
  <si>
    <t xml:space="preserve">Dibenz(a,h)anthracene</t>
  </si>
  <si>
    <t xml:space="preserve">35087164-f31a-49b4-9518-c559e483fbe6</t>
  </si>
  <si>
    <t xml:space="preserve">Diborane</t>
  </si>
  <si>
    <t xml:space="preserve">e3a77fe9-4fa1-4977-93cf-3495b355817f</t>
  </si>
  <si>
    <t xml:space="preserve">34ce575e-a338-432a-ab49-f0ac660ff365</t>
  </si>
  <si>
    <t xml:space="preserve">57655806-a54e-47ca-a8d2-9881813b7afa</t>
  </si>
  <si>
    <t xml:space="preserve">febe9ac2-ab48-4351-97cb-afcea765d411</t>
  </si>
  <si>
    <t xml:space="preserve">bc878fc6-d8a0-462f-91e1-11fb93b7928d</t>
  </si>
  <si>
    <t xml:space="preserve">Dicamba</t>
  </si>
  <si>
    <t xml:space="preserve">9547aff9-e1fc-5fad-a674-9b9a9fdb1c9c</t>
  </si>
  <si>
    <t xml:space="preserve">Dichlorodimethylsilane</t>
  </si>
  <si>
    <t xml:space="preserve">834ffc71-e8a1-4b2d-b960-8a924c708954</t>
  </si>
  <si>
    <t xml:space="preserve">Dichlorprop</t>
  </si>
  <si>
    <t xml:space="preserve">7ae0a943-090b-4da6-899f-8c53a33a1db2</t>
  </si>
  <si>
    <t xml:space="preserve">Diethyl ether</t>
  </si>
  <si>
    <t xml:space="preserve">67dd6e98-c44a-491d-97b1-8961777538a5</t>
  </si>
  <si>
    <t xml:space="preserve">98f28ebe-22c0-4d0b-a2a2-2fcf910a91dd</t>
  </si>
  <si>
    <t xml:space="preserve">22524a35-32c0-482a-82f7-49724ad1c595</t>
  </si>
  <si>
    <t xml:space="preserve">89951b1a-9b6b-4bc7-82fc-6fc263e91936</t>
  </si>
  <si>
    <t xml:space="preserve">85d539e7-6193-4f24-90b1-a2c83820df66</t>
  </si>
  <si>
    <t xml:space="preserve">Diethylamine</t>
  </si>
  <si>
    <t xml:space="preserve">98adfbf6-2ab7-45fd-85cc-73318da5427d</t>
  </si>
  <si>
    <t xml:space="preserve">b2b7c56b-a484-48a3-98d9-f0dce443409f</t>
  </si>
  <si>
    <t xml:space="preserve">34698efa-71c8-4fec-9a43-6529f45887ac</t>
  </si>
  <si>
    <t xml:space="preserve">7e7039a1-6186-4ef6-a7e6-d135b7fe5601</t>
  </si>
  <si>
    <t xml:space="preserve">51fb4920-7f49-47ba-b02f-9574accf731d</t>
  </si>
  <si>
    <t xml:space="preserve">Diethylene glycol</t>
  </si>
  <si>
    <t xml:space="preserve">dbdaa334-3101-418d-bc52-8ddb066864d6</t>
  </si>
  <si>
    <t xml:space="preserve">e1cc645c-9d74-40ff-a4b0-b0591d8717e5</t>
  </si>
  <si>
    <t xml:space="preserve">af7f6412-a55f-4799-b7bc-a3f69d0cc8cb</t>
  </si>
  <si>
    <t xml:space="preserve">d439867e-7ef9-41aa-91e2-de8a922f9158</t>
  </si>
  <si>
    <t xml:space="preserve">bedc1f3e-71d2-4bb9-9699-c77603031f81</t>
  </si>
  <si>
    <t xml:space="preserve">Diflubenzuron</t>
  </si>
  <si>
    <t xml:space="preserve">206b98e7-9df1-4aa1-896e-dc5aa93e9844</t>
  </si>
  <si>
    <t xml:space="preserve">Dimethenamid</t>
  </si>
  <si>
    <t xml:space="preserve">d18838bc-54cd-5d6f-a8f3-9b94cfc8472d</t>
  </si>
  <si>
    <t xml:space="preserve">Dimethyl carbonate</t>
  </si>
  <si>
    <t xml:space="preserve">6abf9e1a-c33e-49ae-aeae-ab84cee7d2ab</t>
  </si>
  <si>
    <t xml:space="preserve">Dimethyl ether</t>
  </si>
  <si>
    <t xml:space="preserve">f2d8ab10-7974-4038-9339-b8a204d26331</t>
  </si>
  <si>
    <t xml:space="preserve">4f061396-da10-49b3-a7ac-ac1d2eb49fa1</t>
  </si>
  <si>
    <t xml:space="preserve">50cbb355-9a33-4e15-986a-c95c40931638</t>
  </si>
  <si>
    <t xml:space="preserve">acfeda73-2eee-4ca2-ad41-e8c564e75cec</t>
  </si>
  <si>
    <t xml:space="preserve">7c76ca96-5e7e-43be-aa71-a64627cdca23</t>
  </si>
  <si>
    <t xml:space="preserve">be910644-7322-4873-8fd2-b97b1bebe149</t>
  </si>
  <si>
    <t xml:space="preserve">Dimethyl malonate</t>
  </si>
  <si>
    <t xml:space="preserve">07798b07-13be-41f9-b754-5b389695cf78</t>
  </si>
  <si>
    <t xml:space="preserve">32bd196f-401c-4ece-bc45-a3b5ab7fd6fc</t>
  </si>
  <si>
    <t xml:space="preserve">f5ce0b83-d178-4f50-b1cb-844091b7f0bc</t>
  </si>
  <si>
    <t xml:space="preserve">7ee1a767-185e-444b-913d-6acbfdbab3bd</t>
  </si>
  <si>
    <t xml:space="preserve">16bb633b-6a05-4f1a-8bab-9f4c121df099</t>
  </si>
  <si>
    <t xml:space="preserve">Dimethylamine</t>
  </si>
  <si>
    <t xml:space="preserve">4aecbaff-32ae-4655-9587-db9337d0d350</t>
  </si>
  <si>
    <t xml:space="preserve">ca793a60-fdf5-4e53-9d75-b279d4a7e7c4</t>
  </si>
  <si>
    <t xml:space="preserve">56d00bcd-9da1-4486-bfe6-10dc0f1d4575</t>
  </si>
  <si>
    <t xml:space="preserve">edf9fe90-37ee-4d8b-af9b-2e959422abfd</t>
  </si>
  <si>
    <t xml:space="preserve">d0cde0b1-afcc-5179-8895-0aacba2e15a1</t>
  </si>
  <si>
    <t xml:space="preserve">Dimethyldichlorosilane</t>
  </si>
  <si>
    <t xml:space="preserve">81305cda-63f1-4c1a-99c6-2c2568550ec4</t>
  </si>
  <si>
    <t xml:space="preserve">Dinitrogen monoxide</t>
  </si>
  <si>
    <t xml:space="preserve">473826ae-125a-4b02-8c8e-c84322491d80</t>
  </si>
  <si>
    <t xml:space="preserve">afd6d670-bbb0-4625-9730-04088a5b035e</t>
  </si>
  <si>
    <t xml:space="preserve">20185046-64bb-4c09-a8e7-e8a9e144ca98</t>
  </si>
  <si>
    <t xml:space="preserve">6dc1b46f-ee89-4495-95c4-b8a637bcd6cb</t>
  </si>
  <si>
    <t xml:space="preserve">4cd94f47-0da2-5c4a-bfae-013bacbcf648</t>
  </si>
  <si>
    <t xml:space="preserve">Dinitrogen tetroxide</t>
  </si>
  <si>
    <t xml:space="preserve">e69dfe04-4b45-4e87-a6ce-08b1af61ca22</t>
  </si>
  <si>
    <t xml:space="preserve">Dioxins, measured as 2,3,7,8-tetrachlorodibenzo-p-dioxin</t>
  </si>
  <si>
    <t xml:space="preserve">e385da6d-8c5a-42ff-a8fe-d18943079774</t>
  </si>
  <si>
    <t xml:space="preserve">f77c5e36-ee47-4437-b757-03139bb1d6d6</t>
  </si>
  <si>
    <t xml:space="preserve">082903e4-45d8-4078-94cb-736b15279277</t>
  </si>
  <si>
    <t xml:space="preserve">237a5f15-8119-472a-8988-88b7ecb42405</t>
  </si>
  <si>
    <t xml:space="preserve">4e64908e-9098-40e2-b7f5-f314c49c3d66</t>
  </si>
  <si>
    <t xml:space="preserve">Dipropylamine</t>
  </si>
  <si>
    <t xml:space="preserve">9102514a-4cd5-4560-a1bf-b8fe57d8c303</t>
  </si>
  <si>
    <t xml:space="preserve">ec897705-c8d6-44da-b973-57d60e68a289</t>
  </si>
  <si>
    <t xml:space="preserve">ad273394-b76d-4c19-a140-3112bdec8524</t>
  </si>
  <si>
    <t xml:space="preserve">9a1e90d7-af5d-41ab-bf7b-d4d4248d9e24</t>
  </si>
  <si>
    <t xml:space="preserve">57af157e-2054-407d-949b-8cc9c2aa4655</t>
  </si>
  <si>
    <t xml:space="preserve">Elemental carbon</t>
  </si>
  <si>
    <t xml:space="preserve">fe2f33dc-75a6-4f18-852d-45da3b54f983</t>
  </si>
  <si>
    <t xml:space="preserve">Epichlorohydrin</t>
  </si>
  <si>
    <t xml:space="preserve">6e604e6b-d023-47d6-aedc-9d99d6296918</t>
  </si>
  <si>
    <t xml:space="preserve">f5a032de-aaca-4fa1-a7f4-920b6c2ed7ae</t>
  </si>
  <si>
    <t xml:space="preserve">d547f43d-63e3-4928-ae85-28e6fd7aabc5</t>
  </si>
  <si>
    <t xml:space="preserve">ebbb166e-83da-4a83-b8d2-678f871ffce7</t>
  </si>
  <si>
    <t xml:space="preserve">4f446a20-f1a5-4bde-a7a0-441315db1833</t>
  </si>
  <si>
    <t xml:space="preserve">Esfenvalerate</t>
  </si>
  <si>
    <t xml:space="preserve">823106de-a29a-481f-8647-728a19b9294d</t>
  </si>
  <si>
    <t xml:space="preserve">Ethane</t>
  </si>
  <si>
    <t xml:space="preserve">6cfec9aa-691b-4be2-940d-56e73fda16de</t>
  </si>
  <si>
    <t xml:space="preserve">e7e0031e-791d-42f4-b26c-ec322db637bc</t>
  </si>
  <si>
    <t xml:space="preserve">8e30c990-5ed4-4f94-9d0e-2f5e4ff1a1f9</t>
  </si>
  <si>
    <t xml:space="preserve">9ea11aea-7cb7-4b38-b936-a42c2a4bac97</t>
  </si>
  <si>
    <t xml:space="preserve">aecf5a99-a578-4321-884b-0a198a531507</t>
  </si>
  <si>
    <t xml:space="preserve">Ethane thiol</t>
  </si>
  <si>
    <t xml:space="preserve">421bac85-d0d7-4ace-84d1-14865baabd3c</t>
  </si>
  <si>
    <t xml:space="preserve">019ad37a-2728-455e-aa8d-c921d26c3cc7</t>
  </si>
  <si>
    <t xml:space="preserve">468111da-3988-4c54-b6a0-b8feb1b5e5da</t>
  </si>
  <si>
    <t xml:space="preserve">b3d98733-ae64-474b-b68d-ba681c24c32d</t>
  </si>
  <si>
    <t xml:space="preserve">647ae26f-f2fe-44cb-ac81-39bb7736f28e</t>
  </si>
  <si>
    <t xml:space="preserve">Ethane, 1,1,1,2-tetrafluoro-, HFC-134a</t>
  </si>
  <si>
    <t xml:space="preserve">75fe1a2c-49fa-49e4-90f1-8f102508a96d</t>
  </si>
  <si>
    <t xml:space="preserve">16fcd4f9-0bb8-4b84-8334-3ffb1a17aa74</t>
  </si>
  <si>
    <t xml:space="preserve">e87f039d-d9ce-4242-ac18-c9284cc80f3d</t>
  </si>
  <si>
    <t xml:space="preserve">fa0c2bee-8dd9-4f8a-8489-b1f3b43de958</t>
  </si>
  <si>
    <t xml:space="preserve">f8ee4881-a003-4e18-aa2a-d9daf97d76f7</t>
  </si>
  <si>
    <t xml:space="preserve">Ethane, 1,1,1-trichloro-, HCFC-140</t>
  </si>
  <si>
    <t xml:space="preserve">9e7d019f-c8c0-4631-9bbb-ced3e081c90d</t>
  </si>
  <si>
    <t xml:space="preserve">99585564-bfce-4845-9aaa-2f24b8f26a41</t>
  </si>
  <si>
    <t xml:space="preserve">ce6294f5-2ed7-46ee-a967-33e265e34455</t>
  </si>
  <si>
    <t xml:space="preserve">818cee9e-231c-4b53-8ed2-47a0001802d5</t>
  </si>
  <si>
    <t xml:space="preserve">bf580c6b-1b4d-429d-bed7-1e335920941f</t>
  </si>
  <si>
    <t xml:space="preserve">Ethane, 1,1,1-trifluoro-, HFC-143a</t>
  </si>
  <si>
    <t xml:space="preserve">5eb2d548-1694-496d-b3bd-a439984fca7d</t>
  </si>
  <si>
    <t xml:space="preserve">5253e322-7de5-42aa-9167-daf22ff44031</t>
  </si>
  <si>
    <t xml:space="preserve">e86bfec2-1025-4fa2-90b1-81e35e621e91</t>
  </si>
  <si>
    <t xml:space="preserve">f43b2b80-f5a6-4d31-9980-0754305a978d</t>
  </si>
  <si>
    <t xml:space="preserve">e75faf77-8341-4223-8b46-72391fd0f312</t>
  </si>
  <si>
    <t xml:space="preserve">Ethane, 1,1,2-trichloro-</t>
  </si>
  <si>
    <t xml:space="preserve">22317c8a-3b60-4479-8798-eec0bdfada2f</t>
  </si>
  <si>
    <t xml:space="preserve">b4d5edf7-0584-4e43-8ee7-f78511443b0d</t>
  </si>
  <si>
    <t xml:space="preserve">b32061b1-8d24-4663-b10d-0a1c705f2937</t>
  </si>
  <si>
    <t xml:space="preserve">eb53bdf4-5b02-40fa-a1cb-318e207e7eec</t>
  </si>
  <si>
    <t xml:space="preserve">d2025041-20ee-41bb-b2c8-47631e839ff0</t>
  </si>
  <si>
    <t xml:space="preserve">Ethane, 1,1,2-trichloro-1,2,2-trifluoro-, CFC-113</t>
  </si>
  <si>
    <t xml:space="preserve">53b87932-00c8-4bf4-b519-ecd3c401ed4d</t>
  </si>
  <si>
    <t xml:space="preserve">47c12d99-c2dc-41cf-bad1-cd31c2fe0421</t>
  </si>
  <si>
    <t xml:space="preserve">cacfd448-6c2d-4061-9363-fd506b979f25</t>
  </si>
  <si>
    <t xml:space="preserve">9b132374-dce2-4ce0-86aa-53201b30f617</t>
  </si>
  <si>
    <t xml:space="preserve">b018c97d-8fea-4258-b4d3-6a65669c77f4</t>
  </si>
  <si>
    <t xml:space="preserve">Ethane, 1,1-dichloro-1-fluoro-, HCFC-141b</t>
  </si>
  <si>
    <t xml:space="preserve">8c193650-c4ae-4e9a-b25b-eaa7b2b9ea2d</t>
  </si>
  <si>
    <t xml:space="preserve">416eedbd-a7b4-4693-8031-9bfaa2f20ebc</t>
  </si>
  <si>
    <t xml:space="preserve">843fd145-61ac-4fa7-a608-ce4ac4d88d49</t>
  </si>
  <si>
    <t xml:space="preserve">033d3a16-e1a2-4ce8-8769-f4ea867801ca</t>
  </si>
  <si>
    <t xml:space="preserve">94ca9e00-5268-4663-a0cd-25026c7c6b53</t>
  </si>
  <si>
    <t xml:space="preserve">Ethane, 1,1-difluoro-, HFC-152a</t>
  </si>
  <si>
    <t xml:space="preserve">fff3d2db-2784-4044-a6a2-2bc7242456ee</t>
  </si>
  <si>
    <t xml:space="preserve">1c4a106a-53bc-40f5-bcae-d30ab191dbfe</t>
  </si>
  <si>
    <t xml:space="preserve">9cf9bf0e-86fe-42c0-90cc-bfed96fbdc8f</t>
  </si>
  <si>
    <t xml:space="preserve">393d0862-04cc-45ae-8d08-9dc2a4461b35</t>
  </si>
  <si>
    <t xml:space="preserve">ba3120e9-7412-4517-812c-752edeac5472</t>
  </si>
  <si>
    <t xml:space="preserve">Ethane, 1,2-dichloro-</t>
  </si>
  <si>
    <t xml:space="preserve">cab70244-9e25-42d3-b31e-ddabfd3eeb67</t>
  </si>
  <si>
    <t xml:space="preserve">89324b2f-1e73-4eb1-9716-96b9be0349ac</t>
  </si>
  <si>
    <t xml:space="preserve">03758df7-503a-400e-bc7b-ec05825761a5</t>
  </si>
  <si>
    <t xml:space="preserve">468bebea-17ee-49d3-b11d-c603d91c67c8</t>
  </si>
  <si>
    <t xml:space="preserve">1e060d5a-cd41-4f30-9c93-272403b7e004</t>
  </si>
  <si>
    <t xml:space="preserve">Ethane, 1,2-dichloro-1,1,2,2-tetrafluoro-, CFC-114</t>
  </si>
  <si>
    <t xml:space="preserve">7d05319a-1260-45e0-8872-d5ff1712ea7e</t>
  </si>
  <si>
    <t xml:space="preserve">1584734d-c5c8-42a5-aa51-0f6a92a9cc0d</t>
  </si>
  <si>
    <t xml:space="preserve">8a3a44e4-e2f1-476d-9e9e-a90fda263fe3</t>
  </si>
  <si>
    <t xml:space="preserve">3b30d058-02ef-4ed2-b357-5fc1a45c63e7</t>
  </si>
  <si>
    <t xml:space="preserve">50432644-8568-444e-b7e7-8e37a7e1f3e3</t>
  </si>
  <si>
    <t xml:space="preserve">Ethane, 1-chloro-1,1-difluoro-, HCFC-142b</t>
  </si>
  <si>
    <t xml:space="preserve">1652c2e3-c6c5-49e1-9ad1-34c188087ca6</t>
  </si>
  <si>
    <t xml:space="preserve">95b6f6da-49f9-413d-8ff5-5342d6cff588</t>
  </si>
  <si>
    <t xml:space="preserve">ba781ac6-cdf1-4a09-86b5-76b19ed3438b</t>
  </si>
  <si>
    <t xml:space="preserve">400be66e-4383-482a-93e3-c005e96de261</t>
  </si>
  <si>
    <t xml:space="preserve">f322122f-3059-4cfb-8754-efc82548e7f0</t>
  </si>
  <si>
    <t xml:space="preserve">Ethane, 2,2-dichloro-1,1,1-trifluoro-, HCFC-123</t>
  </si>
  <si>
    <t xml:space="preserve">2fff3bda-1eec-4166-9969-bc9e757c8e8e</t>
  </si>
  <si>
    <t xml:space="preserve">2cbc6042-2cee-4668-8017-d7f805d9029e</t>
  </si>
  <si>
    <t xml:space="preserve">050da0cd-2957-45a9-ae7a-ace372083fe5</t>
  </si>
  <si>
    <t xml:space="preserve">db907ff7-6cf0-4f88-9376-116262dfad6d</t>
  </si>
  <si>
    <t xml:space="preserve">0bf92802-8b5e-43f5-a261-95c06bd5c551</t>
  </si>
  <si>
    <t xml:space="preserve">Ethane, 2-chloro-1,1,1,2-tetrafluoro-, HCFC-124</t>
  </si>
  <si>
    <t xml:space="preserve">9b7e5cbf-e1eb-420d-ad43-248df23457ee</t>
  </si>
  <si>
    <t xml:space="preserve">71a6ea76-6642-4573-bed2-c1884e6792fd</t>
  </si>
  <si>
    <t xml:space="preserve">60268f3d-468b-487e-acb1-24d7250cb6b3</t>
  </si>
  <si>
    <t xml:space="preserve">27f61651-96a5-45c7-9873-832626cf6905</t>
  </si>
  <si>
    <t xml:space="preserve">4925cde1-9f43-43d3-bcf1-4865b8de6634</t>
  </si>
  <si>
    <t xml:space="preserve">Ethane, chloropentafluoro-, CFC-115</t>
  </si>
  <si>
    <t xml:space="preserve">30533fd3-b19c-44fc-9a88-fb6b12409b47</t>
  </si>
  <si>
    <t xml:space="preserve">6f8ce7a4-d66a-4593-9314-51778aa09d4b</t>
  </si>
  <si>
    <t xml:space="preserve">ec8789e5-d140-4ca8-b7ef-b3abfd044414</t>
  </si>
  <si>
    <t xml:space="preserve">15e54d5b-aba2-40a6-9aa8-aa2b8c432129</t>
  </si>
  <si>
    <t xml:space="preserve">b7e0bddf-7b8a-43f4-9319-6f4b3d9fa65a</t>
  </si>
  <si>
    <t xml:space="preserve">Ethane, hexafluoro-, HFC-116</t>
  </si>
  <si>
    <t xml:space="preserve">7f62f535-e81a-476c-9c39-4d59f289db1a</t>
  </si>
  <si>
    <t xml:space="preserve">8f3e0579-d07d-48c9-b41a-fb559728f9c0</t>
  </si>
  <si>
    <t xml:space="preserve">acc39720-dda7-4b3a-80c7-c6394cad4191</t>
  </si>
  <si>
    <t xml:space="preserve">df5dd437-2e12-4af6-8f7a-9c8224857dc5</t>
  </si>
  <si>
    <t xml:space="preserve">dc9520c7-6e4a-42fb-b1f6-9fa8f34667a4</t>
  </si>
  <si>
    <t xml:space="preserve">Ethane, pentafluoro-, HFC-125</t>
  </si>
  <si>
    <t xml:space="preserve">40022b1f-8906-4c54-a074-bf1a3fc9b13f</t>
  </si>
  <si>
    <t xml:space="preserve">84386543-b148-465b-9265-ad638c12e263</t>
  </si>
  <si>
    <t xml:space="preserve">281e1011-f121-4d5b-ad4d-22d562b2c2cd</t>
  </si>
  <si>
    <t xml:space="preserve">5d1701c5-c4ef-49c7-8a68-ce7c255eee9f</t>
  </si>
  <si>
    <t xml:space="preserve">dbafa5bd-48d1-455a-8042-7d631d913745</t>
  </si>
  <si>
    <t xml:space="preserve">Ethanol</t>
  </si>
  <si>
    <t xml:space="preserve">e47fcb9f-ef2f-4047-b902-37363ea5345c</t>
  </si>
  <si>
    <t xml:space="preserve">0d3ccb17-b3fe-4c08-b7cb-458ed3ababf1</t>
  </si>
  <si>
    <t xml:space="preserve">d3f5d0b9-0155-4800-9dbb-b0583948c8c6</t>
  </si>
  <si>
    <t xml:space="preserve">379a827c-3290-4810-9689-b9e892945836</t>
  </si>
  <si>
    <t xml:space="preserve">13fb54aa-a54a-48de-b2ec-b9165dea111d</t>
  </si>
  <si>
    <t xml:space="preserve">Ethene</t>
  </si>
  <si>
    <t xml:space="preserve">b02991d4-c180-4b16-8035-ac38f4a64b87</t>
  </si>
  <si>
    <t xml:space="preserve">87f683ed-44ae-41a6-b4bc-230622f8cfef</t>
  </si>
  <si>
    <t xml:space="preserve">9c2a7dc9-8b1f-46ba-bc16-0d761a4f6016</t>
  </si>
  <si>
    <t xml:space="preserve">36270548-9316-424b-9aeb-e0de134b0be1</t>
  </si>
  <si>
    <t xml:space="preserve">68b769b3-46f3-4b8e-a4f3-45a0fd85bf1b</t>
  </si>
  <si>
    <t xml:space="preserve">Ethene, chloro-</t>
  </si>
  <si>
    <t xml:space="preserve">20750a37-320b-48cb-9fd4-366a86fcd6d6</t>
  </si>
  <si>
    <t xml:space="preserve">2256cd1c-760f-43b0-aa1c-5229ba199150</t>
  </si>
  <si>
    <t xml:space="preserve">2a51889e-9264-45df-9753-64c25a755d9e</t>
  </si>
  <si>
    <t xml:space="preserve">127ff74d-018b-43b9-8a4e-fb5577d5ee5a</t>
  </si>
  <si>
    <t xml:space="preserve">d88b5aeb-d589-4847-b2d4-80ba6a227ab7</t>
  </si>
  <si>
    <t xml:space="preserve">Ethene, tetrachloro-</t>
  </si>
  <si>
    <t xml:space="preserve">a8a2f53b-c6d2-4302-a59f-502bd7e242fc</t>
  </si>
  <si>
    <t xml:space="preserve">754028fd-e650-4804-922e-694a764ba578</t>
  </si>
  <si>
    <t xml:space="preserve">9bc66656-9f37-44bc-ae0b-5d5243b8137e</t>
  </si>
  <si>
    <t xml:space="preserve">d2d4b344-3c58-4b0c-868a-ac0bdb2027dc</t>
  </si>
  <si>
    <t xml:space="preserve">d56ddb2e-5087-4118-8359-64fb6cb513f9</t>
  </si>
  <si>
    <t xml:space="preserve">Ethene, trichloro-</t>
  </si>
  <si>
    <t xml:space="preserve">2e1396a2-b8e0-4f4a-89c7-11c4ee4733c1</t>
  </si>
  <si>
    <t xml:space="preserve">22698b26-ab11-43eb-a48f-3e46863555cc</t>
  </si>
  <si>
    <t xml:space="preserve">3fa03c96-b976-4f0f-8089-220968515ee1</t>
  </si>
  <si>
    <t xml:space="preserve">0e7c1a7b-cd98-4f8d-a619-a687d3e2cb48</t>
  </si>
  <si>
    <t xml:space="preserve">876d4bb6-badc-4d04-a193-71b68e908737</t>
  </si>
  <si>
    <t xml:space="preserve">Ethephon</t>
  </si>
  <si>
    <t xml:space="preserve">227f85d8-5156-461f-9d03-03960287debf</t>
  </si>
  <si>
    <t xml:space="preserve">Ethyl acetate</t>
  </si>
  <si>
    <t xml:space="preserve">bb656df7-0d8a-427c-b58c-02962e50df57</t>
  </si>
  <si>
    <t xml:space="preserve">5933e933-9eaf-4f97-ae63-5eb1eea95e53</t>
  </si>
  <si>
    <t xml:space="preserve">8077467e-8d30-46cc-ab55-5759286eebd3</t>
  </si>
  <si>
    <t xml:space="preserve">41cce80a-82c1-4caa-b6ef-718ec4b83fd6</t>
  </si>
  <si>
    <t xml:space="preserve">c8fc7ae6-3d48-4b1e-94a2-3b74dcd1dd2f</t>
  </si>
  <si>
    <t xml:space="preserve">Ethyl cellulose</t>
  </si>
  <si>
    <t xml:space="preserve">0061b12a-9084-499b-9fc0-bf66025198eb</t>
  </si>
  <si>
    <t xml:space="preserve">25f52995-fc88-44ab-b11c-f93e35020d01</t>
  </si>
  <si>
    <t xml:space="preserve">779f93e2-bbb4-4a06-a46a-ce636fe59a62</t>
  </si>
  <si>
    <t xml:space="preserve">6bd1ea0d-0fbb-46cd-a6b4-e699febbf4e8</t>
  </si>
  <si>
    <t xml:space="preserve">68d2ae4b-ab2c-4aab-a0b0-96231ea03a91</t>
  </si>
  <si>
    <t xml:space="preserve">Ethylamine</t>
  </si>
  <si>
    <t xml:space="preserve">99dfc9b6-7e98-4751-9a50-39d19cbe6d5a</t>
  </si>
  <si>
    <t xml:space="preserve">715d35c1-548c-43e2-a023-b31eba3a2849</t>
  </si>
  <si>
    <t xml:space="preserve">b1dc1428-e198-464d-a434-a7e6d880f041</t>
  </si>
  <si>
    <t xml:space="preserve">4569028c-d2d9-4937-bd92-44a6c72e2b1b</t>
  </si>
  <si>
    <t xml:space="preserve">90f722bf-cb9b-571a-88fc-34286632bdc4</t>
  </si>
  <si>
    <t xml:space="preserve">Ethylene</t>
  </si>
  <si>
    <t xml:space="preserve">9dfa8601-c11b-4d60-b906-ee5d7b57d639</t>
  </si>
  <si>
    <t xml:space="preserve">Ethylene diamine</t>
  </si>
  <si>
    <t xml:space="preserve">c75bec2e-3599-4279-bae3-f8bef3ad2a29</t>
  </si>
  <si>
    <t xml:space="preserve">d3a1c5ec-009f-475d-8db5-9d619ba2f62f</t>
  </si>
  <si>
    <t xml:space="preserve">397c6564-d1c4-41f5-a4ff-4832874f397f</t>
  </si>
  <si>
    <t xml:space="preserve">c6d0e9b0-aadb-407b-9f39-8fbab93ffa55</t>
  </si>
  <si>
    <t xml:space="preserve">5403d20f-0a41-44c0-8c17-9f13a99888f9</t>
  </si>
  <si>
    <t xml:space="preserve">Ethylene glycol monoethyl ether</t>
  </si>
  <si>
    <t xml:space="preserve">fe976683-7080-4a79-8538-810793d21c53</t>
  </si>
  <si>
    <t xml:space="preserve">2d17bb2f-2072-4a7a-a672-9550a97c14f5</t>
  </si>
  <si>
    <t xml:space="preserve">45e23e23-d952-4721-a514-2acfa5bfcab5</t>
  </si>
  <si>
    <t xml:space="preserve">ffa34df1-d949-48e3-b602-183eee5df605</t>
  </si>
  <si>
    <t xml:space="preserve">d800a996-a9ef-488f-900d-28a5b6ede9eb</t>
  </si>
  <si>
    <t xml:space="preserve">Ethylene oxide</t>
  </si>
  <si>
    <t xml:space="preserve">0bb66845-6ccf-4648-b565-2e704989d7c0</t>
  </si>
  <si>
    <t xml:space="preserve">43a411aa-8f29-4744-bc56-1deaa8105338</t>
  </si>
  <si>
    <t xml:space="preserve">4407dc37-09ec-4d52-b65a-9c3f0a88306d</t>
  </si>
  <si>
    <t xml:space="preserve">4446c2d0-1bc1-422f-9b97-0867d5602dbb</t>
  </si>
  <si>
    <t xml:space="preserve">8a515488-6475-42d0-bdf3-00a89ac06d0d</t>
  </si>
  <si>
    <t xml:space="preserve">Ethyne</t>
  </si>
  <si>
    <t xml:space="preserve">6c95c917-d232-4c5b-9721-8b2841e6671c</t>
  </si>
  <si>
    <t xml:space="preserve">e64254e3-07d3-4330-b6de-6a858f108124</t>
  </si>
  <si>
    <t xml:space="preserve">42a2f3e7-5393-4a69-9b0b-f70a9139ee24</t>
  </si>
  <si>
    <t xml:space="preserve">1a13d6e7-45c9-427a-a3c9-38887ce7b86a</t>
  </si>
  <si>
    <t xml:space="preserve">f28d5dfb-632d-469b-b0c2-a55ce78155ff</t>
  </si>
  <si>
    <t xml:space="preserve">Fenoxaprop</t>
  </si>
  <si>
    <t xml:space="preserve">3563bb9d-4020-4635-890b-6de95036911f</t>
  </si>
  <si>
    <t xml:space="preserve">Fluazifop-p-butyl</t>
  </si>
  <si>
    <t xml:space="preserve">17b87359-36f1-4ad3-a019-73e40fc2efc7</t>
  </si>
  <si>
    <t xml:space="preserve">Flufenacet</t>
  </si>
  <si>
    <t xml:space="preserve">421d36f5-2678-4c1b-ba10-6b43521f0859</t>
  </si>
  <si>
    <t xml:space="preserve">Flumetsulam</t>
  </si>
  <si>
    <t xml:space="preserve">361176bc-ebe3-4f2b-8905-c87feec17d74</t>
  </si>
  <si>
    <t xml:space="preserve">Flumiclorac-pentyl</t>
  </si>
  <si>
    <t xml:space="preserve">c1bcea7e-26d9-4714-950b-c425d78179fa</t>
  </si>
  <si>
    <t xml:space="preserve">Flumioxazin</t>
  </si>
  <si>
    <t xml:space="preserve">d57ab983-120a-448b-a681-b876e1addecf</t>
  </si>
  <si>
    <t xml:space="preserve">Fluoranthene</t>
  </si>
  <si>
    <t xml:space="preserve">dbe2c062-5692-4282-aa6c-e75f4d718077</t>
  </si>
  <si>
    <t xml:space="preserve">Fluorene</t>
  </si>
  <si>
    <t xml:space="preserve">d976062e-565d-4d61-933e-545c9d020f0a</t>
  </si>
  <si>
    <t xml:space="preserve">fe58044a-f54b-4c93-8c79-9cbdea3dfc6a</t>
  </si>
  <si>
    <t xml:space="preserve">b8d738ce-98cd-4487-88f9-686209bd1376</t>
  </si>
  <si>
    <t xml:space="preserve">1c389e81-9f9d-4e52-a6e9-11cc6b73d90d</t>
  </si>
  <si>
    <t xml:space="preserve">aa567547-9821-456a-8412-e726735eeb29</t>
  </si>
  <si>
    <t xml:space="preserve">08c96ec9-3284-4871-8d79-7a43a164e96a</t>
  </si>
  <si>
    <t xml:space="preserve">Fluosilicic acid</t>
  </si>
  <si>
    <t xml:space="preserve">cc0815ac-dd64-48f1-adc4-2c798b2a437c</t>
  </si>
  <si>
    <t xml:space="preserve">2566a811-5c71-4cef-9c90-cd3840cd707b</t>
  </si>
  <si>
    <t xml:space="preserve">ee71f42f-de6b-46ef-a1dc-7e5d2f33a3ed</t>
  </si>
  <si>
    <t xml:space="preserve">521f6650-daec-4724-b40b-bf7fea17ceb2</t>
  </si>
  <si>
    <t xml:space="preserve">9c54d6d2-16c9-40c1-86e4-57246f1e5820</t>
  </si>
  <si>
    <t xml:space="preserve">Fomesafen</t>
  </si>
  <si>
    <t xml:space="preserve">1258b87f-6a94-4c0f-a51a-cef98a3bf534</t>
  </si>
  <si>
    <t xml:space="preserve">Formaldehyde</t>
  </si>
  <si>
    <t xml:space="preserve">22b0b296-d066-4159-a44b-69fdb17dc802</t>
  </si>
  <si>
    <t xml:space="preserve">9167dca7-615e-435c-8ba6-dbbf50e50e34</t>
  </si>
  <si>
    <t xml:space="preserve">a861cfae-a310-4e9d-b9eb-5d555c9a684c</t>
  </si>
  <si>
    <t xml:space="preserve">20664d0e-24e3-4daa-8c5c-2ade6e0c2723</t>
  </si>
  <si>
    <t xml:space="preserve">717f38a4-02d7-4af5-b1a8-24931ad12275</t>
  </si>
  <si>
    <t xml:space="preserve">Formamide</t>
  </si>
  <si>
    <t xml:space="preserve">313cdf6d-ac44-4583-87a1-5f2ba3413a88</t>
  </si>
  <si>
    <t xml:space="preserve">43a00521-4880-4891-8a5d-f8e0a64f5bce</t>
  </si>
  <si>
    <t xml:space="preserve">1d8ba55c-e60b-45ef-8e66-d947d8e7a01f</t>
  </si>
  <si>
    <t xml:space="preserve">2becddd1-aa5a-4c35-be0e-aefb9bd469f8</t>
  </si>
  <si>
    <t xml:space="preserve">c8da1004-26dc-493a-a568-72f4c3820fc8</t>
  </si>
  <si>
    <t xml:space="preserve">Formic acid</t>
  </si>
  <si>
    <t xml:space="preserve">da3057af-dca7-4b7d-b36e-8b241586cc0c</t>
  </si>
  <si>
    <t xml:space="preserve">e7f7fd97-a1c8-4be9-8a21-68ef06437d20</t>
  </si>
  <si>
    <t xml:space="preserve">27804c78-5eee-47f9-9a91-1f6126ccfe45</t>
  </si>
  <si>
    <t xml:space="preserve">2cbe35d9-052c-4fe8-8eb2-08769f10b2c7</t>
  </si>
  <si>
    <t xml:space="preserve">a5856dc0-2980-41cc-a93f-a1699fcf4890</t>
  </si>
  <si>
    <t xml:space="preserve">Furan</t>
  </si>
  <si>
    <t xml:space="preserve">3d20d2fc-2e7e-4c8c-a77d-91bd822a1dfe</t>
  </si>
  <si>
    <t xml:space="preserve">142ce3b0-4bd6-47a3-9991-7c657c947ffe</t>
  </si>
  <si>
    <t xml:space="preserve">284d6491-de2c-4124-95db-7732cbb5136c</t>
  </si>
  <si>
    <t xml:space="preserve">585da516-b59a-43b4-83c1-6ccf4d28c83b</t>
  </si>
  <si>
    <t xml:space="preserve">a86c6e85-0545-5f37-bed8-354f2ba0dde4</t>
  </si>
  <si>
    <t xml:space="preserve">Furfural</t>
  </si>
  <si>
    <t xml:space="preserve">bd02a7ec-dcb5-4609-bc96-cc7a96601ce2</t>
  </si>
  <si>
    <t xml:space="preserve">Glyphosate</t>
  </si>
  <si>
    <t xml:space="preserve">c377b25d-c52c-4b0f-aa2a-8c51ff1dab31</t>
  </si>
  <si>
    <t xml:space="preserve">Heat, waste</t>
  </si>
  <si>
    <t xml:space="preserve">MJ</t>
  </si>
  <si>
    <t xml:space="preserve">ef7b0b7e-16e2-4e14-af28-94d9dd3c675d</t>
  </si>
  <si>
    <t xml:space="preserve">07f704a2-2746-4364-bcfd-606cefc30715</t>
  </si>
  <si>
    <t xml:space="preserve">f2d84834-d0b3-42e5-b41a-f04cc80337a4</t>
  </si>
  <si>
    <t xml:space="preserve">b411ec8b-c60a-4235-a3b2-8bf8443cbc55</t>
  </si>
  <si>
    <t xml:space="preserve">c54e6fd5-a896-4b6c-9247-7f599c851bf1</t>
  </si>
  <si>
    <t xml:space="preserve">f7882aae-499b-42ab-8fa0-b4e20b609cc0</t>
  </si>
  <si>
    <t xml:space="preserve">76c79f4e-3cda-428e-b8f0-0ba8bbf272b6</t>
  </si>
  <si>
    <t xml:space="preserve">f2e74872-f56d-4e49-8dfd-1428c6fbd59c</t>
  </si>
  <si>
    <t xml:space="preserve">a91c4052-de24-456d-a1d5-4e2d9db201e3</t>
  </si>
  <si>
    <t xml:space="preserve">248223f5-4e00-4b0d-9652-76a9c39ce414</t>
  </si>
  <si>
    <t xml:space="preserve">Heptane</t>
  </si>
  <si>
    <t xml:space="preserve">745503c2-768d-4f2c-b63c-bb75c1c5419c</t>
  </si>
  <si>
    <t xml:space="preserve">025fcb20-0591-4bae-80fc-7c34e9af2e7b</t>
  </si>
  <si>
    <t xml:space="preserve">1ec6c4b4-ee5f-4788-8683-c95a84d6d63c</t>
  </si>
  <si>
    <t xml:space="preserve">f4bb66f1-c78c-409f-8368-85c1205a3573</t>
  </si>
  <si>
    <t xml:space="preserve">0c906b13-a938-4e0d-9722-ae52ffa41ecd</t>
  </si>
  <si>
    <t xml:space="preserve">Hexamethyldisilizane</t>
  </si>
  <si>
    <t xml:space="preserve">082c37bb-a9f2-46e7-97de-5a023050ab7a</t>
  </si>
  <si>
    <t xml:space="preserve">0d30fcbb-9262-4026-8e0d-119fb12a04b0</t>
  </si>
  <si>
    <t xml:space="preserve">5bd325f2-8c4b-4e1f-bb84-2f58900f4d51</t>
  </si>
  <si>
    <t xml:space="preserve">b7a3b260-ac8d-43e2-b549-34bb5b82b533</t>
  </si>
  <si>
    <t xml:space="preserve">77ff1fec-e163-4377-acac-b00c8aa94391</t>
  </si>
  <si>
    <t xml:space="preserve">Hexane</t>
  </si>
  <si>
    <t xml:space="preserve">5f29e18d-ace2-466c-831e-be1aee84323a</t>
  </si>
  <si>
    <t xml:space="preserve">41067ac7-bf36-47ef-a19f-683d9b758a28</t>
  </si>
  <si>
    <t xml:space="preserve">6b248529-b754-4be7-8b1a-91b9756fc2bc</t>
  </si>
  <si>
    <t xml:space="preserve">3bbc78d0-08c4-48ef-a863-704e32fddcb3</t>
  </si>
  <si>
    <t xml:space="preserve">a97ba30e-898d-4e73-bd62-ec8f636659c2</t>
  </si>
  <si>
    <t xml:space="preserve">Hydrocarbons, aliphatic, alkanes, cyclic</t>
  </si>
  <si>
    <t xml:space="preserve">fea16062-6c4b-4d59-be9e-e9b0b56ca9f0</t>
  </si>
  <si>
    <t xml:space="preserve">5f4baaf6-055e-491e-9852-258897ab5194</t>
  </si>
  <si>
    <t xml:space="preserve">5c9ec415-12f1-4390-bcff-3ff0fcd7ba73</t>
  </si>
  <si>
    <t xml:space="preserve">18282ab8-5b46-4c56-9038-588ed28a4a95</t>
  </si>
  <si>
    <t xml:space="preserve">81801aa8-01a0-41ac-8c3e-4bbda8dd1381</t>
  </si>
  <si>
    <t xml:space="preserve">Hydrocarbons, aliphatic, alkanes, unspecified</t>
  </si>
  <si>
    <t xml:space="preserve">84cd61aa-92a0-40d1-aad5-e9e5c0d4c93e</t>
  </si>
  <si>
    <t xml:space="preserve">17a98e7f-a8fd-431d-9bb6-6c4bf3fc5517</t>
  </si>
  <si>
    <t xml:space="preserve">2451f9df-0596-49ec-8380-08e4ad75a153</t>
  </si>
  <si>
    <t xml:space="preserve">bfa26b15-5340-441e-acb4-0bb19a4028d3</t>
  </si>
  <si>
    <t xml:space="preserve">9fd8c8e6-4159-4553-88f3-9c557626508e</t>
  </si>
  <si>
    <t xml:space="preserve">Hydrocarbons, aliphatic, unsaturated</t>
  </si>
  <si>
    <t xml:space="preserve">f228fcae-8e19-4a73-9d8c-60ec8adaea50</t>
  </si>
  <si>
    <t xml:space="preserve">2d50f4c8-a917-4496-a7d9-470b080faf68</t>
  </si>
  <si>
    <t xml:space="preserve">4cff006f-c6df-42a8-9dee-cc064f14326e</t>
  </si>
  <si>
    <t xml:space="preserve">34837fe3-4332-493c-86bb-95a207d9c234</t>
  </si>
  <si>
    <t xml:space="preserve">596712ce-d415-4636-a3cf-acc767b36857</t>
  </si>
  <si>
    <t xml:space="preserve">Hydrocarbons, aromatic</t>
  </si>
  <si>
    <t xml:space="preserve">34cbdeb9-6462-4938-a048-881a9f7e6978</t>
  </si>
  <si>
    <t xml:space="preserve">c67be924-e68d-4bc1-9dd9-25f33a6cad34</t>
  </si>
  <si>
    <t xml:space="preserve">3cca7f02-58b0-4b49-9938-e0f8bea03064</t>
  </si>
  <si>
    <t xml:space="preserve">8b5d5c1d-c786-4367-94f0-fae42cd3ac0a</t>
  </si>
  <si>
    <t xml:space="preserve">21f7d520-f329-4592-8880-949a08773371</t>
  </si>
  <si>
    <t xml:space="preserve">Hydrocarbons, chlorinated</t>
  </si>
  <si>
    <t xml:space="preserve">15a335be-9a71-431f-a0b0-56585fbafe5e</t>
  </si>
  <si>
    <t xml:space="preserve">d6626dfb-3ac8-4169-9e75-54c41ef2a582</t>
  </si>
  <si>
    <t xml:space="preserve">d14eb0da-95fd-46c3-90db-55ca33d78701</t>
  </si>
  <si>
    <t xml:space="preserve">626dd1d8-5355-40cb-8569-9c87c2c6ab18</t>
  </si>
  <si>
    <t xml:space="preserve">f9abb851-8731-4c5b-b057-863996a1f94a</t>
  </si>
  <si>
    <t xml:space="preserve">Hydrocarbons, unspecified</t>
  </si>
  <si>
    <t xml:space="preserve">c9a8073a-8a19-5b9b-a120-7d549563b67b</t>
  </si>
  <si>
    <t xml:space="preserve">Hydrochloric acid</t>
  </si>
  <si>
    <t xml:space="preserve">938b8b4d-9401-40de-901a-6e545a6f8d2a</t>
  </si>
  <si>
    <t xml:space="preserve">5b8f9dca-cb63-4332-8fd9-92a10aed2232</t>
  </si>
  <si>
    <t xml:space="preserve">1c84549b-9317-44b8-ad79-29c587e43bd3</t>
  </si>
  <si>
    <t xml:space="preserve">b301fa9a-ba60-4eac-8ccc-6ccbdf099b35</t>
  </si>
  <si>
    <t xml:space="preserve">8e906def-6bd5-4248-ac2b-94e6eedde3c9</t>
  </si>
  <si>
    <t xml:space="preserve">97178ead-47ba-406f-bd68-27d5fc6aa6f8</t>
  </si>
  <si>
    <t xml:space="preserve">Hydrogen chloride</t>
  </si>
  <si>
    <t xml:space="preserve">50f3bc1e-fafc-44a2-9800-4468d8c3b643</t>
  </si>
  <si>
    <t xml:space="preserve">68e32537-beae-41c2-be72-74df4d273c11</t>
  </si>
  <si>
    <t xml:space="preserve">c941d6d0-a56c-4e6c-95de-ac685635218d</t>
  </si>
  <si>
    <t xml:space="preserve">afcbd980-14c2-4e1d-a0aa-5f6464e5c76b</t>
  </si>
  <si>
    <t xml:space="preserve">ac15536a-92f5-48d7-9560-cba0ca43b526</t>
  </si>
  <si>
    <t xml:space="preserve">Hydrogen fluoride</t>
  </si>
  <si>
    <t xml:space="preserve">b1689d22-7f6d-432c-8948-13d8f6df8a27</t>
  </si>
  <si>
    <t xml:space="preserve">8b7dc667-f04e-492c-a161-80b1482126b0</t>
  </si>
  <si>
    <t xml:space="preserve">24541c8c-9f11-49ae-9de5-456f238a3f5e</t>
  </si>
  <si>
    <t xml:space="preserve">257eacb9-96fe-4a3d-961a-f5e6c7823ff0</t>
  </si>
  <si>
    <t xml:space="preserve">b39670dc-16e3-485e-b477-c54c996d7516</t>
  </si>
  <si>
    <t xml:space="preserve">Hydrogen peroxide</t>
  </si>
  <si>
    <t xml:space="preserve">2fd1f829-b1c3-4464-bc13-315d40387228</t>
  </si>
  <si>
    <t xml:space="preserve">922d8e44-3fcc-4663-be51-0892915596a0</t>
  </si>
  <si>
    <t xml:space="preserve">1dcf6b74-c474-420b-81ca-0b8d3d4f28d7</t>
  </si>
  <si>
    <t xml:space="preserve">8d179ea0-7b52-441e-954b-b5349d66340f</t>
  </si>
  <si>
    <t xml:space="preserve">a2d4ebed-c96c-47c9-b469-018dd1ae58ce</t>
  </si>
  <si>
    <t xml:space="preserve">Hydrogen sulfide</t>
  </si>
  <si>
    <t xml:space="preserve">59281544-7c5a-4101-a972-10118e8df6aa</t>
  </si>
  <si>
    <t xml:space="preserve">0b0ea9d1-9c54-4e23-bcfc-1b8fc2cf0358</t>
  </si>
  <si>
    <t xml:space="preserve">20d4d821-f4f7-4017-8810-f822fcdf619e</t>
  </si>
  <si>
    <t xml:space="preserve">e3cfaa07-9b68-4461-a06f-a0e4e59d41d3</t>
  </si>
  <si>
    <t xml:space="preserve">b082e84d-001a-4154-be49-5851cfa68ddf</t>
  </si>
  <si>
    <t xml:space="preserve">Hydrogen-3, Tritium</t>
  </si>
  <si>
    <t xml:space="preserve">bf75c125-b39c-49d3-b06e-83153db03bd8</t>
  </si>
  <si>
    <t xml:space="preserve">0cdaaa7e-3c23-419d-8ad5-12dc93c2e1e3</t>
  </si>
  <si>
    <t xml:space="preserve">22043b06-1981-45a5-bfbb-20ae6f253191</t>
  </si>
  <si>
    <t xml:space="preserve">b772118d-cb3e-4330-aa01-317b04703cb2</t>
  </si>
  <si>
    <t xml:space="preserve">334548b2-e05c-4e7b-9746-c27dd2aaa58c</t>
  </si>
  <si>
    <t xml:space="preserve">Imazamox</t>
  </si>
  <si>
    <t xml:space="preserve">51dfb4b5-5422-40b7-8692-1ca3559c0a8b</t>
  </si>
  <si>
    <t xml:space="preserve">Imazaquin</t>
  </si>
  <si>
    <t xml:space="preserve">66288ede-0d82-4069-886a-d8b2f38f0128</t>
  </si>
  <si>
    <t xml:space="preserve">Imazethapyr</t>
  </si>
  <si>
    <t xml:space="preserve">76608f33-7127-47f2-9718-383b3efe3b43</t>
  </si>
  <si>
    <t xml:space="preserve">Indeno(1,2,3-cd)pyrene</t>
  </si>
  <si>
    <t xml:space="preserve">5cf8884f-62a7-4cc0-8d5a-efe89beac559</t>
  </si>
  <si>
    <t xml:space="preserve">4e2078f2-3ac3-46d1-8ee8-a23c8d1909ed</t>
  </si>
  <si>
    <t xml:space="preserve">1471acca-34ab-4e04-9bd6-e3825b20580f</t>
  </si>
  <si>
    <t xml:space="preserve">446d8fe4-fde6-4640-bc23-f04a663bbc04</t>
  </si>
  <si>
    <t xml:space="preserve">f9923ae7-bdab-44d8-897c-44310aea76b7</t>
  </si>
  <si>
    <t xml:space="preserve">4809b1f7-9973-476f-90cc-465067d834f3</t>
  </si>
  <si>
    <t xml:space="preserve">Iodine-129</t>
  </si>
  <si>
    <t xml:space="preserve">0bd4b5ea-feb6-47d4-a657-c5b33b26fded</t>
  </si>
  <si>
    <t xml:space="preserve">4649902d-edc5-4d34-ae55-59993fe732d9</t>
  </si>
  <si>
    <t xml:space="preserve">106689fa-52d8-4f7d-aa5b-920122aaf1aa</t>
  </si>
  <si>
    <t xml:space="preserve">05bd7a83-0c53-4e95-b1eb-1140742f4176</t>
  </si>
  <si>
    <t xml:space="preserve">551ee803-cf94-4b0a-8a99-e19378207281</t>
  </si>
  <si>
    <t xml:space="preserve">Iodine-131</t>
  </si>
  <si>
    <t xml:space="preserve">19ff96c2-6796-44e3-ab85-3635e8cb7e89</t>
  </si>
  <si>
    <t xml:space="preserve">03e91172-fca0-47f3-9014-22ae3136251b</t>
  </si>
  <si>
    <t xml:space="preserve">c317b216-2668-40f8-9e24-1ce183d53697</t>
  </si>
  <si>
    <t xml:space="preserve">ddb14297-53e4-44c2-907c-47b27074ecaf</t>
  </si>
  <si>
    <t xml:space="preserve">6d7ac032-ed65-49b2-b621-d3922038cf27</t>
  </si>
  <si>
    <t xml:space="preserve">Iodine-133</t>
  </si>
  <si>
    <t xml:space="preserve">55ff8efa-cc35-407c-b5b4-b63781da2183</t>
  </si>
  <si>
    <t xml:space="preserve">eadea134-34d3-4581-9b0b-a59533dfd526</t>
  </si>
  <si>
    <t xml:space="preserve">29f7aad7-40e1-44db-af21-b3604c10b3f0</t>
  </si>
  <si>
    <t xml:space="preserve">0eca2efa-6bc8-40c9-9721-84f53d3ca94b</t>
  </si>
  <si>
    <t xml:space="preserve">8f0a7bf7-3fc0-4947-bc83-3cdfe112d9c5</t>
  </si>
  <si>
    <t xml:space="preserve">Iodine-135</t>
  </si>
  <si>
    <t xml:space="preserve">51ad3110-da7a-4625-b445-df74e83ae832</t>
  </si>
  <si>
    <t xml:space="preserve">46c4bd1f-30da-448c-897e-6aca882d78a4</t>
  </si>
  <si>
    <t xml:space="preserve">a18a3afb-9456-4b80-bafb-78be060c90dc</t>
  </si>
  <si>
    <t xml:space="preserve">c70af2bf-48c5-45d2-ba0a-53e576a36223</t>
  </si>
  <si>
    <t xml:space="preserve">e8bd2edd-f937-49f6-9e8b-9f445278775e</t>
  </si>
  <si>
    <t xml:space="preserve">0dc0bbb0-1141-4dff-b6a2-8bd5368e14af</t>
  </si>
  <si>
    <t xml:space="preserve">76152de4-9499-48f7-af98-a5d41842484a</t>
  </si>
  <si>
    <t xml:space="preserve">8dba66e2-0f2e-4038-84ef-1e40b4f573a6</t>
  </si>
  <si>
    <t xml:space="preserve">32cd0492-c0cb-4898-a2b1-675eedc5b688</t>
  </si>
  <si>
    <t xml:space="preserve">128e3b2b-08f7-4777-a984-0e3685e745ef</t>
  </si>
  <si>
    <t xml:space="preserve">Iron-59</t>
  </si>
  <si>
    <t xml:space="preserve">400330af-871b-4e34-b5cd-4a34eda6fc40</t>
  </si>
  <si>
    <t xml:space="preserve">953f7c14-1ad1-47bd-b907-c4d359f2c599</t>
  </si>
  <si>
    <t xml:space="preserve">b5bc86de-20f6-4791-8f67-e9ba7930f76c</t>
  </si>
  <si>
    <t xml:space="preserve">05573d40-39f4-4b4e-98be-2afa50a3b533</t>
  </si>
  <si>
    <t xml:space="preserve">3dba0484-8e84-4a42-ad11-665d589b56bc</t>
  </si>
  <si>
    <t xml:space="preserve">Isobutane</t>
  </si>
  <si>
    <t xml:space="preserve">81fc5084-ab42-4f82-b376-43942d23295d</t>
  </si>
  <si>
    <t xml:space="preserve">Isocyanic acid</t>
  </si>
  <si>
    <t xml:space="preserve">349a76e2-a467-439f-a179-76d16b656ed1</t>
  </si>
  <si>
    <t xml:space="preserve">31a4ca5f-abb9-4dc8-a16f-116c584d4f96</t>
  </si>
  <si>
    <t xml:space="preserve">ca6e057b-6b74-4ec2-83b0-0e82b98d97f2</t>
  </si>
  <si>
    <t xml:space="preserve">b465eb7f-dfe9-4057-ad17-c451d58fd753</t>
  </si>
  <si>
    <t xml:space="preserve">f0cc0453-32c0-48f5-b8d4-fc87d100b8d9</t>
  </si>
  <si>
    <t xml:space="preserve">Isoprene</t>
  </si>
  <si>
    <t xml:space="preserve">a31cd36e-e3ca-42ac-8d71-de1b6b12f523</t>
  </si>
  <si>
    <t xml:space="preserve">bf633941-aa40-4c37-b361-b5cbfb1089f5</t>
  </si>
  <si>
    <t xml:space="preserve">0c209634-80bb-4909-8442-3189b7cb01d7</t>
  </si>
  <si>
    <t xml:space="preserve">e5e50f39-ab65-4ed0-84c3-93707e85f4d4</t>
  </si>
  <si>
    <t xml:space="preserve">79507960-3ff9-473b-9343-2dad237426e1</t>
  </si>
  <si>
    <t xml:space="preserve">Isopropylamine</t>
  </si>
  <si>
    <t xml:space="preserve">e2ce19fb-c975-4002-ac3d-719f10990871</t>
  </si>
  <si>
    <t xml:space="preserve">ccc38b36-b24f-4630-a8b1-27eccb0b2dfc</t>
  </si>
  <si>
    <t xml:space="preserve">3bdac115-edd6-463f-8ad7-84552b81393c</t>
  </si>
  <si>
    <t xml:space="preserve">f72fe27e-d3bf-45f7-8950-542c72cb4502</t>
  </si>
  <si>
    <t xml:space="preserve">93a5cd9d-5cb4-4f3a-9d72-8d3216160cd6</t>
  </si>
  <si>
    <t xml:space="preserve">Krypton-85</t>
  </si>
  <si>
    <t xml:space="preserve">3616e7c0-d323-4dc7-96aa-e06ac7fd808b</t>
  </si>
  <si>
    <t xml:space="preserve">28be1d65-6b09-4ebd-8599-4366c3c2abab</t>
  </si>
  <si>
    <t xml:space="preserve">8653eab9-c010-4d0b-ae9f-71694cb5291f</t>
  </si>
  <si>
    <t xml:space="preserve">aa50ed3e-1b1d-46ac-b882-c0a69a764735</t>
  </si>
  <si>
    <t xml:space="preserve">168746ee-b79e-47d6-951e-b085e7e7130b</t>
  </si>
  <si>
    <t xml:space="preserve">Krypton-85m</t>
  </si>
  <si>
    <t xml:space="preserve">3a426398-ce2c-4803-aabf-d00b8bc1c277</t>
  </si>
  <si>
    <t xml:space="preserve">8aa45af3-ff38-4330-9870-81fd360db53b</t>
  </si>
  <si>
    <t xml:space="preserve">421a7f1b-01a5-4160-bb7e-32fa8967d9b9</t>
  </si>
  <si>
    <t xml:space="preserve">b96a93dd-c34a-4c2c-bbab-a012e5c1e19a</t>
  </si>
  <si>
    <t xml:space="preserve">959d46ab-6a28-48da-9584-7aa4909230f7</t>
  </si>
  <si>
    <t xml:space="preserve">Krypton-87</t>
  </si>
  <si>
    <t xml:space="preserve">68bdd315-335b-406b-ab7d-beefca01768a</t>
  </si>
  <si>
    <t xml:space="preserve">c5cd9e97-8986-4cb5-b3a5-adac2cc40d1a</t>
  </si>
  <si>
    <t xml:space="preserve">e49fc1ed-4bf5-4ec2-88b1-29ff979b37b8</t>
  </si>
  <si>
    <t xml:space="preserve">20604bc5-214d-4883-97e3-9b43078c634b</t>
  </si>
  <si>
    <t xml:space="preserve">b91e05b3-7c4b-469f-aa01-73eaf7c0720d</t>
  </si>
  <si>
    <t xml:space="preserve">Krypton-88</t>
  </si>
  <si>
    <t xml:space="preserve">7b836e07-985e-4962-8835-dc378299b12f</t>
  </si>
  <si>
    <t xml:space="preserve">56ce80e5-9a77-4a80-ad65-6208db560be5</t>
  </si>
  <si>
    <t xml:space="preserve">d350156f-e614-4206-9949-02de6f45f5ab</t>
  </si>
  <si>
    <t xml:space="preserve">0a250f4c-2bca-437d-8775-45e18e427e4a</t>
  </si>
  <si>
    <t xml:space="preserve">8d04e67c-b6a6-45dc-bce8-5deeb20720f3</t>
  </si>
  <si>
    <t xml:space="preserve">Krypton-89</t>
  </si>
  <si>
    <t xml:space="preserve">65a50013-0303-4ff2-a880-696dc23c2738</t>
  </si>
  <si>
    <t xml:space="preserve">24594cef-c50b-4e02-a5e3-c40cb06fea18</t>
  </si>
  <si>
    <t xml:space="preserve">e9633b45-9a6e-4d43-8c5e-4d59377bfe32</t>
  </si>
  <si>
    <t xml:space="preserve">db90e15b-d9d2-40ac-8b48-a409fe37f494</t>
  </si>
  <si>
    <t xml:space="preserve">ecc93a94-3bd5-4ecc-a6cc-d526e417c6fb</t>
  </si>
  <si>
    <t xml:space="preserve">Lactic acid</t>
  </si>
  <si>
    <t xml:space="preserve">538fe63d-1b39-4aab-b50c-427dd4c0552b</t>
  </si>
  <si>
    <t xml:space="preserve">d7000952-5775-43af-a422-ef7645f260d5</t>
  </si>
  <si>
    <t xml:space="preserve">35a27f5c-487b-48c6-bfd5-0a2dbacf2045</t>
  </si>
  <si>
    <t xml:space="preserve">7ad7644f-8796-438e-a15b-86345622886b</t>
  </si>
  <si>
    <t xml:space="preserve">470558a5-494c-4298-8cf8-9a64900b8d65</t>
  </si>
  <si>
    <t xml:space="preserve">Lactofen</t>
  </si>
  <si>
    <t xml:space="preserve">6bc58b2a-8d1c-4ebf-a0e7-76bb59ff462a</t>
  </si>
  <si>
    <t xml:space="preserve">Lambda-cyhalothrin</t>
  </si>
  <si>
    <t xml:space="preserve">ab70786f-a013-43ce-a081-991aeae14545</t>
  </si>
  <si>
    <t xml:space="preserve">cf733396-30c8-4525-a4d9-a2d7b13b6fa1</t>
  </si>
  <si>
    <t xml:space="preserve">c4028889-1082-4e18-a563-df3fa555828a</t>
  </si>
  <si>
    <t xml:space="preserve">b6e43995-389d-4353-a5ad-6957ab1ae048</t>
  </si>
  <si>
    <t xml:space="preserve">d9a421af-6952-4cae-82c3-26db427db3c4</t>
  </si>
  <si>
    <t xml:space="preserve">0898b1e9-b747-4589-86b3-ff20fd74ce64</t>
  </si>
  <si>
    <t xml:space="preserve">Lanthanum-140</t>
  </si>
  <si>
    <t xml:space="preserve">e744dc0a-de91-43db-b95e-76d72ba16678</t>
  </si>
  <si>
    <t xml:space="preserve">201afd00-a74f-4ede-bbf7-770e39ed6471</t>
  </si>
  <si>
    <t xml:space="preserve">b03fcc8f-b010-459d-b021-e832cff01700</t>
  </si>
  <si>
    <t xml:space="preserve">522e7ef4-82f0-4c8c-be63-ec23415f39ce</t>
  </si>
  <si>
    <t xml:space="preserve">b0d2b7b9-c76d-50d4-b776-b9419ae83abe</t>
  </si>
  <si>
    <t xml:space="preserve">Lauric acid</t>
  </si>
  <si>
    <t xml:space="preserve">9ee7f4ab-b826-47ae-8623-e138f944b42e</t>
  </si>
  <si>
    <t xml:space="preserve">fe4613d7-1ed8-427d-9b06-c8e8f4f5e1b1</t>
  </si>
  <si>
    <t xml:space="preserve">2718482b-8399-442e-b89a-52fbcc22d2e6</t>
  </si>
  <si>
    <t xml:space="preserve">8e123669-94d3-41d8-9480-a79211fe7c43</t>
  </si>
  <si>
    <t xml:space="preserve">6a903634-c97f-4c49-a7c0-88f0e6ac7a23</t>
  </si>
  <si>
    <t xml:space="preserve">141ec03e-9ec3-4cfe-853d-37cc66e1c333</t>
  </si>
  <si>
    <t xml:space="preserve">Lead-210</t>
  </si>
  <si>
    <t xml:space="preserve">f707adbb-1784-42ec-8970-6efa10cd790e</t>
  </si>
  <si>
    <t xml:space="preserve">e8783a01-d3f5-4c08-b7b0-12af0f33c20d</t>
  </si>
  <si>
    <t xml:space="preserve">00e73fdb-98df-4a03-8290-79931cddfd12</t>
  </si>
  <si>
    <t xml:space="preserve">356c6086-4835-4a0d-b1f2-10f8b6656d23</t>
  </si>
  <si>
    <t xml:space="preserve">85466e0f-e5b5-4084-9338-59e317f7cb09</t>
  </si>
  <si>
    <t xml:space="preserve">5d631176-844b-4533-9282-92d5561e5518</t>
  </si>
  <si>
    <t xml:space="preserve">Lithium carbonate</t>
  </si>
  <si>
    <t xml:space="preserve">e023deca-8929-4972-9528-e421a42e8bfd</t>
  </si>
  <si>
    <t xml:space="preserve">b905c8b8-a681-4c0b-8f38-baa5999e2da6</t>
  </si>
  <si>
    <t xml:space="preserve">800ec8a5-e0f2-4f47-8c43-dd93962cc0da</t>
  </si>
  <si>
    <t xml:space="preserve">4f97ccad-d991-448d-9517-58b67529d8f6</t>
  </si>
  <si>
    <t xml:space="preserve">41c97929-4fc4-4c35-bdf8-f999e4b492fd</t>
  </si>
  <si>
    <t xml:space="preserve">MCPA</t>
  </si>
  <si>
    <t xml:space="preserve">0e20b8fa-3f9a-41f2-b9aa-2b4e32c62264</t>
  </si>
  <si>
    <t xml:space="preserve">MCPB</t>
  </si>
  <si>
    <t xml:space="preserve">59542265-cf1b-4ad9-8477-699179fe2b2b</t>
  </si>
  <si>
    <t xml:space="preserve">24da5f03-1b1e-4a60-a925-248122c9d2a0</t>
  </si>
  <si>
    <t xml:space="preserve">0437e787-ef47-4a50-b11f-df7c743e860c</t>
  </si>
  <si>
    <t xml:space="preserve">aeefa758-5f4f-4bb4-a28a-4075e81f2fde</t>
  </si>
  <si>
    <t xml:space="preserve">ebfe261d-ab0d-4ade-8743-183c8c6bdcc6</t>
  </si>
  <si>
    <t xml:space="preserve">0af26a55-d357-469f-abad-8ced785cb4fb</t>
  </si>
  <si>
    <t xml:space="preserve">42053ffb-9284-49cb-88f9-33ac5c77be4a</t>
  </si>
  <si>
    <t xml:space="preserve">2460f868-54a9-404c-bec8-c809a44ae72c</t>
  </si>
  <si>
    <t xml:space="preserve">295060ba-3c3d-45e4-99ca-e17b1204b553</t>
  </si>
  <si>
    <t xml:space="preserve">b0546417-3064-4878-bd6f-2da75cefdf63</t>
  </si>
  <si>
    <t xml:space="preserve">9143372d-1042-4422-ac51-c197a4955292</t>
  </si>
  <si>
    <t xml:space="preserve">Manganese-54</t>
  </si>
  <si>
    <t xml:space="preserve">fdd3a558-5d4d-4ca0-b0a5-950051dc92da</t>
  </si>
  <si>
    <t xml:space="preserve">46a9723a-aca5-4b66-9367-47412ec9e3a0</t>
  </si>
  <si>
    <t xml:space="preserve">28955c40-9925-47d2-9770-dc18a4bba82a</t>
  </si>
  <si>
    <t xml:space="preserve">d2643677-b96c-4aec-a687-b5b2d4ba9368</t>
  </si>
  <si>
    <t xml:space="preserve">dc90db73-6f27-403d-baf1-cb7e0b6cae31</t>
  </si>
  <si>
    <t xml:space="preserve">48aa661d-be05-4c24-94fe-8d6feb3dcb31</t>
  </si>
  <si>
    <t xml:space="preserve">5ec9c16a-959d-44cd-be7d-a935727d2151</t>
  </si>
  <si>
    <t xml:space="preserve">71234253-b3a7-4dfe-b166-a484ad15bee7</t>
  </si>
  <si>
    <t xml:space="preserve">a850e6de-a007-432f-be7f-ce6e2cf1f2ae</t>
  </si>
  <si>
    <t xml:space="preserve">09e231fa-b1c2-4d63-9c57-7ea0e2210858</t>
  </si>
  <si>
    <t xml:space="preserve">Methane, bromo-, Halon 1001</t>
  </si>
  <si>
    <t xml:space="preserve">6bdb666d-e227-4f57-9b1d-d25009d3c44b</t>
  </si>
  <si>
    <t xml:space="preserve">701cda28-4722-431c-b52f-05a735ef5ed3</t>
  </si>
  <si>
    <t xml:space="preserve">8c283de2-50d3-40c8-8bff-1e172c3398f8</t>
  </si>
  <si>
    <t xml:space="preserve">4bf1c333-419b-4278-ac14-247c8bf563d6</t>
  </si>
  <si>
    <t xml:space="preserve">06a4fedf-dab4-4ef1-90df-1d0ce8fe6477</t>
  </si>
  <si>
    <t xml:space="preserve">Methane, bromochlorodifluoro-, Halon 1211</t>
  </si>
  <si>
    <t xml:space="preserve">50f528ca-45e7-42d0-b399-998ea63ddabf</t>
  </si>
  <si>
    <t xml:space="preserve">494eb62d-3e16-4a81-b344-6d6dfd9fd4e2</t>
  </si>
  <si>
    <t xml:space="preserve">ee31ac2a-9336-4ed6-8077-9663003bc2f9</t>
  </si>
  <si>
    <t xml:space="preserve">816c43d1-bc30-4a72-81db-08cb6be4da4f</t>
  </si>
  <si>
    <t xml:space="preserve">96b52062-5e2f-40de-921a-f443c08862e4</t>
  </si>
  <si>
    <t xml:space="preserve">Methane, bromotrifluoro-, Halon 1301</t>
  </si>
  <si>
    <t xml:space="preserve">cf719b78-9834-4649-a1dd-8554c366c83f</t>
  </si>
  <si>
    <t xml:space="preserve">82957257-07f3-4536-ac8b-175cb2353c75</t>
  </si>
  <si>
    <t xml:space="preserve">4ac2ffc3-312e-4e2d-88c4-2630d4a73d8c</t>
  </si>
  <si>
    <t xml:space="preserve">18ddd879-5496-4419-8ab7-e0d3864d977d</t>
  </si>
  <si>
    <t xml:space="preserve">8b1912e7-fa62-4fa7-9d33-46da503ad788</t>
  </si>
  <si>
    <t xml:space="preserve">Methane, chloro-fluoro-, HCFC-31</t>
  </si>
  <si>
    <t xml:space="preserve">41f45128-cebe-4ece-aafa-7406a5c98775</t>
  </si>
  <si>
    <t xml:space="preserve">46ecffe9-d6c6-4763-b575-dd73d5bdd727</t>
  </si>
  <si>
    <t xml:space="preserve">5eafb840-6f50-418d-98bd-27b86f75613c</t>
  </si>
  <si>
    <t xml:space="preserve">5fa05c4f-8766-41ff-9dd1-fa47c0b7ea48</t>
  </si>
  <si>
    <t xml:space="preserve">9b505d7c-4239-40e0-9dbe-55d38f3b85b3</t>
  </si>
  <si>
    <t xml:space="preserve">Methane, chlorodifluoro-, HCFC-22</t>
  </si>
  <si>
    <t xml:space="preserve">26991da1-c263-4707-9f85-78685acc94dc</t>
  </si>
  <si>
    <t xml:space="preserve">56b7d3b6-83d7-42b0-a65b-5ad23e29db47</t>
  </si>
  <si>
    <t xml:space="preserve">18c582fe-7336-4138-8797-2db8b7a754c7</t>
  </si>
  <si>
    <t xml:space="preserve">8ca6c84b-7f56-47e6-8d17-4f2dbc49a943</t>
  </si>
  <si>
    <t xml:space="preserve">5dfb74d2-fa15-4f2d-bf7c-5aa45a41ec7f</t>
  </si>
  <si>
    <t xml:space="preserve">Methane, chlorotrifluoro-, CFC-13</t>
  </si>
  <si>
    <t xml:space="preserve">b9c1ac70-e2eb-4fcd-bc63-befa92866af5</t>
  </si>
  <si>
    <t xml:space="preserve">23a9f33d-dbab-4fcc-8f49-1df731b0b827</t>
  </si>
  <si>
    <t xml:space="preserve">e06e2e1e-ad87-49e2-a184-f2d1c48b7b46</t>
  </si>
  <si>
    <t xml:space="preserve">43bc4fc0-bfeb-46d6-b3de-f69c3ccd622a</t>
  </si>
  <si>
    <t xml:space="preserve">f903c2fb-71bf-4568-99fc-6aa7ed7bc922</t>
  </si>
  <si>
    <t xml:space="preserve">Methane, dichloro-, HCC-30</t>
  </si>
  <si>
    <t xml:space="preserve">b328d33e-9a9f-407d-a767-5c64ccdc163f</t>
  </si>
  <si>
    <t xml:space="preserve">d4b61c6c-a620-4a91-afc6-ca87ef97b55a</t>
  </si>
  <si>
    <t xml:space="preserve">432a3326-73f8-4752-bc4d-06b7b4b1243c</t>
  </si>
  <si>
    <t xml:space="preserve">2716807d-0266-48ff-bb7a-6e6c5fbfd5c5</t>
  </si>
  <si>
    <t xml:space="preserve">31f8976a-6f7d-487e-a850-eb495dbf0351</t>
  </si>
  <si>
    <t xml:space="preserve">Methane, dichlorodifluoro-, CFC-12</t>
  </si>
  <si>
    <t xml:space="preserve">1013b9ec-a7b5-459c-be3d-74f61b9ce06e</t>
  </si>
  <si>
    <t xml:space="preserve">e93ba406-3df8-4e34-be54-0d556b2bb629</t>
  </si>
  <si>
    <t xml:space="preserve">c0e8ec60-a5ae-432e-97a5-cf76b6247a00</t>
  </si>
  <si>
    <t xml:space="preserve">31a3e44c-4098-461e-aba2-f79540e05087</t>
  </si>
  <si>
    <t xml:space="preserve">34de4196-871a-4db8-a182-589ab780a935</t>
  </si>
  <si>
    <t xml:space="preserve">Methane, dichlorofluoro-, HCFC-21</t>
  </si>
  <si>
    <t xml:space="preserve">de8d76cb-7216-4e6f-8bf2-8cdf76e99902</t>
  </si>
  <si>
    <t xml:space="preserve">727835b8-c650-4d46-882f-35b2a366b559</t>
  </si>
  <si>
    <t xml:space="preserve">04a6edb8-624a-484e-8f85-d771657adae7</t>
  </si>
  <si>
    <t xml:space="preserve">3c8af80d-7ff8-43f4-b1a7-cef73b1b4682</t>
  </si>
  <si>
    <t xml:space="preserve">33a791a2-a1e7-446b-b25a-b3be6159bae4</t>
  </si>
  <si>
    <t xml:space="preserve">Methane, difluoro-, HFC-32</t>
  </si>
  <si>
    <t xml:space="preserve">20d0fc73-b9ce-4001-ac15-893b30ed10a3</t>
  </si>
  <si>
    <t xml:space="preserve">8fbe2c56-c213-4501-b95e-ff57a76fbd6f</t>
  </si>
  <si>
    <t xml:space="preserve">151212b4-079b-43a2-96d5-a6eef59166ac</t>
  </si>
  <si>
    <t xml:space="preserve">c9028b09-c12d-421b-9944-7d145e196ebc</t>
  </si>
  <si>
    <t xml:space="preserve">f3bd723a-5276-4ae8-9860-b89537351a90</t>
  </si>
  <si>
    <t xml:space="preserve">Methane, fossil</t>
  </si>
  <si>
    <t xml:space="preserve">6b1b495b-70ee-4be6-b1c2-3031aa4d6add</t>
  </si>
  <si>
    <t xml:space="preserve">70ef743b-3ed5-4a6d-b192-fb6d62378555</t>
  </si>
  <si>
    <t xml:space="preserve">0795345f-c7ae-410c-ad25-1845784c75f5</t>
  </si>
  <si>
    <t xml:space="preserve">5f7aad3d-566c-4d0d-ad59-e765f971aa0f</t>
  </si>
  <si>
    <t xml:space="preserve">288c4e8a-d371-4bc1-b45b-c4b0cefd400e</t>
  </si>
  <si>
    <t xml:space="preserve">Methane, from soil or biomass stock</t>
  </si>
  <si>
    <t xml:space="preserve">f757365c-c6fd-41fe-ad32-3594ccd97ef0</t>
  </si>
  <si>
    <t xml:space="preserve">ef4566f0-60d5-4bbe-a2cb-7268a81fecd4</t>
  </si>
  <si>
    <t xml:space="preserve">9541a975-800f-4fed-9edf-28f6e411a015</t>
  </si>
  <si>
    <t xml:space="preserve">7f0ba7c9-341e-413d-80f6-8753727d65d1</t>
  </si>
  <si>
    <t xml:space="preserve">299c6564-426e-48c3-b516-fdf301d12127</t>
  </si>
  <si>
    <t xml:space="preserve">246c87af-4495-4977-8d39-eae397c1c8f1</t>
  </si>
  <si>
    <t xml:space="preserve">Methane, monochloro-, R-40</t>
  </si>
  <si>
    <t xml:space="preserve">0f70e720-127e-44dc-bb85-438158235ab6</t>
  </si>
  <si>
    <t xml:space="preserve">ed63abd0-7cc6-4825-8759-b367e560fe95</t>
  </si>
  <si>
    <t xml:space="preserve">18ea247b-edc2-43fe-89bd-cedd04102bcc</t>
  </si>
  <si>
    <t xml:space="preserve">370447a7-70d1-47bd-8577-0a32c4f53570</t>
  </si>
  <si>
    <t xml:space="preserve">6c977009-5c4e-4901-a4c1-ab20389cb972</t>
  </si>
  <si>
    <t xml:space="preserve">Methane, non-fossil</t>
  </si>
  <si>
    <t xml:space="preserve">258263a0-6be3-4439-bd84-efee0498b849</t>
  </si>
  <si>
    <t xml:space="preserve">57bdb443-d4a6-423d-8024-959b8261d02e</t>
  </si>
  <si>
    <t xml:space="preserve">da1157e2-7593-4dfd-80dd-a3449b37a4d8</t>
  </si>
  <si>
    <t xml:space="preserve">baf58fc9-573c-419c-8c16-831ac03203b9</t>
  </si>
  <si>
    <t xml:space="preserve">ba5c9458-44df-4d93-a7c3-9389f65166d8</t>
  </si>
  <si>
    <t xml:space="preserve">Methane, tetrachloro-, R-10</t>
  </si>
  <si>
    <t xml:space="preserve">6c833956-6302-47c3-8abc-7ecae92266fb</t>
  </si>
  <si>
    <t xml:space="preserve">0f9f3e17-eb81-4adb-8170-049bc6b66728</t>
  </si>
  <si>
    <t xml:space="preserve">86d12e70-0c64-4ecf-ba52-114fa0c5d402</t>
  </si>
  <si>
    <t xml:space="preserve">5c97dd6c-aaa5-4477-aaf8-dbd0674499c4</t>
  </si>
  <si>
    <t xml:space="preserve">e59a199f-d4ed-4d43-82b1-71c4a8fae867</t>
  </si>
  <si>
    <t xml:space="preserve">Methane, tetrafluoro-, R-14</t>
  </si>
  <si>
    <t xml:space="preserve">6d023c39-c04e-4305-b2e4-adc89b53e708</t>
  </si>
  <si>
    <t xml:space="preserve">b353e7d2-5b94-4b6e-a3e5-de0a10bef851</t>
  </si>
  <si>
    <t xml:space="preserve">33681770-a0e1-4ce8-93c3-941fd607fa5f</t>
  </si>
  <si>
    <t xml:space="preserve">dfe1da1e-7756-4f7e-a393-6d5e2342a962</t>
  </si>
  <si>
    <t xml:space="preserve">3feb6415-ae50-4bb7-b9d1-c18d99f8a87f</t>
  </si>
  <si>
    <t xml:space="preserve">Methane, trichlorofluoro-, CFC-11</t>
  </si>
  <si>
    <t xml:space="preserve">6e61b542-5681-44f4-afcb-e30368bca420</t>
  </si>
  <si>
    <t xml:space="preserve">a916ca1b-4ece-4630-a563-ae3253efc04f</t>
  </si>
  <si>
    <t xml:space="preserve">51e99a55-bcdb-4d18-9484-6de4b142e09d</t>
  </si>
  <si>
    <t xml:space="preserve">33a69662-583b-45b8-8cb9-94f59fca9133</t>
  </si>
  <si>
    <t xml:space="preserve">dc78690a-2b0a-49fc-8272-b811fb25ff6c</t>
  </si>
  <si>
    <t xml:space="preserve">Methane, trifluoro-, HFC-23</t>
  </si>
  <si>
    <t xml:space="preserve">a3724600-89c1-4f35-97c9-0de3adbadc8b</t>
  </si>
  <si>
    <t xml:space="preserve">5e2e1740-1bb9-4157-b816-6cb5aa006437</t>
  </si>
  <si>
    <t xml:space="preserve">e5ba3517-a93f-422e-9ce2-f1007fcf6c06</t>
  </si>
  <si>
    <t xml:space="preserve">8f87dcf1-0177-4d62-bea0-a5dd8647ef8c</t>
  </si>
  <si>
    <t xml:space="preserve">b04daef0-4ca6-43e4-8841-4eb95a8a0e6f</t>
  </si>
  <si>
    <t xml:space="preserve">Methanesulfonic acid</t>
  </si>
  <si>
    <t xml:space="preserve">4b470546-8110-49f5-af13-1bf7eb11b78e</t>
  </si>
  <si>
    <t xml:space="preserve">1e2636dd-752e-4148-bdeb-d3e9abb4775e</t>
  </si>
  <si>
    <t xml:space="preserve">4ddc40ac-2b6a-4f7f-8f8a-db439b443263</t>
  </si>
  <si>
    <t xml:space="preserve">6f3fd3ca-1340-421a-9149-98a21c102041</t>
  </si>
  <si>
    <t xml:space="preserve">d482b568-0604-4433-87b2-1340f7a17512</t>
  </si>
  <si>
    <t xml:space="preserve">Methanol</t>
  </si>
  <si>
    <t xml:space="preserve">adf4ac5e-7edd-4ca3-9adb-0b50903a71c1</t>
  </si>
  <si>
    <t xml:space="preserve">1d2439de-751b-469a-ba3e-fda8fe9802b2</t>
  </si>
  <si>
    <t xml:space="preserve">0ebdb68a-f50d-4b0c-ad4b-3a1104d8b454</t>
  </si>
  <si>
    <t xml:space="preserve">f873299d-0675-4fdc-ad01-c5a4b951b583</t>
  </si>
  <si>
    <t xml:space="preserve">6a45c705-855a-416d-8459-5fb6521b9b73</t>
  </si>
  <si>
    <t xml:space="preserve">Methomyl</t>
  </si>
  <si>
    <t xml:space="preserve">0d4989fd-00e3-4522-905f-2ab6a1bd5677</t>
  </si>
  <si>
    <t xml:space="preserve">Methyl acetate</t>
  </si>
  <si>
    <t xml:space="preserve">435b0dec-6a6a-4f44-8fa4-0988332459f5</t>
  </si>
  <si>
    <t xml:space="preserve">ba38866f-4480-48a7-9e22-92a16fc3e9c5</t>
  </si>
  <si>
    <t xml:space="preserve">bd70c699-1ea1-4bb1-b23d-bc771d7d6311</t>
  </si>
  <si>
    <t xml:space="preserve">ef06f2a4-4b8c-4740-9e06-0c2126d1839a</t>
  </si>
  <si>
    <t xml:space="preserve">17d135a5-2367-40d1-864b-fe817cd2284e</t>
  </si>
  <si>
    <t xml:space="preserve">Methyl acrylate</t>
  </si>
  <si>
    <t xml:space="preserve">4909973f-d10f-41aa-bf17-68f1d9dd21bc</t>
  </si>
  <si>
    <t xml:space="preserve">d73b06f1-4a08-445b-919a-e8f3e98d4ad1</t>
  </si>
  <si>
    <t xml:space="preserve">39c49db2-409a-4d5d-93f5-454535398965</t>
  </si>
  <si>
    <t xml:space="preserve">6994b171-4ce1-4877-9c17-c206180fcea3</t>
  </si>
  <si>
    <t xml:space="preserve">b42ad523-227d-4774-bcc6-a5f4f7ba2bb2</t>
  </si>
  <si>
    <t xml:space="preserve">Methyl amine</t>
  </si>
  <si>
    <t xml:space="preserve">78457869-af20-404f-a3bf-bad384fc177b</t>
  </si>
  <si>
    <t xml:space="preserve">a7284b4f-39ea-40a8-8207-91e77c455a08</t>
  </si>
  <si>
    <t xml:space="preserve">ec420d84-577b-402e-bd90-f8a4b2310135</t>
  </si>
  <si>
    <t xml:space="preserve">7238734e-18ef-4759-914d-61e9ed11bd4e</t>
  </si>
  <si>
    <t xml:space="preserve">512a4c49-ad90-44b3-815b-59c4b9988f8a</t>
  </si>
  <si>
    <t xml:space="preserve">Methyl borate</t>
  </si>
  <si>
    <t xml:space="preserve">419bd741-384e-41ba-a432-5ad25e006a45</t>
  </si>
  <si>
    <t xml:space="preserve">921f6b09-e1c7-434d-80f6-9d26542f09a6</t>
  </si>
  <si>
    <t xml:space="preserve">971246f7-14d9-4ad5-98da-fc147dd8800f</t>
  </si>
  <si>
    <t xml:space="preserve">055bf521-b162-4172-b7db-da4df197d671</t>
  </si>
  <si>
    <t xml:space="preserve">a93012b9-5223-4716-842b-23d4bb53119f</t>
  </si>
  <si>
    <t xml:space="preserve">Methyl ethyl ketone</t>
  </si>
  <si>
    <t xml:space="preserve">903e0cf9-6ef2-42a1-b3a8-364dfe6d04d3</t>
  </si>
  <si>
    <t xml:space="preserve">54b35742-21ff-4454-8a3d-f31577e308b3</t>
  </si>
  <si>
    <t xml:space="preserve">d3709c7e-7c61-45a4-92e4-f7cf95ebe3a2</t>
  </si>
  <si>
    <t xml:space="preserve">26b5c174-e20e-430a-a4b1-44de4af8b40f</t>
  </si>
  <si>
    <t xml:space="preserve">2563243b-9991-4fb4-bfe7-4239c25de7db</t>
  </si>
  <si>
    <t xml:space="preserve">Methyl formate</t>
  </si>
  <si>
    <t xml:space="preserve">f4ce8a13-0159-48e3-a773-669d75e9fd78</t>
  </si>
  <si>
    <t xml:space="preserve">a6386bef-e154-4862-967c-f3767d7f9a2a</t>
  </si>
  <si>
    <t xml:space="preserve">4877b7b5-0ac1-47f7-96bd-677179544c9f</t>
  </si>
  <si>
    <t xml:space="preserve">a71b27f2-3bcb-4bcc-a0c6-b6a123f0b42e</t>
  </si>
  <si>
    <t xml:space="preserve">aeb30261-e0d7-4c02-9f00-3c5df948a553</t>
  </si>
  <si>
    <t xml:space="preserve">Methyl lactate</t>
  </si>
  <si>
    <t xml:space="preserve">7c2a4d8b-a21a-4688-93b2-1fe41ce9e5d9</t>
  </si>
  <si>
    <t xml:space="preserve">0485e80e-e793-4ec8-b50b-5ac6c2e6206f</t>
  </si>
  <si>
    <t xml:space="preserve">a3b906e7-7466-4500-8636-f1a4c2950eb8</t>
  </si>
  <si>
    <t xml:space="preserve">80ef64e4-312c-485a-be3d-30856adc0c11</t>
  </si>
  <si>
    <t xml:space="preserve">23b6a72b-f926-40e3-b88a-0fb565d36de1</t>
  </si>
  <si>
    <t xml:space="preserve">Methyl parathion</t>
  </si>
  <si>
    <t xml:space="preserve">be13179a-7e8b-57f8-9852-137ce88a1525</t>
  </si>
  <si>
    <t xml:space="preserve">Methylamine</t>
  </si>
  <si>
    <t xml:space="preserve">b90c9726-20b9-4d44-b169-368273e9a3d4</t>
  </si>
  <si>
    <t xml:space="preserve">Metolachlor</t>
  </si>
  <si>
    <t xml:space="preserve">a1201fc1-a799-4832-940b-a0b247f2cf42</t>
  </si>
  <si>
    <t xml:space="preserve">Metribuzin</t>
  </si>
  <si>
    <t xml:space="preserve">35b4d818-1019-413b-b99d-d351d8a67ac4</t>
  </si>
  <si>
    <t xml:space="preserve">697e8ecf-bdbe-4857-92c9-e01960c91db7</t>
  </si>
  <si>
    <t xml:space="preserve">5fa36ce3-aed0-443b-a09d-4cdf25b41995</t>
  </si>
  <si>
    <t xml:space="preserve">640e30d2-3158-4a1a-82ef-fd0c72922c9a</t>
  </si>
  <si>
    <t xml:space="preserve">c26d4716-ce1e-43da-a662-cd9498b1e8bc</t>
  </si>
  <si>
    <t xml:space="preserve">10e38581-58c8-4b27-85a4-6db6a83286ba</t>
  </si>
  <si>
    <t xml:space="preserve">Monochloroethane</t>
  </si>
  <si>
    <t xml:space="preserve">4394c871-7245-4bfc-8e9d-9a875e81b7ee</t>
  </si>
  <si>
    <t xml:space="preserve">1dfddbaf-11aa-4001-89e7-1303b3a95e02</t>
  </si>
  <si>
    <t xml:space="preserve">bce77a75-c399-4fa6-94ab-90d0e704ebde</t>
  </si>
  <si>
    <t xml:space="preserve">f3f34697-7231-4575-aaf5-e35b972d329a</t>
  </si>
  <si>
    <t xml:space="preserve">7d0a70b2-a645-49a1-baa2-26b1c782f17c</t>
  </si>
  <si>
    <t xml:space="preserve">Monoethanolamine</t>
  </si>
  <si>
    <t xml:space="preserve">e4ff4151-febe-4c3f-bfaf-924d6f7bf101</t>
  </si>
  <si>
    <t xml:space="preserve">54fbc219-056c-4156-ae4f-f3a5d598665f</t>
  </si>
  <si>
    <t xml:space="preserve">9f550c00-0f0f-45e7-a29c-a450752d4c7a</t>
  </si>
  <si>
    <t xml:space="preserve">b9f74a13-1d9c-444e-ba61-1ea1abac70b7</t>
  </si>
  <si>
    <t xml:space="preserve">040b40e8-bc9f-4219-ba9f-b648cb4c7a98</t>
  </si>
  <si>
    <t xml:space="preserve">N-Bromoacetamide</t>
  </si>
  <si>
    <t xml:space="preserve">bbff44a2-cd6d-4200-98c7-e4f772fd24c5</t>
  </si>
  <si>
    <t xml:space="preserve">fa47e330-a448-485c-8f5e-294a0c740711</t>
  </si>
  <si>
    <t xml:space="preserve">c37ff1f2-c2de-4d31-a875-8b6265ab97bf</t>
  </si>
  <si>
    <t xml:space="preserve">e9a52ea8-864d-4ed7-94dd-64bef4cae2cd</t>
  </si>
  <si>
    <t xml:space="preserve">3f5339ef-1939-4f44-8cd6-98ac7584d456</t>
  </si>
  <si>
    <t xml:space="preserve">NMVOC, non-methane volatile organic compounds, unspecified origin</t>
  </si>
  <si>
    <t xml:space="preserve">36c96aed-9335-4564-8cdd-46f01a13700c</t>
  </si>
  <si>
    <t xml:space="preserve">33b38ccb-593b-4b11-b965-10d747ba3556</t>
  </si>
  <si>
    <t xml:space="preserve">d3260d0e-8203-4cbb-a45a-6a13131a5108</t>
  </si>
  <si>
    <t xml:space="preserve">175baa64-d985-4c5e-84ef-67cc3a1cf952</t>
  </si>
  <si>
    <t xml:space="preserve">7346ba9f-476c-4343-9f37-d1bb174eed6d</t>
  </si>
  <si>
    <t xml:space="preserve">Naphtalene</t>
  </si>
  <si>
    <t xml:space="preserve">3df4c2f4-c854-4493-b514-f2f3accdc307</t>
  </si>
  <si>
    <t xml:space="preserve">Naphthalene</t>
  </si>
  <si>
    <t xml:space="preserve">6827e89e-d0ed-46d3-9337-7deb9f8848bc</t>
  </si>
  <si>
    <t xml:space="preserve">Neptunium-237</t>
  </si>
  <si>
    <t xml:space="preserve">f78331c1-2f23-4661-b37e-c51c9eea5384</t>
  </si>
  <si>
    <t xml:space="preserve">37c36adc-7728-4081-81f3-6cc2da7c9f9f</t>
  </si>
  <si>
    <t xml:space="preserve">9fb84b6b-8396-4190-80f0-fc8cbc97b107</t>
  </si>
  <si>
    <t xml:space="preserve">d36067a2-bf88-4726-8a32-ce13d3056103</t>
  </si>
  <si>
    <t xml:space="preserve">c89873de-cd23-4323-a948-f5cfeebd2fc9</t>
  </si>
  <si>
    <t xml:space="preserve">0545c382-2312-43b6-9ec3-63dbb1438565</t>
  </si>
  <si>
    <t xml:space="preserve">e8fc62ba-678e-4706-97d2-b79d83e227d5</t>
  </si>
  <si>
    <t xml:space="preserve">a5506f4b-113f-4713-95c3-c819dde6e48b</t>
  </si>
  <si>
    <t xml:space="preserve">e43a270f-4f88-4789-a0b8-7aba56677743</t>
  </si>
  <si>
    <t xml:space="preserve">8e98345c-5524-473d-9b23-437ac336f21a</t>
  </si>
  <si>
    <t xml:space="preserve">Niobium-95</t>
  </si>
  <si>
    <t xml:space="preserve">8e70c356-ceaa-4f83-8a06-55ec5eadd14a</t>
  </si>
  <si>
    <t xml:space="preserve">6f1e995b-5915-4363-bd2c-d1e76ee446e0</t>
  </si>
  <si>
    <t xml:space="preserve">70896cfa-fd83-4a5d-b663-74f7e4670217</t>
  </si>
  <si>
    <t xml:space="preserve">8a049876-3082-49ab-af0a-511ef7d331a9</t>
  </si>
  <si>
    <t xml:space="preserve">205617ae-ebc5-4245-8df6-8710d5d40615</t>
  </si>
  <si>
    <t xml:space="preserve">Nitrate</t>
  </si>
  <si>
    <t xml:space="preserve">0e9e6b81-0a68-4350-8368-566c083bd3e0</t>
  </si>
  <si>
    <t xml:space="preserve">cbd70647-6237-462a-9d01-d197a8b08506</t>
  </si>
  <si>
    <t xml:space="preserve">5e7cf95c-9cc3-4479-89af-55377b3db99c</t>
  </si>
  <si>
    <t xml:space="preserve">15ca802b-f541-44aa-bd33-35560a053193</t>
  </si>
  <si>
    <t xml:space="preserve">17f7e776-7934-54af-8c3c-ed0247cb697b</t>
  </si>
  <si>
    <t xml:space="preserve">Nitric oxide</t>
  </si>
  <si>
    <t xml:space="preserve">c4db66cb-0449-4c8c-ab90-efc3329e62df</t>
  </si>
  <si>
    <t xml:space="preserve">Nitrobenzene</t>
  </si>
  <si>
    <t xml:space="preserve">2fdf4d27-d787-4a48-9e8e-8cbd79246c74</t>
  </si>
  <si>
    <t xml:space="preserve">7f4b72f2-fcd8-481f-9931-eb2cde502add</t>
  </si>
  <si>
    <t xml:space="preserve">3be7ab07-a4fd-4d32-a31f-134d2c5b5143</t>
  </si>
  <si>
    <t xml:space="preserve">1753af55-cfa1-4fb2-a059-33594a759982</t>
  </si>
  <si>
    <t xml:space="preserve">e5ea66ee-28e2-4e9b-9a25-4414551d821c</t>
  </si>
  <si>
    <t xml:space="preserve">4c097625-506e-4dfc-a170-75fda90cf7cb</t>
  </si>
  <si>
    <t xml:space="preserve">Nitrogen fluoride</t>
  </si>
  <si>
    <t xml:space="preserve">fdf090d7-ee05-4f33-8b7f-5504c718c3cd</t>
  </si>
  <si>
    <t xml:space="preserve">f8cf5fd7-9f94-4870-9e6a-768deae9b766</t>
  </si>
  <si>
    <t xml:space="preserve">e79e03c3-5b19-45f6-b3f3-bf710c6663d2</t>
  </si>
  <si>
    <t xml:space="preserve">1fdc280a-34d3-4513-b110-3f526b17c443</t>
  </si>
  <si>
    <t xml:space="preserve">9115356e-a534-4329-9ec6-d9208720241b</t>
  </si>
  <si>
    <t xml:space="preserve">4841a0fe-c250-4a39-94a1-1bc31426c0f1</t>
  </si>
  <si>
    <t xml:space="preserve">77357947-ccc5-438e-9996-95e65e1e1bce</t>
  </si>
  <si>
    <t xml:space="preserve">c1b91234-6f24-417b-8309-46111d09c457</t>
  </si>
  <si>
    <t xml:space="preserve">dd2727df-3508-4dc1-bc82-9654d92ed04c</t>
  </si>
  <si>
    <t xml:space="preserve">Noble gases, radioactive, unspecified</t>
  </si>
  <si>
    <t xml:space="preserve">a385870b-a14e-4fc1-a8e9-4d37257bf970</t>
  </si>
  <si>
    <t xml:space="preserve">bd64a010-0115-47ca-942f-cbdac1d26b87</t>
  </si>
  <si>
    <t xml:space="preserve">fef20853-5b12-4b7f-8228-0dcbe0baba1c</t>
  </si>
  <si>
    <t xml:space="preserve">6a5c3836-68f2-4258-8424-eeade996a16a</t>
  </si>
  <si>
    <t xml:space="preserve">3135755c-1082-5c68-9290-55b858fd7ff2</t>
  </si>
  <si>
    <t xml:space="preserve">Octaethylene glycol monododecyl ether</t>
  </si>
  <si>
    <t xml:space="preserve">d7a10d03-8f76-4b5f-8dd5-5b0f827568fc</t>
  </si>
  <si>
    <t xml:space="preserve">Organic carbon</t>
  </si>
  <si>
    <t xml:space="preserve">fa8dc41a-ffc4-4665-af39-7c813795183a</t>
  </si>
  <si>
    <t xml:space="preserve">Ozone</t>
  </si>
  <si>
    <t xml:space="preserve">085bfe35-58e0-4a33-850c-4cb87ce32352</t>
  </si>
  <si>
    <t xml:space="preserve">404a34e3-251d-4d4f-9f53-9c27f99bfc0e</t>
  </si>
  <si>
    <t xml:space="preserve">2058d91e-bb9f-4fce-8e53-131825b14a23</t>
  </si>
  <si>
    <t xml:space="preserve">d4f71fc2-2fb6-4d80-b3cd-6e4f197a114f</t>
  </si>
  <si>
    <t xml:space="preserve">641ba62d-63a4-451c-bff0-aa5c08965393</t>
  </si>
  <si>
    <t xml:space="preserve">PAH, polycyclic aromatic hydrocarbons</t>
  </si>
  <si>
    <t xml:space="preserve">1f5330ac-e81c-45f2-8c9c-335b531faab0</t>
  </si>
  <si>
    <t xml:space="preserve">13d898ac-b9be-4723-a153-565e2a9144ac</t>
  </si>
  <si>
    <t xml:space="preserve">3e5d7d91-67d7-4afb-91dd-36fab58e4685</t>
  </si>
  <si>
    <t xml:space="preserve">9d1efa17-070a-4602-a65f-daf5056b0647</t>
  </si>
  <si>
    <t xml:space="preserve">51377cff-3c04-5717-8961-6819901a3e90</t>
  </si>
  <si>
    <t xml:space="preserve">e94f4bf3-3e8a-4aa1-a9c9-799218337fc6</t>
  </si>
  <si>
    <t xml:space="preserve">Paraffins</t>
  </si>
  <si>
    <t xml:space="preserve">1ce92120-8acb-4e30-a97c-0b1ffd369b89</t>
  </si>
  <si>
    <t xml:space="preserve">16410099-57c2-4ad8-928a-d8ec91f1684f</t>
  </si>
  <si>
    <t xml:space="preserve">c955fc32-da91-468e-8f65-5aca2c8aa4cc</t>
  </si>
  <si>
    <t xml:space="preserve">428e384f-5146-4023-9e62-cca1db3ed321</t>
  </si>
  <si>
    <t xml:space="preserve">a794b444-2b77-4449-8592-0efda101b0c2</t>
  </si>
  <si>
    <t xml:space="preserve">Paraquat</t>
  </si>
  <si>
    <t xml:space="preserve">051aaf7a-6c1a-4e86-999f-85d5f0830df6</t>
  </si>
  <si>
    <t xml:space="preserve">Particulates, &lt; 2.5 um</t>
  </si>
  <si>
    <t xml:space="preserve">ddd99a3a-be86-423d-b36a-a9dc8af1b1f8</t>
  </si>
  <si>
    <t xml:space="preserve">66f50b33-fd62-4fdd-a373-c5b0de7de00d</t>
  </si>
  <si>
    <t xml:space="preserve">21e46cb8-6233-4c99-bac3-c41d2ab99498</t>
  </si>
  <si>
    <t xml:space="preserve">230d8a0a-517c-43fe-8357-1818dd12997a</t>
  </si>
  <si>
    <t xml:space="preserve">b001715e-60e4-4f1d-949d-1acfab65bd8f</t>
  </si>
  <si>
    <t xml:space="preserve">Particulates, &gt; 10 um</t>
  </si>
  <si>
    <t xml:space="preserve">e22e8f39-d8f2-4702-bed3-0b95babb7788</t>
  </si>
  <si>
    <t xml:space="preserve">7678cec7-b8e1-439d-8242-99cd452834b1</t>
  </si>
  <si>
    <t xml:space="preserve">66020d27-7ae4-4e59-83a3-89214b72c40a</t>
  </si>
  <si>
    <t xml:space="preserve">1eb1b94c-e9d8-47ab-969b-9cca920157d8</t>
  </si>
  <si>
    <t xml:space="preserve">5716c728-bd33-414d-8691-16e5534f5d37</t>
  </si>
  <si>
    <t xml:space="preserve">Particulates, &gt; 2.5 um, and &lt; 10um</t>
  </si>
  <si>
    <t xml:space="preserve">604f9273-f26b-46be-83a7-3a65280011d1</t>
  </si>
  <si>
    <t xml:space="preserve">295c9740-6fdb-4676-9eb8-15e3786f713d</t>
  </si>
  <si>
    <t xml:space="preserve">b967e1bf-f09b-4c89-8740-ace21db47bba</t>
  </si>
  <si>
    <t xml:space="preserve">ccb169c3-8aae-4727-89bb-a7dd122946f3</t>
  </si>
  <si>
    <t xml:space="preserve">e4e17609-7a80-455d-a4e3-88af8695f987</t>
  </si>
  <si>
    <t xml:space="preserve">Pendimethalin</t>
  </si>
  <si>
    <t xml:space="preserve">eee7f4df-d621-439a-a89a-edf2d761d848</t>
  </si>
  <si>
    <t xml:space="preserve">Pentane</t>
  </si>
  <si>
    <t xml:space="preserve">d9da59f1-695d-465b-959d-1cff9d86d923</t>
  </si>
  <si>
    <t xml:space="preserve">2f052025-4072-4d8e-b22d-68d50bfb260c</t>
  </si>
  <si>
    <t xml:space="preserve">516606eb-99f6-4e8c-b99a-6b439aaed48c</t>
  </si>
  <si>
    <t xml:space="preserve">0b9698ec-8b52-4986-8f9f-ad30915aa00c</t>
  </si>
  <si>
    <t xml:space="preserve">e2ccc98a-6d4e-443b-b11f-d16f32782833</t>
  </si>
  <si>
    <t xml:space="preserve">Perfluoropentane</t>
  </si>
  <si>
    <t xml:space="preserve">77fc7d6f-d243-428d-a4f1-19e08364e9da</t>
  </si>
  <si>
    <t xml:space="preserve">Permethrin</t>
  </si>
  <si>
    <t xml:space="preserve">895fa803-ad56-4b1d-a37b-23a9135ce26a</t>
  </si>
  <si>
    <t xml:space="preserve">Phenanthrene</t>
  </si>
  <si>
    <t xml:space="preserve">ce8a4102-a9fe-4823-a6c0-7cc35b6ce07e</t>
  </si>
  <si>
    <t xml:space="preserve">Phenol</t>
  </si>
  <si>
    <t xml:space="preserve">d8b6c259-4e1a-4482-8eed-237cde14f346</t>
  </si>
  <si>
    <t xml:space="preserve">63974d2c-11f3-45eb-be9c-726261b04d85</t>
  </si>
  <si>
    <t xml:space="preserve">5896c761-4e02-4573-8747-c4bbf73162c0</t>
  </si>
  <si>
    <t xml:space="preserve">d761d96f-d236-4131-89c8-ad3269d02a6b</t>
  </si>
  <si>
    <t xml:space="preserve">d5d3eed9-6834-4038-af2d-40e737574062</t>
  </si>
  <si>
    <t xml:space="preserve">Phenol, 2,4-dichloro</t>
  </si>
  <si>
    <t xml:space="preserve">919aa517-c05d-4bcc-9070-422b8e16d9a9</t>
  </si>
  <si>
    <t xml:space="preserve">5b951316-f3b3-4dfc-81e9-d3cc155ec831</t>
  </si>
  <si>
    <t xml:space="preserve">d45eed0a-e60a-46bb-a769-494f037c71bc</t>
  </si>
  <si>
    <t xml:space="preserve">e4f501bb-02e2-4562-be3c-5a047b6d2581</t>
  </si>
  <si>
    <t xml:space="preserve">4b1709c7-df14-45be-a233-621c76d0b57f</t>
  </si>
  <si>
    <t xml:space="preserve">Phenol, pentachloro-</t>
  </si>
  <si>
    <t xml:space="preserve">db14d898-11e8-4fcc-9880-91537c4af283</t>
  </si>
  <si>
    <t xml:space="preserve">dc46afa7-0142-49e8-a353-ab6a1327bbc8</t>
  </si>
  <si>
    <t xml:space="preserve">cec6e39b-700c-432f-8c80-4840b0ddc92e</t>
  </si>
  <si>
    <t xml:space="preserve">08b928d8-1812-4e0b-b057-4bcaaba24865</t>
  </si>
  <si>
    <t xml:space="preserve">53b9f77b-7336-5c15-9e01-62a25d3e3d75</t>
  </si>
  <si>
    <t xml:space="preserve">Phosgene</t>
  </si>
  <si>
    <t xml:space="preserve">5d22e791-8399-414a-8adb-35615026d06c</t>
  </si>
  <si>
    <t xml:space="preserve">Phosphine</t>
  </si>
  <si>
    <t xml:space="preserve">88453d4e-0fc0-4a5a-999d-14abe3a389b7</t>
  </si>
  <si>
    <t xml:space="preserve">ed975027-d31b-429b-ae6b-70b70df7bf5b</t>
  </si>
  <si>
    <t xml:space="preserve">097cecfb-bed2-43a0-81b7-c153d0bb14b9</t>
  </si>
  <si>
    <t xml:space="preserve">fba3ef86-de65-4079-868d-8b6438d46092</t>
  </si>
  <si>
    <t xml:space="preserve">bcac684a-8868-4cd3-9063-3275dc831f91</t>
  </si>
  <si>
    <t xml:space="preserve">Phosphoric acid</t>
  </si>
  <si>
    <t xml:space="preserve">13d2fabe-9282-4905-9dfc-5c859022835c</t>
  </si>
  <si>
    <t xml:space="preserve">b0c3054b-6d71-42b1-8575-704c4d049180</t>
  </si>
  <si>
    <t xml:space="preserve">2257e9f9-f38c-494b-b99f-f49b4768b4b9</t>
  </si>
  <si>
    <t xml:space="preserve">5d0058e0-ad1b-4c15-b0ff-a665bb04154f</t>
  </si>
  <si>
    <t xml:space="preserve">e2d35af7-9806-46ff-9b75-b124a48fa5a1</t>
  </si>
  <si>
    <t xml:space="preserve">f5e7e615-4160-4df9-b39b-7463eaed77c7</t>
  </si>
  <si>
    <t xml:space="preserve">ea4e9316-5080-4b3b-bbf3-1949f6d7577a</t>
  </si>
  <si>
    <t xml:space="preserve">d761f94e-517d-41cf-89fa-17dc72f7a69b</t>
  </si>
  <si>
    <t xml:space="preserve">198ce8e3-f05a-4bec-9f7f-325347453326</t>
  </si>
  <si>
    <t xml:space="preserve">95886a55-63a7-4e2e-8120-6cd2e6afbbfc</t>
  </si>
  <si>
    <t xml:space="preserve">Phosphorus trichloride</t>
  </si>
  <si>
    <t xml:space="preserve">c5344661-1f7c-46c1-ae59-2da67d710d63</t>
  </si>
  <si>
    <t xml:space="preserve">3ba36854-15b2-415a-aa71-c99257aa7204</t>
  </si>
  <si>
    <t xml:space="preserve">dcedc211-8daa-49ac-82a9-ce60a22d9b43</t>
  </si>
  <si>
    <t xml:space="preserve">16addd86-288b-419a-8217-75e4197c5f9d</t>
  </si>
  <si>
    <t xml:space="preserve">e13ce12b-b03a-48bd-b928-185000edf7bb</t>
  </si>
  <si>
    <t xml:space="preserve">28677a43-a849-4e4b-9504-58b7c07b25ed</t>
  </si>
  <si>
    <t xml:space="preserve">d4238781-b3da-4efc-b20f-a5ec1d9d85b6</t>
  </si>
  <si>
    <t xml:space="preserve">f29a1f6e-0c76-4074-ba64-dcb724b2de9c</t>
  </si>
  <si>
    <t xml:space="preserve">e4ad89a2-c1d3-4d0b-ad44-2a7ff00b1f39</t>
  </si>
  <si>
    <t xml:space="preserve">3ae6e5bb-fdd6-424a-be6f-80e7240ad8b7</t>
  </si>
  <si>
    <t xml:space="preserve">Plutonium-238</t>
  </si>
  <si>
    <t xml:space="preserve">be1642be-ad24-46e2-8539-a74fc11d637d</t>
  </si>
  <si>
    <t xml:space="preserve">59c2b461-3992-4b18-8f27-699f4880cc4e</t>
  </si>
  <si>
    <t xml:space="preserve">336fca6f-2dc9-4514-96ae-2a2af154c74e</t>
  </si>
  <si>
    <t xml:space="preserve">31cda69b-c54e-4f82-a88d-e01c1c7fff2b</t>
  </si>
  <si>
    <t xml:space="preserve">3681c873-199a-45ec-9521-81e430bed4df</t>
  </si>
  <si>
    <t xml:space="preserve">Plutonium-241</t>
  </si>
  <si>
    <t xml:space="preserve">97596ee2-074c-4d93-84b3-9eeae7e0475e</t>
  </si>
  <si>
    <t xml:space="preserve">ff84efc6-1bd8-4eda-a7e6-1531be49bf89</t>
  </si>
  <si>
    <t xml:space="preserve">da5c6969-8f16-4d53-a424-d87ff6ab1470</t>
  </si>
  <si>
    <t xml:space="preserve">fbd2b356-9016-441d-ac95-3cb51495ea26</t>
  </si>
  <si>
    <t xml:space="preserve">8c3fc7b6-79df-4283-bd47-4b07eab60e75</t>
  </si>
  <si>
    <t xml:space="preserve">Plutonium-alpha</t>
  </si>
  <si>
    <t xml:space="preserve">14ee3991-b63b-47bc-989f-0f4db81f7c72</t>
  </si>
  <si>
    <t xml:space="preserve">4f3ee6dc-f092-429b-82bc-b9538bdb751b</t>
  </si>
  <si>
    <t xml:space="preserve">3ef6e30a-9742-48c8-adcd-48e38148004c</t>
  </si>
  <si>
    <t xml:space="preserve">56bfa732-8223-4091-9bbf-1dc47185a785</t>
  </si>
  <si>
    <t xml:space="preserve">6d8bddf2-fb89-466b-bbb5-0a3b4ee5df81</t>
  </si>
  <si>
    <t xml:space="preserve">Polonium-210</t>
  </si>
  <si>
    <t xml:space="preserve">a511d493-3360-4de9-9d43-e9a52e586579</t>
  </si>
  <si>
    <t xml:space="preserve">44dd80c7-9960-4881-8431-939509b81f53</t>
  </si>
  <si>
    <t xml:space="preserve">13738d15-2256-40f6-99da-d802e5f4c747</t>
  </si>
  <si>
    <t xml:space="preserve">ab046420-da89-48e5-9e05-2a2b703eb2fe</t>
  </si>
  <si>
    <t xml:space="preserve">5d691e58-2074-4661-8525-d98a173e1c99</t>
  </si>
  <si>
    <t xml:space="preserve">Polychlorinated biphenyls</t>
  </si>
  <si>
    <t xml:space="preserve">64f98ce3-c7b4-4bfc-b398-c191824f26db</t>
  </si>
  <si>
    <t xml:space="preserve">07279b73-709f-4ac2-a9e1-82fbd01ce301</t>
  </si>
  <si>
    <t xml:space="preserve">c9b97088-efc6-43c1-8d26-f78d6cdbb50b</t>
  </si>
  <si>
    <t xml:space="preserve">456b8003-1508-4000-a53c-752e02023445</t>
  </si>
  <si>
    <t xml:space="preserve">926fdcf3-6c44-44e2-acb6-159060ac65cf</t>
  </si>
  <si>
    <t xml:space="preserve">6910bf7d-d956-41bf-bb93-db5d565f0ef0</t>
  </si>
  <si>
    <t xml:space="preserve">9597c1a2-ecda-4a89-97c5-efcdc679058d</t>
  </si>
  <si>
    <t xml:space="preserve">756b1234-887b-406e-88ed-b50ba4694f09</t>
  </si>
  <si>
    <t xml:space="preserve">aac39edf-68c5-4f38-9aa9-17e3ca265109</t>
  </si>
  <si>
    <t xml:space="preserve">9ab5099c-e419-4999-a604-1f1c1f361092</t>
  </si>
  <si>
    <t xml:space="preserve">Potassium chloride</t>
  </si>
  <si>
    <t xml:space="preserve">5f16e477-6c5d-4c10-98df-97d47e584351</t>
  </si>
  <si>
    <t xml:space="preserve">989fb36e-b530-46b4-88c2-a28d9f1efa7b</t>
  </si>
  <si>
    <t xml:space="preserve">c6e057e1-c344-455c-a613-e1d222e58048</t>
  </si>
  <si>
    <t xml:space="preserve">46b2ddbc-a5b9-451b-842f-3d89d0614d2e</t>
  </si>
  <si>
    <t xml:space="preserve">bda0ac8a-4254-42e5-8265-6b469df4c2c8</t>
  </si>
  <si>
    <t xml:space="preserve">Potassium hydroxide</t>
  </si>
  <si>
    <t xml:space="preserve">0a17349d-b0d6-4dae-b3e6-c363df32148c</t>
  </si>
  <si>
    <t xml:space="preserve">38d8a2a4-1334-4488-9282-271cd532c39a</t>
  </si>
  <si>
    <t xml:space="preserve">a817ad04-5b8f-48cd-a2e7-2c798a65f0a7</t>
  </si>
  <si>
    <t xml:space="preserve">38d7e9ef-5bea-4233-aa48-760785d060ed</t>
  </si>
  <si>
    <t xml:space="preserve">dfffbe78-8173-4059-b3d8-a34b602d3eaa</t>
  </si>
  <si>
    <t xml:space="preserve">Potassium-40</t>
  </si>
  <si>
    <t xml:space="preserve">4dc5b605-36cc-435f-a6de-83781b1f7779</t>
  </si>
  <si>
    <t xml:space="preserve">7069a2cd-257a-4a29-b10f-1e21ed853709</t>
  </si>
  <si>
    <t xml:space="preserve">4bc2ecf7-fbc3-4c74-81f6-30f9f4425d30</t>
  </si>
  <si>
    <t xml:space="preserve">e47a779e-8fcb-4d0e-bcff-b9b14a5be827</t>
  </si>
  <si>
    <t xml:space="preserve">704d73fd-3d82-4e91-969f-5be16ed71d6e</t>
  </si>
  <si>
    <t xml:space="preserve">Promethium-147</t>
  </si>
  <si>
    <t xml:space="preserve">21ada84c-f5c9-49cc-9df1-0ca996091370</t>
  </si>
  <si>
    <t xml:space="preserve">d8828724-dd1e-451e-ba90-47a4abe63d45</t>
  </si>
  <si>
    <t xml:space="preserve">1784e16f-e070-4e2e-b567-182f8f6b9cbd</t>
  </si>
  <si>
    <t xml:space="preserve">08e8878b-4069-4b49-8bca-0dd7c9b44b71</t>
  </si>
  <si>
    <t xml:space="preserve">58f84a38-ca67-490c-8ed7-219c42dcc52d</t>
  </si>
  <si>
    <t xml:space="preserve">Propanal</t>
  </si>
  <si>
    <t xml:space="preserve">737857df-4504-4068-9a5f-67e9ff53ec30</t>
  </si>
  <si>
    <t xml:space="preserve">963be8ca-e43d-4f8d-a97b-d8982035ffbc</t>
  </si>
  <si>
    <t xml:space="preserve">555aed47-6c62-4cbe-b9b8-d01229284c8a</t>
  </si>
  <si>
    <t xml:space="preserve">eeaeefc1-0af9-45e5-99a8-2333a387f0ae</t>
  </si>
  <si>
    <t xml:space="preserve">abb87cf5-9e30-4d02-987c-7643510b7013</t>
  </si>
  <si>
    <t xml:space="preserve">Propane</t>
  </si>
  <si>
    <t xml:space="preserve">aec794cd-e559-46f6-a2a0-7f4ef195144c</t>
  </si>
  <si>
    <t xml:space="preserve">9beb60a3-3a8c-4345-9a0e-107eec2f709f</t>
  </si>
  <si>
    <t xml:space="preserve">3a6c936c-0276-4f11-9d98-1bd011387a6e</t>
  </si>
  <si>
    <t xml:space="preserve">98c66fdb-091d-46e9-a533-686f821e8f6a</t>
  </si>
  <si>
    <t xml:space="preserve">ad3e6f24-22b0-4ca4-9f2c-f0f5f180f633</t>
  </si>
  <si>
    <t xml:space="preserve">Propanol</t>
  </si>
  <si>
    <t xml:space="preserve">f6979c44-2a8a-4730-a4b4-376d5539dcd0</t>
  </si>
  <si>
    <t xml:space="preserve">29bfab29-0ad0-47da-b5b9-a76328ba5a64</t>
  </si>
  <si>
    <t xml:space="preserve">ff5d0fa9-6ca8-4e61-b99b-14981620c0d7</t>
  </si>
  <si>
    <t xml:space="preserve">4a6af581-af93-4d79-9f45-a5c43f463bbb</t>
  </si>
  <si>
    <t xml:space="preserve">e9d5a946-70ac-4610-a95b-cc659b48f29e</t>
  </si>
  <si>
    <t xml:space="preserve">Propene</t>
  </si>
  <si>
    <t xml:space="preserve">b45082cf-2816-46b9-816c-c4036d727804</t>
  </si>
  <si>
    <t xml:space="preserve">23856318-9583-426b-ab04-12e4506b60a8</t>
  </si>
  <si>
    <t xml:space="preserve">64165202-4870-47d0-8602-b85e5d672865</t>
  </si>
  <si>
    <t xml:space="preserve">ada09403-d5f2-4496-9201-a6dcca0b1717</t>
  </si>
  <si>
    <t xml:space="preserve">06699be8-f522-427e-89b5-8ad948a39ecb</t>
  </si>
  <si>
    <t xml:space="preserve">Propiconazole</t>
  </si>
  <si>
    <t xml:space="preserve">4009a3f4-1995-4318-9056-92825bc532c3</t>
  </si>
  <si>
    <t xml:space="preserve">Propionic acid</t>
  </si>
  <si>
    <t xml:space="preserve">e4a9cefa-7a99-406f-8b32-3e001ca82d31</t>
  </si>
  <si>
    <t xml:space="preserve">0f907765-2a94-48a8-8978-55a2757d3e24</t>
  </si>
  <si>
    <t xml:space="preserve">a1ecc854-a399-4b01-bae2-3a88b12ed44f</t>
  </si>
  <si>
    <t xml:space="preserve">f1c0cd31-8d5e-4bc9-91f6-79e76329234e</t>
  </si>
  <si>
    <t xml:space="preserve">1510adf1-ba02-42af-bca5-f1e0afc58092</t>
  </si>
  <si>
    <t xml:space="preserve">Propylamine</t>
  </si>
  <si>
    <t xml:space="preserve">f4acd7b6-e3a1-44d9-b3ce-4abcf440f6fc</t>
  </si>
  <si>
    <t xml:space="preserve">3d5a4fbf-e44b-4b0d-885d-534fc6968867</t>
  </si>
  <si>
    <t xml:space="preserve">3b25024e-0347-411b-9315-c85f74e3b3ed</t>
  </si>
  <si>
    <t xml:space="preserve">8c6412f6-e293-499a-897a-e33e3774b665</t>
  </si>
  <si>
    <t xml:space="preserve">6c34456e-59ca-465a-90a5-4583dba1a5e7</t>
  </si>
  <si>
    <t xml:space="preserve">Propylene oxide</t>
  </si>
  <si>
    <t xml:space="preserve">5e02df40-53f4-42c4-b809-84a474fa08e8</t>
  </si>
  <si>
    <t xml:space="preserve">be3f7ad0-40e8-4a72-ba7a-8b5c69e42bd9</t>
  </si>
  <si>
    <t xml:space="preserve">c4503380-1045-4670-a7da-fe5dcce56699</t>
  </si>
  <si>
    <t xml:space="preserve">f276d4ca-b1ad-4575-9442-e35b5e3b618b</t>
  </si>
  <si>
    <t xml:space="preserve">97f81042-ff3a-43b2-902d-67bc35765465</t>
  </si>
  <si>
    <t xml:space="preserve">Protactinium-234</t>
  </si>
  <si>
    <t xml:space="preserve">f3620d5c-e025-4d7c-8af5-47d257694dbe</t>
  </si>
  <si>
    <t xml:space="preserve">fb13070e-06f1-4964-832f-a23945b880cc</t>
  </si>
  <si>
    <t xml:space="preserve">0267272f-ea07-498a-9723-43583f115b46</t>
  </si>
  <si>
    <t xml:space="preserve">f339e347-22f1-4ef5-9f25-647e3a9be91c</t>
  </si>
  <si>
    <t xml:space="preserve">9253e661-e076-4a84-9ea0-192ee3aea47c</t>
  </si>
  <si>
    <t xml:space="preserve">Prothioconazol</t>
  </si>
  <si>
    <t xml:space="preserve">99c0e2e2-6433-44f9-84f8-8cfa35c9099e</t>
  </si>
  <si>
    <t xml:space="preserve">Pyraclostrobin</t>
  </si>
  <si>
    <t xml:space="preserve">8b48b5cf-853c-4970-840d-5d9c5fb3caac</t>
  </si>
  <si>
    <t xml:space="preserve">Pyrene</t>
  </si>
  <si>
    <t xml:space="preserve">7c034422-6b7a-49c8-afcf-d02cadce9cd5</t>
  </si>
  <si>
    <t xml:space="preserve">Quizalofop-ethyl</t>
  </si>
  <si>
    <t xml:space="preserve">e784ef7a-2a62-4636-97bc-f0be8ca2b969</t>
  </si>
  <si>
    <t xml:space="preserve">Radiation, electromagnetic</t>
  </si>
  <si>
    <t xml:space="preserve">26997b2a-7acf-445b-b07e-d6736fd4ac81</t>
  </si>
  <si>
    <t xml:space="preserve">10f2525f-b35b-4d8a-ad99-03acf1afce6b</t>
  </si>
  <si>
    <t xml:space="preserve">1ff59fcb-f634-422c-bbbf-63dae44d9485</t>
  </si>
  <si>
    <t xml:space="preserve">4f9a751e-5992-40a9-bbd6-18f337ac66c8</t>
  </si>
  <si>
    <t xml:space="preserve">6204e5df-ef93-40e4-9c83-0c4ed4f3870d</t>
  </si>
  <si>
    <t xml:space="preserve">Radioactive species, other beta emitters</t>
  </si>
  <si>
    <t xml:space="preserve">a5f7045e-4f1f-4cdb-88ac-1a8e8e0232dd</t>
  </si>
  <si>
    <t xml:space="preserve">ca828b6a-5c31-4cce-941e-cc7c1900e6fe</t>
  </si>
  <si>
    <t xml:space="preserve">630a48ab-c9f7-4bf0-9efd-9f865934c2c8</t>
  </si>
  <si>
    <t xml:space="preserve">bc13f992-b93e-4ef3-921a-2898e7674a7c</t>
  </si>
  <si>
    <t xml:space="preserve">dfcd04d5-e7d9-4965-b62a-f272f40831f1</t>
  </si>
  <si>
    <t xml:space="preserve">Radium-226</t>
  </si>
  <si>
    <t xml:space="preserve">2eb231c3-447f-42e3-bcb6-fdcbdb8ee915</t>
  </si>
  <si>
    <t xml:space="preserve">d1679eda-eac2-4be4-876f-3be480c53dc4</t>
  </si>
  <si>
    <t xml:space="preserve">b912f4b4-34ac-4ec1-aba1-01b9c83683e5</t>
  </si>
  <si>
    <t xml:space="preserve">1c02cff4-e852-489b-893c-d3ed30eb8ca5</t>
  </si>
  <si>
    <t xml:space="preserve">3d73d6c8-145c-48c5-aabe-17b4279c66e0</t>
  </si>
  <si>
    <t xml:space="preserve">Radium-228</t>
  </si>
  <si>
    <t xml:space="preserve">e9041c16-9cae-4fc0-ac93-f9a486ef53db</t>
  </si>
  <si>
    <t xml:space="preserve">793f8194-88c0-4315-b59e-58de48ba6ce4</t>
  </si>
  <si>
    <t xml:space="preserve">d5ca33b3-f101-4371-b684-c720463ae2ab</t>
  </si>
  <si>
    <t xml:space="preserve">deafd761-4499-40e3-8667-06c91f204f6f</t>
  </si>
  <si>
    <t xml:space="preserve">878a36ab-9fb6-4d14-a1a7-163b24777eeb</t>
  </si>
  <si>
    <t xml:space="preserve">Radon-220</t>
  </si>
  <si>
    <t xml:space="preserve">7a2d5b3a-aac7-4a82-a990-0f4e1501db0b</t>
  </si>
  <si>
    <t xml:space="preserve">e70d3563-78c4-42cf-8cf3-5ac42c499589</t>
  </si>
  <si>
    <t xml:space="preserve">b613b3b0-a98d-4b7a-a908-999ccfe1452d</t>
  </si>
  <si>
    <t xml:space="preserve">98bd0642-19d0-4c76-930e-03136c21cc20</t>
  </si>
  <si>
    <t xml:space="preserve">4ac6979b-55f2-42ae-8d7e-37846e92506c</t>
  </si>
  <si>
    <t xml:space="preserve">Radon-222</t>
  </si>
  <si>
    <t xml:space="preserve">18bcb736-db8a-445c-ba28-ca648838a1a0</t>
  </si>
  <si>
    <t xml:space="preserve">1551f1cd-7cb7-4f68-a628-cb9301323c7b</t>
  </si>
  <si>
    <t xml:space="preserve">cb3265f8-49a0-4b09-9bd9-c374370c4cc4</t>
  </si>
  <si>
    <t xml:space="preserve">6fd55524-c309-4eb8-bff6-9c606e3a82d7</t>
  </si>
  <si>
    <t xml:space="preserve">7c651713-83f5-56e1-a67f-37b828684f3d</t>
  </si>
  <si>
    <t xml:space="preserve">08a570d6-99a9-477b-8099-77fc2a8afafa</t>
  </si>
  <si>
    <t xml:space="preserve">Ruthenium-103</t>
  </si>
  <si>
    <t xml:space="preserve">12544a15-e0ef-48cb-a0e1-ee9cc0ec7592</t>
  </si>
  <si>
    <t xml:space="preserve">22798ed2-c8bb-42d5-8d7c-8e3b14d3bc3e</t>
  </si>
  <si>
    <t xml:space="preserve">d61e8791-f091-457a-8cb9-8d000d35e132</t>
  </si>
  <si>
    <t xml:space="preserve">7bf443c4-fb77-459f-ba07-63283e4559ba</t>
  </si>
  <si>
    <t xml:space="preserve">918bd76b-ab1e-406c-b7c5-fb248b89b5b8</t>
  </si>
  <si>
    <t xml:space="preserve">Ruthenium-106</t>
  </si>
  <si>
    <t xml:space="preserve">60152e95-1e70-4a32-907e-34c13cc3c616</t>
  </si>
  <si>
    <t xml:space="preserve">490108ce-351c-4540-b988-e7022f4eeec9</t>
  </si>
  <si>
    <t xml:space="preserve">46a7d92e-523c-430c-a5ec-ee9e8a34c09c</t>
  </si>
  <si>
    <t xml:space="preserve">6d431d93-486c-4582-a7e8-54dc653c4378</t>
  </si>
  <si>
    <t xml:space="preserve">3a3489d9-0d1f-4fb1-910a-1fdc7f1e4f71</t>
  </si>
  <si>
    <t xml:space="preserve">2853753b-084a-4962-bc19-c32d3a52ac2d</t>
  </si>
  <si>
    <t xml:space="preserve">17505bf8-40af-4580-8608-5841ff063d23</t>
  </si>
  <si>
    <t xml:space="preserve">8000fc7d-edfe-4970-9224-a4c05281d46b</t>
  </si>
  <si>
    <t xml:space="preserve">bba88093-bd9b-4b95-b869-74e718b796dc</t>
  </si>
  <si>
    <t xml:space="preserve">93e71b71-05d4-4a44-a85a-592a6f21cf0c</t>
  </si>
  <si>
    <t xml:space="preserve">fbfabc26-84d9-46cd-9d1b-1a0060325b64</t>
  </si>
  <si>
    <t xml:space="preserve">e6551223-73b6-4289-b841-c5cdeb25abd9</t>
  </si>
  <si>
    <t xml:space="preserve">454c61fd-c52b-4a04-9731-f141bb7b5264</t>
  </si>
  <si>
    <t xml:space="preserve">a79be2ee-ac83-4328-a136-a34ba1f99089</t>
  </si>
  <si>
    <t xml:space="preserve">88f99b72-03aa-4ed5-a3b7-33791ef70932</t>
  </si>
  <si>
    <t xml:space="preserve">Sethoxydim</t>
  </si>
  <si>
    <t xml:space="preserve">2cea4705-5460-4f03-80ca-1aaf90f17c3a</t>
  </si>
  <si>
    <t xml:space="preserve">0d7ef054-35e2-4d02-9113-574d7f022631</t>
  </si>
  <si>
    <t xml:space="preserve">479daf8f-657e-46a6-bdea-3cb2c61c44b1</t>
  </si>
  <si>
    <t xml:space="preserve">e98b9661-2844-49dc-9ae4-855b9912c700</t>
  </si>
  <si>
    <t xml:space="preserve">997dccfb-6574-46b8-ad93-7f31074abf9a</t>
  </si>
  <si>
    <t xml:space="preserve">55f0f584-45ca-4bc3-af11-098164f471e6</t>
  </si>
  <si>
    <t xml:space="preserve">Silicon tetrachloride</t>
  </si>
  <si>
    <t xml:space="preserve">220257a9-c1c8-428d-8c35-db8b849d3db0</t>
  </si>
  <si>
    <t xml:space="preserve">Silicon tetrafluoride</t>
  </si>
  <si>
    <t xml:space="preserve">80c83d84-1aad-489a-9c7f-1d65b7f84f45</t>
  </si>
  <si>
    <t xml:space="preserve">ee7b9d2a-a8d7-4df3-ad61-7dd51a39480d</t>
  </si>
  <si>
    <t xml:space="preserve">10555050-586c-46b7-848e-9d90324d104b</t>
  </si>
  <si>
    <t xml:space="preserve">1088a788-1a99-4127-834e-d29c1fe47c74</t>
  </si>
  <si>
    <t xml:space="preserve">0ed1b1a1-e56d-4860-bac7-d76a39bde930</t>
  </si>
  <si>
    <t xml:space="preserve">6e8a87bf-baea-4cd9-a967-932e750968d1</t>
  </si>
  <si>
    <t xml:space="preserve">35df5fe0-c90d-43b4-a35a-3d97022114d2</t>
  </si>
  <si>
    <t xml:space="preserve">ebb88ef4-50ab-4e3b-9251-c5fcdf6b4768</t>
  </si>
  <si>
    <t xml:space="preserve">c6462d84-caa9-425a-a923-45238690c6f3</t>
  </si>
  <si>
    <t xml:space="preserve">87e68018-eac4-4935-9d0b-a61d4be6f147</t>
  </si>
  <si>
    <t xml:space="preserve">Silver-110</t>
  </si>
  <si>
    <t xml:space="preserve">1329e7f0-ff40-45e2-8e46-a2192b87e407</t>
  </si>
  <si>
    <t xml:space="preserve">2c9e7fba-dd57-4294-8a5e-2aa489930f69</t>
  </si>
  <si>
    <t xml:space="preserve">e51e73a4-bc86-40a4-bdf7-83192b3618a3</t>
  </si>
  <si>
    <t xml:space="preserve">c8dd5128-8a14-41c8-abab-7112ce115f94</t>
  </si>
  <si>
    <t xml:space="preserve">01248058-8a0f-40f6-8555-13ec37c7931d</t>
  </si>
  <si>
    <t xml:space="preserve">460716f9-f5b8-4ee0-8198-545b24822124</t>
  </si>
  <si>
    <t xml:space="preserve">3d719c07-ec27-4971-b7cc-4bcf17d77dd3</t>
  </si>
  <si>
    <t xml:space="preserve">235b2f02-ff98-4da9-82e2-e4246c7b7990</t>
  </si>
  <si>
    <t xml:space="preserve">98eb1d16-9d7a-4716-9be4-1449341a832f</t>
  </si>
  <si>
    <t xml:space="preserve">fc86ce94-df2b-4156-a61d-65fc66a2a9a1</t>
  </si>
  <si>
    <t xml:space="preserve">Sodium chlorate</t>
  </si>
  <si>
    <t xml:space="preserve">b54ed595-69b7-478b-88d9-a6bd574d46b8</t>
  </si>
  <si>
    <t xml:space="preserve">614313e2-984e-4b34-9221-093fcf07db92</t>
  </si>
  <si>
    <t xml:space="preserve">d380bac0-e4c5-430a-b75f-ace6b50a3e30</t>
  </si>
  <si>
    <t xml:space="preserve">21b46c65-491e-40a9-ac74-5877af997d7c</t>
  </si>
  <si>
    <t xml:space="preserve">64a408f9-a93b-47c8-863e-3e239fb1b118</t>
  </si>
  <si>
    <t xml:space="preserve">Sodium dichromate</t>
  </si>
  <si>
    <t xml:space="preserve">4c0af94e-e0d5-4409-9ec4-ac501a99aabd</t>
  </si>
  <si>
    <t xml:space="preserve">f714e13b-86ef-4cd2-8248-2495f1a2d2e4</t>
  </si>
  <si>
    <t xml:space="preserve">a57bf693-7ffa-409d-919c-c806e34a4c67</t>
  </si>
  <si>
    <t xml:space="preserve">7a63162b-4ffe-447f-ba52-782d5548b774</t>
  </si>
  <si>
    <t xml:space="preserve">e7909b88-81ef-49d8-8ed0-382ce148ef26</t>
  </si>
  <si>
    <t xml:space="preserve">Sodium formate</t>
  </si>
  <si>
    <t xml:space="preserve">ed1e2680-f3f7-4f86-bbd3-78819f6c2f1c</t>
  </si>
  <si>
    <t xml:space="preserve">6f88b081-6292-43b8-a944-bf5968666707</t>
  </si>
  <si>
    <t xml:space="preserve">19696f8c-c5e9-4444-a0e8-3e8782748237</t>
  </si>
  <si>
    <t xml:space="preserve">4764f5f1-69bc-4ebb-b7c6-6b54c251056e</t>
  </si>
  <si>
    <t xml:space="preserve">569d6913-cb05-4f39-8543-9f7c5cc845f8</t>
  </si>
  <si>
    <t xml:space="preserve">Sodium hydroxide</t>
  </si>
  <si>
    <t xml:space="preserve">131565d8-5d8d-466f-be1d-3615fb77da86</t>
  </si>
  <si>
    <t xml:space="preserve">4bb72252-3059-4ce8-889e-eccba21664ff</t>
  </si>
  <si>
    <t xml:space="preserve">7dd10f03-00ef-483e-88c7-ba23e5330316</t>
  </si>
  <si>
    <t xml:space="preserve">834e7547-a8ea-4765-a76e-357612ba65c4</t>
  </si>
  <si>
    <t xml:space="preserve">2bb2d63d-ad12-442f-af58-009b08ce2df4</t>
  </si>
  <si>
    <t xml:space="preserve">Sodium hypochlorite</t>
  </si>
  <si>
    <t xml:space="preserve">aa416529-bb87-40a1-bbbc-3772a7ff7848</t>
  </si>
  <si>
    <t xml:space="preserve">d01548e0-7a82-4e53-b958-ee630c6bca72</t>
  </si>
  <si>
    <t xml:space="preserve">f237cc62-40b2-4a40-a5fa-d46681d39cf2</t>
  </si>
  <si>
    <t xml:space="preserve">2cc8dc8a-e6fb-4486-a840-4bdc1bc71e9b</t>
  </si>
  <si>
    <t xml:space="preserve">fd776e0f-85db-4940-9b9f-5c42dd16af12</t>
  </si>
  <si>
    <t xml:space="preserve">Sodium perchlorate</t>
  </si>
  <si>
    <t xml:space="preserve">021b8f30-26ac-4012-880a-69bfd65bfed4</t>
  </si>
  <si>
    <t xml:space="preserve">df748e50-40b4-4574-a055-c06ff2d60373</t>
  </si>
  <si>
    <t xml:space="preserve">5298c766-a7f8-4bff-8409-369818561b7c</t>
  </si>
  <si>
    <t xml:space="preserve">c8e91ad0-a019-492d-87d6-5885a8d1258d</t>
  </si>
  <si>
    <t xml:space="preserve">f91cec3b-a79f-41f3-bc74-cdda6f91964f</t>
  </si>
  <si>
    <t xml:space="preserve">Sodium tetrahydridoborate</t>
  </si>
  <si>
    <t xml:space="preserve">f1a587cf-0335-4410-b7d3-ea90497a07a6</t>
  </si>
  <si>
    <t xml:space="preserve">71725af2-93f4-4746-a117-7108be9b4d27</t>
  </si>
  <si>
    <t xml:space="preserve">d471d4f2-5a9b-4ecb-93e8-6b2c364ae143</t>
  </si>
  <si>
    <t xml:space="preserve">ba317646-ea99-4060-838f-7933b10f0033</t>
  </si>
  <si>
    <t xml:space="preserve">ae2c3adf-7f7d-4973-a8e8-3fe1300f8183</t>
  </si>
  <si>
    <t xml:space="preserve">d6fba50b-3691-4101-9dae-6b7935cd1cd0</t>
  </si>
  <si>
    <t xml:space="preserve">890c2697-3463-4466-bebb-aecc1e1e730b</t>
  </si>
  <si>
    <t xml:space="preserve">0d9f52b2-f2d5-46a3-90a3-e22ef252cc37</t>
  </si>
  <si>
    <t xml:space="preserve">abb7f444-e74a-46b5-a6a5-080a847cbbc5</t>
  </si>
  <si>
    <t xml:space="preserve">91bafb36-540f-4ef2-803f-c0f2be2119e1</t>
  </si>
  <si>
    <t xml:space="preserve">Strontium-89</t>
  </si>
  <si>
    <t xml:space="preserve">8395bd8d-9893-41f8-9d91-1ef0ca962aa6</t>
  </si>
  <si>
    <t xml:space="preserve">c6e880ea-daa3-4001-9210-3211d974d0f1</t>
  </si>
  <si>
    <t xml:space="preserve">416ebc48-7199-43a0-bc57-f7f6c951fff0</t>
  </si>
  <si>
    <t xml:space="preserve">495ff166-ce60-44d8-88d2-60d5c891e643</t>
  </si>
  <si>
    <t xml:space="preserve">0628ac74-2a0d-4a13-aaef-14486431dc35</t>
  </si>
  <si>
    <t xml:space="preserve">Strontium-90</t>
  </si>
  <si>
    <t xml:space="preserve">5b44c026-dd45-45c6-95c5-2d451b9a0d20</t>
  </si>
  <si>
    <t xml:space="preserve">5dd25f86-58c2-49e9-8401-54e1750b85ad</t>
  </si>
  <si>
    <t xml:space="preserve">1f8e9158-d59b-4991-872f-5a3f622979a7</t>
  </si>
  <si>
    <t xml:space="preserve">76c531f2-f8bd-412a-a38e-dee955cce8f2</t>
  </si>
  <si>
    <t xml:space="preserve">f7bdeabf-a11d-4ddb-ad19-501485f39f07</t>
  </si>
  <si>
    <t xml:space="preserve">Styrene</t>
  </si>
  <si>
    <t xml:space="preserve">2b676e9e-1e3b-45d6-b209-6ed3af61fc42</t>
  </si>
  <si>
    <t xml:space="preserve">2d456fb8-592b-46a7-97f0-81fc2a18e587</t>
  </si>
  <si>
    <t xml:space="preserve">9cec94a2-e7fe-43f4-82f4-293c477f86dc</t>
  </si>
  <si>
    <t xml:space="preserve">d85a44cb-8407-4997-a146-581e4f35f39d</t>
  </si>
  <si>
    <t xml:space="preserve">a259eb99-e741-49e6-8b3f-8985c018be28</t>
  </si>
  <si>
    <t xml:space="preserve">Sulfate</t>
  </si>
  <si>
    <t xml:space="preserve">d64c693d-aa5a-40de-a250-ed9d24b90542</t>
  </si>
  <si>
    <t xml:space="preserve">006aa3f7-59ba-450f-aa45-a2b2d1752647</t>
  </si>
  <si>
    <t xml:space="preserve">9b00c244-fcce-4d38-922b-601a81f2ba34</t>
  </si>
  <si>
    <t xml:space="preserve">826677aa-8347-4494-85da-a26fe3e1e824</t>
  </si>
  <si>
    <t xml:space="preserve">27d03876-622e-4951-8547-ce331b7d3521</t>
  </si>
  <si>
    <t xml:space="preserve">Sulfentrazone</t>
  </si>
  <si>
    <t xml:space="preserve">6ce44f77-d181-4396-8fa2-2276eeeb4c08</t>
  </si>
  <si>
    <t xml:space="preserve">Sulfur dioxide</t>
  </si>
  <si>
    <t xml:space="preserve">16521d00-4b6f-464f-b5dd-8da4a27b15ca</t>
  </si>
  <si>
    <t xml:space="preserve">78c3efe4-421c-4d30-82e4-b97ac5124993</t>
  </si>
  <si>
    <t xml:space="preserve">fd7aa71c-508c-480d-81a6-8052aad92646</t>
  </si>
  <si>
    <t xml:space="preserve">8c52f40c-69b7-4538-8923-b371523c71f5</t>
  </si>
  <si>
    <t xml:space="preserve">acbae70a-5450-448f-9038-c403cb496e1a</t>
  </si>
  <si>
    <t xml:space="preserve">Sulfur hexafluoride</t>
  </si>
  <si>
    <t xml:space="preserve">44e4d1ce-fa79-4ed5-93f9-445c4ff8df2e</t>
  </si>
  <si>
    <t xml:space="preserve">c7c769bb-89b9-4459-afed-e3acecd39339</t>
  </si>
  <si>
    <t xml:space="preserve">35d1dff5-b535-4628-9826-4a8fce08a1f2</t>
  </si>
  <si>
    <t xml:space="preserve">856c9aa2-c20c-49a8-9417-c71bdb5f17b0</t>
  </si>
  <si>
    <t xml:space="preserve">ba5fc0b6-770b-4da1-9b3f-e3b5087f07cd</t>
  </si>
  <si>
    <t xml:space="preserve">Sulfur oxides</t>
  </si>
  <si>
    <t xml:space="preserve">13825fb9-6e24-409a-bfcd-5dc4fd61ef98</t>
  </si>
  <si>
    <t xml:space="preserve">Sulfur trioxide</t>
  </si>
  <si>
    <t xml:space="preserve">aeb3e625-906a-4993-9f02-785f8cfd1ea5</t>
  </si>
  <si>
    <t xml:space="preserve">48430c70-95e0-4036-9854-72cc772ac8b2</t>
  </si>
  <si>
    <t xml:space="preserve">3268d8df-59cc-4740-a89f-dee8355ad7c3</t>
  </si>
  <si>
    <t xml:space="preserve">b00950bc-99cb-4ee2-bbc0-5f878ea170c3</t>
  </si>
  <si>
    <t xml:space="preserve">51f0e6bf-5824-4247-a0f0-7766035da159</t>
  </si>
  <si>
    <t xml:space="preserve">Sulfuric acid</t>
  </si>
  <si>
    <t xml:space="preserve">3caec0e2-2d07-4463-abae-bef6a0d4bbdb</t>
  </si>
  <si>
    <t xml:space="preserve">5c9d8310-f7e1-4e98-8e73-7eece0435676</t>
  </si>
  <si>
    <t xml:space="preserve">99c65c6a-6871-40ba-af79-5bd6851688e4</t>
  </si>
  <si>
    <t xml:space="preserve">7ecc2b66-8dde-4266-8832-f492f564377b</t>
  </si>
  <si>
    <t xml:space="preserve">65a6b1d7-ced3-4ae3-9789-c82060af6b2f</t>
  </si>
  <si>
    <t xml:space="preserve">Tebuconazole</t>
  </si>
  <si>
    <t xml:space="preserve">4452894a-65a4-4419-b15f-efa90b6a02c4</t>
  </si>
  <si>
    <t xml:space="preserve">Technetium-99</t>
  </si>
  <si>
    <t xml:space="preserve">06a2e2b7-0c98-4a77-8cc9-84349e2f3fcf</t>
  </si>
  <si>
    <t xml:space="preserve">7ec1239e-bb13-4c0c-8a88-3badcdb1ff6d</t>
  </si>
  <si>
    <t xml:space="preserve">2e972b23-f14e-477d-9360-7a88a35f0501</t>
  </si>
  <si>
    <t xml:space="preserve">953542ee-3bba-451b-b071-385e699f2f74</t>
  </si>
  <si>
    <t xml:space="preserve">7722209c-9953-4e3d-9854-5eaf36e147f8</t>
  </si>
  <si>
    <t xml:space="preserve">Tefluthrin</t>
  </si>
  <si>
    <t xml:space="preserve">c6379349-6cf0-54c9-8bfe-2ec812501fda</t>
  </si>
  <si>
    <t xml:space="preserve">67e221a4-9177-44a6-86a7-e4d652cda4bf</t>
  </si>
  <si>
    <t xml:space="preserve">Tellurium-123m</t>
  </si>
  <si>
    <t xml:space="preserve">6402a177-ff01-4112-8c54-9061b756c8c9</t>
  </si>
  <si>
    <t xml:space="preserve">83e7f0f5-6cf8-4a66-bbd6-def720e8a01b</t>
  </si>
  <si>
    <t xml:space="preserve">43efdef0-6157-4436-8a23-2f50ac3c6fc2</t>
  </si>
  <si>
    <t xml:space="preserve">dd05bdcf-c6e9-4027-9282-24ed986c4b80</t>
  </si>
  <si>
    <t xml:space="preserve">9b7f06e5-0dc7-4c58-8300-034426d069b5</t>
  </si>
  <si>
    <t xml:space="preserve">Terpenes</t>
  </si>
  <si>
    <t xml:space="preserve">9cda96ce-e1cf-4192-8614-52be32d200f4</t>
  </si>
  <si>
    <t xml:space="preserve">10b69d7a-018d-44c6-9a5e-e67fc9475b86</t>
  </si>
  <si>
    <t xml:space="preserve">96bec6ea-fd71-48a1-ae8b-87a7b818eb77</t>
  </si>
  <si>
    <t xml:space="preserve">f9952327-7cac-4b05-84cb-e96a3f0f239b</t>
  </si>
  <si>
    <t xml:space="preserve">664cfb50-d657-4c95-8778-f4fb7a6fe361</t>
  </si>
  <si>
    <t xml:space="preserve">Tetramethyl ammonium hydroxide</t>
  </si>
  <si>
    <t xml:space="preserve">1fa8ca7c-c285-49c5-a96d-60a3dc467310</t>
  </si>
  <si>
    <t xml:space="preserve">fa334460-698e-4000-a579-468fdf8a96e0</t>
  </si>
  <si>
    <t xml:space="preserve">5186b1e9-506c-4846-994d-789c5204b38a</t>
  </si>
  <si>
    <t xml:space="preserve">2a1c80de-a083-470b-80dd-ba11a5aeea8c</t>
  </si>
  <si>
    <t xml:space="preserve">f2f1a5eb-de1e-42fe-ad80-60a255185ba9</t>
  </si>
  <si>
    <t xml:space="preserve">9182d01f-27f3-4b65-a183-07508dfc5981</t>
  </si>
  <si>
    <t xml:space="preserve">9540d6dc-b589-4fbb-8260-1b6a88b8bf11</t>
  </si>
  <si>
    <t xml:space="preserve">18aa2daa-0188-4328-b24b-1ad1398ecf81</t>
  </si>
  <si>
    <t xml:space="preserve">50deb561-3de9-4b25-9b61-1695ad2dd136</t>
  </si>
  <si>
    <t xml:space="preserve">98fc8cad-e186-4353-8ffb-92ddae8cc685</t>
  </si>
  <si>
    <t xml:space="preserve">Thifensulfuron</t>
  </si>
  <si>
    <t xml:space="preserve">d90a3903-d98e-4750-9dc4-647f2c6af3ec</t>
  </si>
  <si>
    <t xml:space="preserve">Thiodicarb</t>
  </si>
  <si>
    <t xml:space="preserve">7ddfe455-20e9-4aea-b903-79a35289ca45</t>
  </si>
  <si>
    <t xml:space="preserve">aae8ad45-5cea-4b59-b3eb-3a58dd8fc8e9</t>
  </si>
  <si>
    <t xml:space="preserve">d28f10c4-a8d0-4891-b7a4-362e12360079</t>
  </si>
  <si>
    <t xml:space="preserve">c93b5919-6b01-46c9-8510-cc94d1712168</t>
  </si>
  <si>
    <t xml:space="preserve">cb16ed3f-19b5-45c6-b504-b2be562d0002</t>
  </si>
  <si>
    <t xml:space="preserve">ea8559cd-e5b3-4e24-8c9e-acb4ef1e7e99</t>
  </si>
  <si>
    <t xml:space="preserve">Thorium-228</t>
  </si>
  <si>
    <t xml:space="preserve">de0478a0-377a-46dc-89ac-0e1705bb9e7f</t>
  </si>
  <si>
    <t xml:space="preserve">bae57811-0343-41be-97cf-2c74279dd638</t>
  </si>
  <si>
    <t xml:space="preserve">ecc877ac-3c34-4838-b1f8-6ae0ff2cd2fc</t>
  </si>
  <si>
    <t xml:space="preserve">6e769b2f-11ce-4ec1-ad99-a27c93361e72</t>
  </si>
  <si>
    <t xml:space="preserve">046887e9-5de9-44c0-8461-3c6da8e9e4b1</t>
  </si>
  <si>
    <t xml:space="preserve">Thorium-230</t>
  </si>
  <si>
    <t xml:space="preserve">7bc25bb7-caa5-45cf-bbf0-889879173590</t>
  </si>
  <si>
    <t xml:space="preserve">4eb24f81-0468-4b92-bae3-8b12dfc90438</t>
  </si>
  <si>
    <t xml:space="preserve">22d1736f-baa9-481e-9583-42654a6a7c26</t>
  </si>
  <si>
    <t xml:space="preserve">c314e244-baef-48fb-b4f6-ca5e5a0de545</t>
  </si>
  <si>
    <t xml:space="preserve">751d9236-ee45-4d21-addd-fd1747f0b74f</t>
  </si>
  <si>
    <t xml:space="preserve">Thorium-232</t>
  </si>
  <si>
    <t xml:space="preserve">532d8b1e-14aa-45df-8f89-dd749c83635f</t>
  </si>
  <si>
    <t xml:space="preserve">4c54be62-05f1-4201-940d-f161537be704</t>
  </si>
  <si>
    <t xml:space="preserve">08ebf986-d40a-4538-8aa7-21da2f99edf7</t>
  </si>
  <si>
    <t xml:space="preserve">e17ab5b1-0e70-409c-b7fd-0a01e6a26de3</t>
  </si>
  <si>
    <t xml:space="preserve">b6667f21-da3c-41f1-afad-9277cdd4e08e</t>
  </si>
  <si>
    <t xml:space="preserve">Thorium-234</t>
  </si>
  <si>
    <t xml:space="preserve">80d316d2-631d-4642-8100-28aa63ec7a79</t>
  </si>
  <si>
    <t xml:space="preserve">8e2a5517-13ff-4423-b1ec-3632b0a72bf5</t>
  </si>
  <si>
    <t xml:space="preserve">898c1c27-5cc0-4713-89f6-1ab864aadc44</t>
  </si>
  <si>
    <t xml:space="preserve">f27bfe65-f053-4d7b-8af3-aed2548dc8c1</t>
  </si>
  <si>
    <t xml:space="preserve">8a422b03-1055-4bc8-b439-27bf8d7eef57</t>
  </si>
  <si>
    <t xml:space="preserve">6366d4ec-5ffc-4488-be51-0c239cdf535d</t>
  </si>
  <si>
    <t xml:space="preserve">f563b90e-a300-4403-b278-d2fdcd73e5a7</t>
  </si>
  <si>
    <t xml:space="preserve">2a7b68ff-f12a-44c6-8b31-71ec91d29889</t>
  </si>
  <si>
    <t xml:space="preserve">19b6e569-85a4-4ea9-a590-d61a21e3c846</t>
  </si>
  <si>
    <t xml:space="preserve">b3701449-fe4b-4513-b4a4-065e62f03e5c</t>
  </si>
  <si>
    <t xml:space="preserve">a5b82cff-6334-45a8-aef7-1761f2b83722</t>
  </si>
  <si>
    <t xml:space="preserve">4a156a66-eb3e-4f87-90a2-ccd13bf942ff</t>
  </si>
  <si>
    <t xml:space="preserve">b15d845f-810e-4614-8633-af8bab2014ee</t>
  </si>
  <si>
    <t xml:space="preserve">f8f772bc-7204-4fda-aa97-080fd0f1b34c</t>
  </si>
  <si>
    <t xml:space="preserve">b98c02c6-89bb-4dd2-8d68-6af6758db3d9</t>
  </si>
  <si>
    <t xml:space="preserve">Toluene</t>
  </si>
  <si>
    <t xml:space="preserve">0b0d8098-ecbf-4020-afd6-4bcf9db686ce</t>
  </si>
  <si>
    <t xml:space="preserve">77f17646-cede-4a49-99dd-55950098b077</t>
  </si>
  <si>
    <t xml:space="preserve">3b1ecf8e-1d2c-4330-81da-a79f9068976d</t>
  </si>
  <si>
    <t xml:space="preserve">39946c56-cdf6-4a22-9ac9-1cd333b65533</t>
  </si>
  <si>
    <t xml:space="preserve">3400c608-5098-4f36-8d72-e5a20e0a5c39</t>
  </si>
  <si>
    <t xml:space="preserve">Toluene, 2-chloro</t>
  </si>
  <si>
    <t xml:space="preserve">2df9d4e0-f095-4089-be46-1c1acbcf3a09</t>
  </si>
  <si>
    <t xml:space="preserve">14b5c954-056b-4d06-8e2c-2848d85619b1</t>
  </si>
  <si>
    <t xml:space="preserve">53578c58-7cd6-4623-9dd5-2c275bdc9f38</t>
  </si>
  <si>
    <t xml:space="preserve">a3833724-a816-4c9e-b6fd-ac43e8aeedc2</t>
  </si>
  <si>
    <t xml:space="preserve">a0950325-06dc-5ca0-84b6-983c9e6ccf74</t>
  </si>
  <si>
    <t xml:space="preserve">Trichloroethylene</t>
  </si>
  <si>
    <t xml:space="preserve">4a44767e-63a3-4ba3-8f9e-a193f5b39a61</t>
  </si>
  <si>
    <t xml:space="preserve">Trichlorosilane</t>
  </si>
  <si>
    <t xml:space="preserve">e4020f30-9370-4f8d-854b-a342d4d6419c</t>
  </si>
  <si>
    <t xml:space="preserve">489cdf1b-997d-4425-a56e-491c24b89e29</t>
  </si>
  <si>
    <t xml:space="preserve">0e6489b3-cfcf-4563-9064-67637fc455de</t>
  </si>
  <si>
    <t xml:space="preserve">68824a06-2815-4202-9f12-efec86f8df89</t>
  </si>
  <si>
    <t xml:space="preserve">d1a0b5a7-beb7-47e6-83b7-99560324008f</t>
  </si>
  <si>
    <t xml:space="preserve">Trifloxystrobin</t>
  </si>
  <si>
    <t xml:space="preserve">8a2c92a3-7210-4560-bfd9-d3cc7d09ad72</t>
  </si>
  <si>
    <t xml:space="preserve">Trifluralin</t>
  </si>
  <si>
    <t xml:space="preserve">fb2ba179-3590-4444-92e3-ba71344b50c3</t>
  </si>
  <si>
    <t xml:space="preserve">Trimethylamine</t>
  </si>
  <si>
    <t xml:space="preserve">0e938bce-f780-4e2e-9de0-a8efd8c0804b</t>
  </si>
  <si>
    <t xml:space="preserve">0e2e2f54-225f-4782-bfda-99bedacebee5</t>
  </si>
  <si>
    <t xml:space="preserve">8e0afcd9-9955-41d4-8ad0-397a38f82dca</t>
  </si>
  <si>
    <t xml:space="preserve">37d7d60d-3682-4da4-aa64-99c51b5d524b</t>
  </si>
  <si>
    <t xml:space="preserve">094310bb-49db-5b2d-ae1b-e7b4ffca1d03</t>
  </si>
  <si>
    <t xml:space="preserve">Trisodium phosphate</t>
  </si>
  <si>
    <t xml:space="preserve">714958de-a211-4a3c-8dce-848ccb79b094</t>
  </si>
  <si>
    <t xml:space="preserve">Tungsten</t>
  </si>
  <si>
    <t xml:space="preserve">d68bd053-2f8c-4890-a0fd-771f4be30c14</t>
  </si>
  <si>
    <t xml:space="preserve">89ca077d-583d-4293-8d32-248f12bd3e5b</t>
  </si>
  <si>
    <t xml:space="preserve">da5e6be3-ed71-48ac-9397-25bac666c7b7</t>
  </si>
  <si>
    <t xml:space="preserve">b0aacabb-9b90-419d-844b-a2ed64ead80e</t>
  </si>
  <si>
    <t xml:space="preserve">55fb6174-72e0-4a5e-9eb5-8d5780acffd1</t>
  </si>
  <si>
    <t xml:space="preserve">347de5bf-3551-4022-8371-258e830b5a09</t>
  </si>
  <si>
    <t xml:space="preserve">2e518059-747c-4ff1-8da3-17134c547ac2</t>
  </si>
  <si>
    <t xml:space="preserve">595f08d9-6304-497e-bb7d-48b6d2d8bff3</t>
  </si>
  <si>
    <t xml:space="preserve">52317c31-7bdc-47de-9c23-ecf55127de75</t>
  </si>
  <si>
    <t xml:space="preserve">debeac52-61cf-429d-8d20-d7e690f9fee4</t>
  </si>
  <si>
    <t xml:space="preserve">Uranium alpha</t>
  </si>
  <si>
    <t xml:space="preserve">4e6641cc-7ec3-45a7-bd20-ccff1acb4cc4</t>
  </si>
  <si>
    <t xml:space="preserve">16916dd2-a145-4cb2-9769-19c551b2ff5e</t>
  </si>
  <si>
    <t xml:space="preserve">e8e0b8c1-ad10-4d32-8167-10dc8c67f59c</t>
  </si>
  <si>
    <t xml:space="preserve">87af2811-8d7f-490b-81b4-312ef7662604</t>
  </si>
  <si>
    <t xml:space="preserve">92b83fcf-1eef-43b8-b1bb-168a0f6896bf</t>
  </si>
  <si>
    <t xml:space="preserve">Uranium-234</t>
  </si>
  <si>
    <t xml:space="preserve">521cd1c6-03bb-4608-8f6f-8bc289a11306</t>
  </si>
  <si>
    <t xml:space="preserve">ac98d2a4-4985-49f9-b4e2-fc896ef145b6</t>
  </si>
  <si>
    <t xml:space="preserve">bf112355-f868-42b8-8f39-6f2901cc38b9</t>
  </si>
  <si>
    <t xml:space="preserve">2f38ead0-f60f-4a9b-a7ca-31219c1a2f65</t>
  </si>
  <si>
    <t xml:space="preserve">e61a0e03-2c01-4895-89af-4702b1f53480</t>
  </si>
  <si>
    <t xml:space="preserve">Uranium-235</t>
  </si>
  <si>
    <t xml:space="preserve">d58263d0-1a0e-43d0-ad91-6ed0dd55d737</t>
  </si>
  <si>
    <t xml:space="preserve">6b44284d-6941-4ae6-815e-ce87f5b603bb</t>
  </si>
  <si>
    <t xml:space="preserve">698d08b4-fee6-40d4-93dd-24a28d48df45</t>
  </si>
  <si>
    <t xml:space="preserve">0d6def86-f116-4da2-9f2f-c3d9dab2248d</t>
  </si>
  <si>
    <t xml:space="preserve">3c5a2d44-0206-427c-b34e-3b871077bd40</t>
  </si>
  <si>
    <t xml:space="preserve">Uranium-238</t>
  </si>
  <si>
    <t xml:space="preserve">4e079e10-cee0-4afe-bf91-e7d8b23f6a94</t>
  </si>
  <si>
    <t xml:space="preserve">e6aafd63-a6d5-41f7-9b82-45f791c7037c</t>
  </si>
  <si>
    <t xml:space="preserve">c36056d2-5101-4198-b13b-fdc0a8cf27ee</t>
  </si>
  <si>
    <t xml:space="preserve">543421e8-f0b3-45a2-b0ed-03489e878138</t>
  </si>
  <si>
    <t xml:space="preserve">4ec70203-13b0-58cc-b4dd-2fcce8a96732</t>
  </si>
  <si>
    <t xml:space="preserve">VOC, volatile organic compounds, unspecified origin</t>
  </si>
  <si>
    <t xml:space="preserve">b8de5961-4e83-4731-bac1-77a4d01234a4</t>
  </si>
  <si>
    <t xml:space="preserve">9841f5a4-027e-4dbf-87fe-f0bcf56b91ab</t>
  </si>
  <si>
    <t xml:space="preserve">481c0dd4-3ab2-47b5-94c4-b990e8a9dde5</t>
  </si>
  <si>
    <t xml:space="preserve">591b0a62-8064-4697-86ed-47bfa1f8b5e6</t>
  </si>
  <si>
    <t xml:space="preserve">2cba713d-ab0b-44cb-babb-f8cac262554f</t>
  </si>
  <si>
    <t xml:space="preserve">f977a02e-3564-4798-843c-9fb9a18bc18b</t>
  </si>
  <si>
    <t xml:space="preserve">Water</t>
  </si>
  <si>
    <t xml:space="preserve">m3</t>
  </si>
  <si>
    <t xml:space="preserve">f14b59ff-d438-442d-8bad-b53694b8263a</t>
  </si>
  <si>
    <t xml:space="preserve">09872080-d143-4fb1-a3a5-647b077107ff</t>
  </si>
  <si>
    <t xml:space="preserve">075e433b-4be4-448e-9510-9a5029c1ce94</t>
  </si>
  <si>
    <t xml:space="preserve">5d368100-b1bc-4456-8420-e469edccf349</t>
  </si>
  <si>
    <t xml:space="preserve">b6349d15-124b-473b-86b5-da63e0060c1a</t>
  </si>
  <si>
    <t xml:space="preserve">Xenon-131m</t>
  </si>
  <si>
    <t xml:space="preserve">bac00b68-32e7-4f0b-8319-fc36fe9dcd1c</t>
  </si>
  <si>
    <t xml:space="preserve">b13777bb-a8b6-4be4-8f6b-675ac75f31b2</t>
  </si>
  <si>
    <t xml:space="preserve">e6183e67-e45e-4d8d-a9ec-85ba8d7d1600</t>
  </si>
  <si>
    <t xml:space="preserve">d7e80dce-7d72-4e93-88c0-57fb67fc9ab9</t>
  </si>
  <si>
    <t xml:space="preserve">7c31a919-91bf-4617-993c-bd980a3cfc3b</t>
  </si>
  <si>
    <t xml:space="preserve">Xenon-133</t>
  </si>
  <si>
    <t xml:space="preserve">85b391ed-7db5-4f95-ba22-1305940ccd3d</t>
  </si>
  <si>
    <t xml:space="preserve">f5f7c4c3-ce9d-47ec-8c97-62d70b286203</t>
  </si>
  <si>
    <t xml:space="preserve">fe85df5c-5587-4a5f-a33b-c6e2b240e238</t>
  </si>
  <si>
    <t xml:space="preserve">8cebaf1d-94b3-4770-9b76-5b35ee06ed9a</t>
  </si>
  <si>
    <t xml:space="preserve">103c41ab-69e6-4af9-9b4a-cbd3e2858c0d</t>
  </si>
  <si>
    <t xml:space="preserve">Xenon-133m</t>
  </si>
  <si>
    <t xml:space="preserve">d91700b6-1760-4e8c-8501-fa5f12559ba0</t>
  </si>
  <si>
    <t xml:space="preserve">9d95796e-84c7-4a73-aaba-8ad4f664e58f</t>
  </si>
  <si>
    <t xml:space="preserve">e61544d9-cf2f-4001-a855-9a014c2972ac</t>
  </si>
  <si>
    <t xml:space="preserve">28b7568a-4238-47ff-8b95-2b97ba55c6f3</t>
  </si>
  <si>
    <t xml:space="preserve">d5e8cbd5-5b1f-4289-bdee-41f5b48b8732</t>
  </si>
  <si>
    <t xml:space="preserve">Xenon-135</t>
  </si>
  <si>
    <t xml:space="preserve">91a6d437-29ac-4b52-829c-094543c025c1</t>
  </si>
  <si>
    <t xml:space="preserve">14ca107c-315a-410b-af1b-35a886faebce</t>
  </si>
  <si>
    <t xml:space="preserve">f5e7f3b4-6423-4914-bb36-d6f52b8e5dbb</t>
  </si>
  <si>
    <t xml:space="preserve">983e6e13-30a3-4771-b207-51d39ca7cd5a</t>
  </si>
  <si>
    <t xml:space="preserve">41f8e37d-b842-4d30-a23c-c938e70a4659</t>
  </si>
  <si>
    <t xml:space="preserve">Xenon-135m</t>
  </si>
  <si>
    <t xml:space="preserve">d369cba2-e0a7-4d98-8227-05657cf1479f</t>
  </si>
  <si>
    <t xml:space="preserve">b3fd01ce-4eb3-461f-8639-4c7aa166f40e</t>
  </si>
  <si>
    <t xml:space="preserve">94eb7305-be1e-416f-b9de-9865d5395bff</t>
  </si>
  <si>
    <t xml:space="preserve">5aa8cb32-2784-46a4-8383-9cf89ce6bac1</t>
  </si>
  <si>
    <t xml:space="preserve">dd5947e9-128a-4c51-85eb-c4eb70aaa6a8</t>
  </si>
  <si>
    <t xml:space="preserve">Xenon-137</t>
  </si>
  <si>
    <t xml:space="preserve">88af0a76-5bd7-4e99-a14e-9cf2608abef0</t>
  </si>
  <si>
    <t xml:space="preserve">001790f3-fd86-4a0d-a2a1-06c7099d90c8</t>
  </si>
  <si>
    <t xml:space="preserve">47859760-4329-4dde-9c61-2e7a2401d3c5</t>
  </si>
  <si>
    <t xml:space="preserve">2e51caef-d635-4d0d-bcee-fb0c58fa5435</t>
  </si>
  <si>
    <t xml:space="preserve">b3246e33-004e-4eb8-98fa-0729b62b6aca</t>
  </si>
  <si>
    <t xml:space="preserve">Xenon-138</t>
  </si>
  <si>
    <t xml:space="preserve">cf12e6aa-1e5a-40d0-90d6-1ca8e58e9b89</t>
  </si>
  <si>
    <t xml:space="preserve">7c44db6f-bf0e-4a63-bd94-d376ec941786</t>
  </si>
  <si>
    <t xml:space="preserve">2cbfe861-7436-4a43-8892-f057320dc57d</t>
  </si>
  <si>
    <t xml:space="preserve">f7d0e49d-e9b5-414e-8d22-6a167cb9078c</t>
  </si>
  <si>
    <t xml:space="preserve">c8214570-8e2d-4ccf-b9d7-aabc17068d4e</t>
  </si>
  <si>
    <t xml:space="preserve">Xylene</t>
  </si>
  <si>
    <t xml:space="preserve">6da40876-a6ab-459e-ba17-9a5e3d4da146</t>
  </si>
  <si>
    <t xml:space="preserve">a1d277aa-7aea-4b5e-8aa9-2789ba8ff333</t>
  </si>
  <si>
    <t xml:space="preserve">5c234628-ab1e-4284-ae2b-f1c2f6883f71</t>
  </si>
  <si>
    <t xml:space="preserve">ed8da356-ed40-4a35-8de4-57aee1d3c279</t>
  </si>
  <si>
    <t xml:space="preserve">781bfb14-d34f-4f99-9d15-d67171d6fc24</t>
  </si>
  <si>
    <t xml:space="preserve">Zeta-cypermethrin</t>
  </si>
  <si>
    <t xml:space="preserve">8f871bab-96dc-49d9-bf08-12cdd0715901</t>
  </si>
  <si>
    <t xml:space="preserve">87a69874-34f9-4070-a525-aa301ab2634b</t>
  </si>
  <si>
    <t xml:space="preserve">ada3ecfe-8244-4389-bcce-e83ca4f66e09</t>
  </si>
  <si>
    <t xml:space="preserve">5ce378a0-b48d-471c-977d-79681521efde</t>
  </si>
  <si>
    <t xml:space="preserve">748f22a9-eba4-4726-bef5-92c7442ce189</t>
  </si>
  <si>
    <t xml:space="preserve">2cf249bc-1557-41e1-81e8-866d06e3413c</t>
  </si>
  <si>
    <t xml:space="preserve">Zinc-65</t>
  </si>
  <si>
    <t xml:space="preserve">994de784-726c-4c75-87d5-1c9c8499943a</t>
  </si>
  <si>
    <t xml:space="preserve">cf5e52c1-b1fc-46c8-b6f9-8e085657632e</t>
  </si>
  <si>
    <t xml:space="preserve">4aed2261-0461-4014-be23-cf83de76a3b4</t>
  </si>
  <si>
    <t xml:space="preserve">59c08606-1466-4f8d-bec6-b0e135355f15</t>
  </si>
  <si>
    <t xml:space="preserve">b5d896e4-5035-4cf9-b06a-353a95ca2623</t>
  </si>
  <si>
    <t xml:space="preserve">75af210f-0455-487e-ba2c-e9dd317af77c</t>
  </si>
  <si>
    <t xml:space="preserve">eebb4011-af1d-4a45-8bc5-a20b6c06fbf4</t>
  </si>
  <si>
    <t xml:space="preserve">c13fc7a0-f240-468b-aaf6-e781743a46d5</t>
  </si>
  <si>
    <t xml:space="preserve">914b6c95-c6c3-4dab-b75f-9ac6a6f78bfd</t>
  </si>
  <si>
    <t xml:space="preserve">7e59174a-d66b-4304-81dc-e0aeb3c58ae2</t>
  </si>
  <si>
    <t xml:space="preserve">Zirconium-95</t>
  </si>
  <si>
    <t xml:space="preserve">ae941326-4981-44fa-8be1-8757aab10d00</t>
  </si>
  <si>
    <t xml:space="preserve">fa260f53-4850-4585-9b67-5cdbc603c5ef</t>
  </si>
  <si>
    <t xml:space="preserve">88a02d30-d9fe-4dc1-b1e5-e95745df0956</t>
  </si>
  <si>
    <t xml:space="preserve">498c8296-8f0c-4aa9-869b-78bb6c299c3a</t>
  </si>
  <si>
    <t xml:space="preserve">62bd2ced-16de-43c2-88e1-adfae242654e</t>
  </si>
  <si>
    <t xml:space="preserve">m-Xylene</t>
  </si>
  <si>
    <t xml:space="preserve">50e083ba-5784-4801-8011-164a14c61b5a</t>
  </si>
  <si>
    <t xml:space="preserve">d24f41d7-279e-4f5a-9ac9-00f726dc3bcc</t>
  </si>
  <si>
    <t xml:space="preserve">cfdbc576-e8dc-44ef-bdf2-ddd7009ce57e</t>
  </si>
  <si>
    <t xml:space="preserve">10571d92-ea97-4ac6-adb6-b25893a631cb</t>
  </si>
  <si>
    <t xml:space="preserve">51f57752-1155-4835-9cbe-95c73f06f2a9</t>
  </si>
  <si>
    <t xml:space="preserve">o-Nitrotoluene</t>
  </si>
  <si>
    <t xml:space="preserve">4278f8fe-d3ac-4744-8386-7c8030f7386c</t>
  </si>
  <si>
    <t xml:space="preserve">61adbbe0-009c-4820-b38b-a2c3c42b918e</t>
  </si>
  <si>
    <t xml:space="preserve">f9f12076-1cdf-4a3d-a70d-eab640038144</t>
  </si>
  <si>
    <t xml:space="preserve">a4420691-4666-4855-9124-3030ed233407</t>
  </si>
  <si>
    <t xml:space="preserve">8a4e7925-a486-467c-a255-f8a1ec5040de</t>
  </si>
  <si>
    <t xml:space="preserve">o-Xylene</t>
  </si>
  <si>
    <t xml:space="preserve">4b841af5-7061-4e59-89d4-cace8bc364e1</t>
  </si>
  <si>
    <t xml:space="preserve">92259b90-6f92-42ec-b3f2-30775167aff7</t>
  </si>
  <si>
    <t xml:space="preserve">527d6cb5-bbd7-403d-8dcc-b6678fb123f5</t>
  </si>
  <si>
    <t xml:space="preserve">5a6eb27d-9157-46d5-be32-92bbd543ada9</t>
  </si>
  <si>
    <t xml:space="preserve">34f18170-9aca-4025-a4ab-d9aaf261b391</t>
  </si>
  <si>
    <t xml:space="preserve">t-Butyl methyl ether</t>
  </si>
  <si>
    <t xml:space="preserve">454f5552-15ca-412d-821d-ab79cc0c989b</t>
  </si>
  <si>
    <t xml:space="preserve">edd62398-8916-4183-9615-65afce26518a</t>
  </si>
  <si>
    <t xml:space="preserve">beb69352-568e-4a33-b9d4-3b5bfafc85bd</t>
  </si>
  <si>
    <t xml:space="preserve">a793710a-1990-4e65-a95e-cfbbc5332355</t>
  </si>
  <si>
    <t xml:space="preserve">4e1c58e6-4eb7-4ca6-8db9-6c4a6932bc1f</t>
  </si>
  <si>
    <t xml:space="preserve">t-Butylamine</t>
  </si>
  <si>
    <t xml:space="preserve">bfcc7ab0-a9a7-41b6-895f-25450e8c0d40</t>
  </si>
  <si>
    <t xml:space="preserve">62641c03-c0b7-4e16-ba51-41d4b731c291</t>
  </si>
  <si>
    <t xml:space="preserve">7bbe624a-3626-46d4-abf4-86bda793bdd7</t>
  </si>
  <si>
    <t xml:space="preserve">cdf99498-1489-4226-97ad-94fa85b0528b</t>
  </si>
  <si>
    <t xml:space="preserve">a6e4fb65-8dcf-4126-9561-0b51a16fae77</t>
  </si>
  <si>
    <t xml:space="preserve">Expenditures on primary production factors</t>
  </si>
  <si>
    <t xml:space="preserve">economic</t>
  </si>
  <si>
    <t xml:space="preserve">primary production factor</t>
  </si>
  <si>
    <t xml:space="preserve">EUR2005</t>
  </si>
  <si>
    <t xml:space="preserve">df1b2a34-1788-4555-b991-f8ff67c66998</t>
  </si>
  <si>
    <t xml:space="preserve">Labour cost</t>
  </si>
  <si>
    <t xml:space="preserve">acb9b748-3464-4c0d-9055-639c420e4dc3</t>
  </si>
  <si>
    <t xml:space="preserve">Net operating surplus</t>
  </si>
  <si>
    <t xml:space="preserve">9ca5a400-6313-491f-a72a-8f36d8230944</t>
  </si>
  <si>
    <t xml:space="preserve">Net tax</t>
  </si>
  <si>
    <t xml:space="preserve">21dcb31a-fddb-464d-8d0d-4ce2738b2cb7</t>
  </si>
  <si>
    <t xml:space="preserve">Rent</t>
  </si>
  <si>
    <t xml:space="preserve">8bc65fca-548d-4831-b102-391bbdd6bc8c</t>
  </si>
  <si>
    <t xml:space="preserve">Aluminium, 24% in bauxite, 11% in crude ore, in ground</t>
  </si>
  <si>
    <t xml:space="preserve">in ground</t>
  </si>
  <si>
    <t xml:space="preserve">a45cd247-3532-4e27-bddc-b519fdb5e08f</t>
  </si>
  <si>
    <t xml:space="preserve">Aluminium, in ground</t>
  </si>
  <si>
    <t xml:space="preserve">6df9ea09-115a-4678-9f30-d92c877a46ec</t>
  </si>
  <si>
    <t xml:space="preserve">Anhydrite, in ground</t>
  </si>
  <si>
    <t xml:space="preserve">8b46f615-69c9-4ca3-815e-a7bde116d202</t>
  </si>
  <si>
    <t xml:space="preserve">c13beafb-2aed-4a52-b09a-78d28913b6ce</t>
  </si>
  <si>
    <t xml:space="preserve">Barite, 15% in crude ore, in ground</t>
  </si>
  <si>
    <t xml:space="preserve">ac3a8914-35f0-4c34-a956-f26b3a053e4a</t>
  </si>
  <si>
    <t xml:space="preserve">Basalt, in ground</t>
  </si>
  <si>
    <t xml:space="preserve">eead2933-c2be-4a53-a0bd-bd33b67e4145</t>
  </si>
  <si>
    <t xml:space="preserve">Borax, in ground</t>
  </si>
  <si>
    <t xml:space="preserve">61341186-aac8-4088-a2b7-ba50093bab6c</t>
  </si>
  <si>
    <t xml:space="preserve">Bromine, 0.23% in water</t>
  </si>
  <si>
    <t xml:space="preserve">in water</t>
  </si>
  <si>
    <t xml:space="preserve">621b1cf1-9b47-4c44-b71e-ebeb9afd9bbc</t>
  </si>
  <si>
    <t xml:space="preserve">Cadmium, 0.30% in sulfide, Cd 0.18%, Pb, Zn, Ag, In, in ground</t>
  </si>
  <si>
    <t xml:space="preserve">99ee393d-4bd1-4cc8-b0a0-d956865fb7bf</t>
  </si>
  <si>
    <t xml:space="preserve">Calcite, in ground</t>
  </si>
  <si>
    <t xml:space="preserve">cc6a1abb-b123-4ca6-8f16-38209df609be</t>
  </si>
  <si>
    <t xml:space="preserve">Carbon dioxide, in air</t>
  </si>
  <si>
    <t xml:space="preserve">8c2fe757-6866-4ed2-9f89-81012ad774a0</t>
  </si>
  <si>
    <t xml:space="preserve">Carbon, organic, in soil or biomass stock</t>
  </si>
  <si>
    <t xml:space="preserve">d16c8806-7701-4fbb-b68d-9b2d5d083d7a</t>
  </si>
  <si>
    <t xml:space="preserve">Carnallite</t>
  </si>
  <si>
    <t xml:space="preserve">7a636bea-94c0-4774-a791-2512b7fbda94</t>
  </si>
  <si>
    <t xml:space="preserve">Cerium, 24% in bastnasite, 2.4% in crude ore, in ground</t>
  </si>
  <si>
    <t xml:space="preserve">ef6dd09f-bddc-49b4-a207-dbaec2f07bb5</t>
  </si>
  <si>
    <t xml:space="preserve">Chromium, 25.5% in chromite, 11.6% in crude ore, in ground</t>
  </si>
  <si>
    <t xml:space="preserve">e189e2d4-3d3f-4ada-b302-91611784311f</t>
  </si>
  <si>
    <t xml:space="preserve">Chromium, in ground</t>
  </si>
  <si>
    <t xml:space="preserve">c5f5aeb8-7558-4a0c-9594-27621b9cfbc5</t>
  </si>
  <si>
    <t xml:space="preserve">Chrysotile, in ground</t>
  </si>
  <si>
    <t xml:space="preserve">15545dca-018d-4f7f-aa1f-796b707180af</t>
  </si>
  <si>
    <t xml:space="preserve">Cinnabar, in ground</t>
  </si>
  <si>
    <t xml:space="preserve">93806a54-46f5-409c-99c5-4144a1e73b5d</t>
  </si>
  <si>
    <t xml:space="preserve">Clay, bentonite, in ground</t>
  </si>
  <si>
    <t xml:space="preserve">f7519ca9-5ffc-41c3-a33e-806da82cfc0e</t>
  </si>
  <si>
    <t xml:space="preserve">Clay, unspecified, in ground</t>
  </si>
  <si>
    <t xml:space="preserve">024c9722-1e88-412b-8c4b-10c532be8dca</t>
  </si>
  <si>
    <t xml:space="preserve">Coal, brown, in ground</t>
  </si>
  <si>
    <t xml:space="preserve">b6d0042d-0ef8-49ed-9162-a07ff1ccf750</t>
  </si>
  <si>
    <t xml:space="preserve">Coal, hard, unspecified, in ground</t>
  </si>
  <si>
    <t xml:space="preserve">02e8658e-3c88-404c-865d-4d4934661ea6</t>
  </si>
  <si>
    <t xml:space="preserve">Cobalt, Co 5.0E-2%, in mixed ore, in ground</t>
  </si>
  <si>
    <t xml:space="preserve">d0779a5e-6969-4144-954e-ceb81fb83f15</t>
  </si>
  <si>
    <t xml:space="preserve">Cobalt, in ground</t>
  </si>
  <si>
    <t xml:space="preserve">ec72c523-9e1a-466a-98c3-e4098e90fd27</t>
  </si>
  <si>
    <t xml:space="preserve">Colemanite, in ground</t>
  </si>
  <si>
    <t xml:space="preserve">1aee4aa7-32e0-48e7-a6b5-73d8acf672d3</t>
  </si>
  <si>
    <t xml:space="preserve">Copper, 0.52% in sulfide, Cu 0.27% and Mo 8.2E-3% in crude ore, in ground</t>
  </si>
  <si>
    <t xml:space="preserve">1b35070a-eb57-4f0f-a27f-5ba181ff0d4d</t>
  </si>
  <si>
    <t xml:space="preserve">Copper, 0.59% in sulfide, Cu 0.22% and Mo 8.2E-3% in crude ore, in ground</t>
  </si>
  <si>
    <t xml:space="preserve">19988f5b-a9a6-48f3-9e8e-150b66a1bf12</t>
  </si>
  <si>
    <t xml:space="preserve">Copper, 0.97% in sulfide, Cu 0.36% and Mo 4.1E-2% in crude ore, in ground</t>
  </si>
  <si>
    <t xml:space="preserve">79df5650-160a-4ab7-a14f-cc8162877f4a</t>
  </si>
  <si>
    <t xml:space="preserve">Copper, 0.99% in sulfide, Cu 0.36% and Mo 8.2E-3% in crude ore, in ground</t>
  </si>
  <si>
    <t xml:space="preserve">ed5ace5c-a203-4816-b33b-9fe0c5f0f519</t>
  </si>
  <si>
    <t xml:space="preserve">Copper, 1.13% in sulfide, Cu 0.76% and Ni 0.76% in crude ore, in ground</t>
  </si>
  <si>
    <t xml:space="preserve">31998285-fb5c-411d-b853-ce78be2a0b49</t>
  </si>
  <si>
    <t xml:space="preserve">Copper, 1.18% in sulfide, Cu 0.39% and Mo 8.2E-3% in crude ore, in ground</t>
  </si>
  <si>
    <t xml:space="preserve">01b9f1e8-4423-5393-ba63-2067935bdb13</t>
  </si>
  <si>
    <t xml:space="preserve">Copper, 1.25% in sulfide, Cu 0.24% and Zn 0,1% in crude ore, in ground</t>
  </si>
  <si>
    <t xml:space="preserve">c8f18160-6937-4bb9-ad0c-dffa942ca41e</t>
  </si>
  <si>
    <t xml:space="preserve">Copper, 1.42% in sulfide, Cu 0.81% and Mo 8.2E-3% in crude ore, in ground</t>
  </si>
  <si>
    <t xml:space="preserve">b569dc97-52fe-4e39-9627-183b1002c287</t>
  </si>
  <si>
    <t xml:space="preserve">Copper, 2.19% in sulfide, Cu 1.83% and Mo 8.2E-3% in crude ore, in ground</t>
  </si>
  <si>
    <t xml:space="preserve">704399e3-cf6b-483d-84f5-466e91a9d17c</t>
  </si>
  <si>
    <t xml:space="preserve">Copper, Cu 0.2%, in mixed ore, in ground</t>
  </si>
  <si>
    <t xml:space="preserve">5afa470c-ab8c-4ec3-8a18-5c0bed973571</t>
  </si>
  <si>
    <t xml:space="preserve">Copper, Cu 0.38%, in mixed ore, in ground</t>
  </si>
  <si>
    <t xml:space="preserve">4f684798-3870-45a1-b5f2-aa3444c0b8d6</t>
  </si>
  <si>
    <t xml:space="preserve">Copper, Cu 6.8E-1%, in mixed ore, in ground</t>
  </si>
  <si>
    <t xml:space="preserve">a9ac40a0-9bea-4c48-afa7-66aa6eb90624</t>
  </si>
  <si>
    <t xml:space="preserve">Copper, in ground</t>
  </si>
  <si>
    <t xml:space="preserve">73b7f080-b7ae-417c-b740-b4c9eabfb35a</t>
  </si>
  <si>
    <t xml:space="preserve">Cu, Cu 3.2E+0%, Pt 2.5E-4%, Pd 7.3E-4%, Rh 2.0E-5%, Ni 2.3E+0% in ore, in ground</t>
  </si>
  <si>
    <t xml:space="preserve">8508a83c-6a37-4159-93cc-21a2645390ab</t>
  </si>
  <si>
    <t xml:space="preserve">Cu, Cu 5.2E-2%, Pt 4.8E-4%, Pd 2.0E-4%, Rh 2.4E-5%, Ni 3.7E-2% in ore, in ground</t>
  </si>
  <si>
    <t xml:space="preserve">9877ce00-65f8-4c0c-9fcf-92aa53a2c9c0</t>
  </si>
  <si>
    <t xml:space="preserve">Diatomite, in ground</t>
  </si>
  <si>
    <t xml:space="preserve">c7aee986-b7d8-4ad9-ad45-1ac0d68e6b78</t>
  </si>
  <si>
    <t xml:space="preserve">Dolomite, in ground</t>
  </si>
  <si>
    <t xml:space="preserve">8bc09c04-2190-4ee2-9ee2-ae988ccd4e0c</t>
  </si>
  <si>
    <t xml:space="preserve">Energy, geothermal, converted</t>
  </si>
  <si>
    <t xml:space="preserve">01c12fca-ad8b-4902-8b48-2d5afe3d3a0f</t>
  </si>
  <si>
    <t xml:space="preserve">Energy, gross calorific value, in biomass</t>
  </si>
  <si>
    <t xml:space="preserve">biotic</t>
  </si>
  <si>
    <t xml:space="preserve">8842042d-7f07-45f8-bf43-fa83833d75de</t>
  </si>
  <si>
    <t xml:space="preserve">Energy, gross calorific value, in biomass, primary forest</t>
  </si>
  <si>
    <t xml:space="preserve">57c71b25-4663-4fad-9167-7ce5be3e8268</t>
  </si>
  <si>
    <t xml:space="preserve">Energy, kinetic (in wind), converted</t>
  </si>
  <si>
    <t xml:space="preserve">c0dd7ccd-9e7a-42b3-b899-dfd18c2150ca</t>
  </si>
  <si>
    <t xml:space="preserve">Energy, potential (in hydropower reservoir), converted</t>
  </si>
  <si>
    <t xml:space="preserve">a7ff17d4-d3fe-4a70-9f2e-392b34630772</t>
  </si>
  <si>
    <t xml:space="preserve">Energy, solar, converted</t>
  </si>
  <si>
    <t xml:space="preserve">7c954971-4bce-41db-9e8b-2b2f049539d7</t>
  </si>
  <si>
    <t xml:space="preserve">Europium, 0.06% in bastnasite, 0.006% in crude ore, in ground</t>
  </si>
  <si>
    <t xml:space="preserve">26296ec9-ff93-41e6-bbbf-6175af04284d</t>
  </si>
  <si>
    <t xml:space="preserve">Feldspar, in ground</t>
  </si>
  <si>
    <t xml:space="preserve">55219a64-a6ed-4675-9210-7ed14c82a05f</t>
  </si>
  <si>
    <t xml:space="preserve">Fish, demersal, in ocean</t>
  </si>
  <si>
    <t xml:space="preserve">d22719d0-8afd-45d3-b9eb-222112f84cc7</t>
  </si>
  <si>
    <t xml:space="preserve">Fish, pelagic, in ocean</t>
  </si>
  <si>
    <t xml:space="preserve">e5fadc0b-1d79-4604-ac32-fd3321f27933</t>
  </si>
  <si>
    <t xml:space="preserve">Fluorine, 4.5% in apatite, 1% in crude ore, in ground</t>
  </si>
  <si>
    <t xml:space="preserve">355785ee-56e0-455b-aaa6-bee43c82b49c</t>
  </si>
  <si>
    <t xml:space="preserve">Fluorine, 4.5% in apatite, 3% in crude ore, in ground</t>
  </si>
  <si>
    <t xml:space="preserve">de2d220b-9fe8-4c39-bef7-a76c00d6ff33</t>
  </si>
  <si>
    <t xml:space="preserve">Fluorspar, 92%, in ground</t>
  </si>
  <si>
    <t xml:space="preserve">b878ca93-d699-421e-a4b6-f694dc627062</t>
  </si>
  <si>
    <t xml:space="preserve">Gadolinium, 0.15% in bastnasite, 0.015% in crude ore, in ground</t>
  </si>
  <si>
    <t xml:space="preserve">e2c5109f-9a68-4828-b824-eb2193864803</t>
  </si>
  <si>
    <t xml:space="preserve">Gallium, 0.014% in bauxite, in ground</t>
  </si>
  <si>
    <t xml:space="preserve">0878c1c6-4c1d-4f90-a2de-a9383855d5c6</t>
  </si>
  <si>
    <t xml:space="preserve">Gallium, in ground</t>
  </si>
  <si>
    <t xml:space="preserve">43b2649e-26f8-400d-bc0a-a0667e850915</t>
  </si>
  <si>
    <t xml:space="preserve">Gangue, bauxite, in ground</t>
  </si>
  <si>
    <t xml:space="preserve">0d218f74-181d-49b6-978c-8af836611102</t>
  </si>
  <si>
    <t xml:space="preserve">Gangue, in ground</t>
  </si>
  <si>
    <t xml:space="preserve">3ed5f377-344f-423a-b5ec-9a9a1162b944</t>
  </si>
  <si>
    <t xml:space="preserve">Gas, mine, off-gas, process, coal mining</t>
  </si>
  <si>
    <t xml:space="preserve">7c337428-fb1b-45c7-bbb2-2ee4d29e17ba</t>
  </si>
  <si>
    <t xml:space="preserve">Gas, natural, in ground</t>
  </si>
  <si>
    <t xml:space="preserve">60b67dea-a332-4d8d-968b-df8f3df6088a</t>
  </si>
  <si>
    <t xml:space="preserve">Gold, Au 1.0E-7%, in mixed ore, in ground</t>
  </si>
  <si>
    <t xml:space="preserve">ff741136-d6ee-444a-a15b-3b308e376db8</t>
  </si>
  <si>
    <t xml:space="preserve">Gold, Au 1.1E-4%, Ag 4.2E-3%, in ore, in ground</t>
  </si>
  <si>
    <t xml:space="preserve">7cd1d217-70a7-4452-abc4-3b1100763d6d</t>
  </si>
  <si>
    <t xml:space="preserve">Gold, Au 1.3E-4%, Ag 4.6E-5%, in ore, in ground</t>
  </si>
  <si>
    <t xml:space="preserve">a8896ed6-4c9d-4b06-a356-49d8cdd9e9d7</t>
  </si>
  <si>
    <t xml:space="preserve">Gold, Au 1.4E-4%, in ore, in ground</t>
  </si>
  <si>
    <t xml:space="preserve">16ddda12-daf4-460c-83fb-c361bdbbc9e9</t>
  </si>
  <si>
    <t xml:space="preserve">Gold, Au 1.8E-4%, in mixed ore, in ground</t>
  </si>
  <si>
    <t xml:space="preserve">2d65a3f7-2a10-4a10-ac9e-a0cc7cd57979</t>
  </si>
  <si>
    <t xml:space="preserve">Gold, Au 2.1E-4%, Ag 2.1E-4%, in ore, in ground</t>
  </si>
  <si>
    <t xml:space="preserve">95268685-7bea-4883-a412-119d7e88372c</t>
  </si>
  <si>
    <t xml:space="preserve">Gold, Au 4.3E-4%, in ore, in ground</t>
  </si>
  <si>
    <t xml:space="preserve">8c888d2b-d608-4dac-bad5-1c2a17050838</t>
  </si>
  <si>
    <t xml:space="preserve">Gold, Au 4.9E-5%, in ore, in ground</t>
  </si>
  <si>
    <t xml:space="preserve">d6c7644f-0d7c-4bb3-b8bb-686ebede951e</t>
  </si>
  <si>
    <t xml:space="preserve">Gold, Au 5.4E-4%, Ag 1.5E-5%, in ore, in ground</t>
  </si>
  <si>
    <t xml:space="preserve">3eece329-cf79-4167-93c2-b8d7d7eb5058</t>
  </si>
  <si>
    <t xml:space="preserve">Gold, Au 6.7E-4%, in ore, in ground</t>
  </si>
  <si>
    <t xml:space="preserve">4f5aad55-54d2-4628-a509-b28ef1929bb4</t>
  </si>
  <si>
    <t xml:space="preserve">Gold, Au 6.8E-4%, Ag 1.5E-4%, in ore, in ground</t>
  </si>
  <si>
    <t xml:space="preserve">d28f9d42-5df5-41c3-be59-fdfa7ff57112</t>
  </si>
  <si>
    <t xml:space="preserve">Gold, Au 7.1E-4%, in ore, in ground</t>
  </si>
  <si>
    <t xml:space="preserve">cf3d3dbc-0e4b-402d-92a1-8ea6b4869ed5</t>
  </si>
  <si>
    <t xml:space="preserve">Gold, Au 9.7E-4%, in mixed ore, in ground</t>
  </si>
  <si>
    <t xml:space="preserve">c7d38707-3b22-4fb1-b001-0c8cad496a60</t>
  </si>
  <si>
    <t xml:space="preserve">Gold, Au 9.7E-5%, Ag 7.6E-5%, in ore, in ground</t>
  </si>
  <si>
    <t xml:space="preserve">d080e6a4-42c6-484e-b5d7-d74693aec7d9</t>
  </si>
  <si>
    <t xml:space="preserve">Gold, in ground</t>
  </si>
  <si>
    <t xml:space="preserve">a4375a18-172c-4f82-90b7-bca972f75548</t>
  </si>
  <si>
    <t xml:space="preserve">Granite, in ground</t>
  </si>
  <si>
    <t xml:space="preserve">238f8ea9-98df-41dc-ab93-ea5b549a0b96</t>
  </si>
  <si>
    <t xml:space="preserve">Gravel, in ground</t>
  </si>
  <si>
    <t xml:space="preserve">11a2a7b1-ab2f-47b8-9e29-6f33d5207fa6</t>
  </si>
  <si>
    <t xml:space="preserve">Gypsum, in ground</t>
  </si>
  <si>
    <t xml:space="preserve">4c276350-de3d-4bba-90a9-0d0a9ad097c0</t>
  </si>
  <si>
    <t xml:space="preserve">Helium, 0.08% in natural gas, in ground</t>
  </si>
  <si>
    <t xml:space="preserve">e5cbe371-d33e-46ef-a832-a176f5e28520</t>
  </si>
  <si>
    <t xml:space="preserve">Indium, 0.005% in sulfide, In 0.003%, Pb, Zn, Ag, Cd, in ground</t>
  </si>
  <si>
    <t xml:space="preserve">7de77239-7074-4443-9dc9-4492c5e2ef35</t>
  </si>
  <si>
    <t xml:space="preserve">Iodine, 0.03% in water</t>
  </si>
  <si>
    <t xml:space="preserve">f77aacc3-2c22-4bda-99ab-fe1110a1b891</t>
  </si>
  <si>
    <t xml:space="preserve">Iron, 46% in ore, 25% in crude ore, in ground</t>
  </si>
  <si>
    <t xml:space="preserve">99c56f25-9ebb-4e6a-a3e2-e4dc61e9d697</t>
  </si>
  <si>
    <t xml:space="preserve">Iron, 72% in magnetite, 14% in crude ore, in ground</t>
  </si>
  <si>
    <t xml:space="preserve">8ce3ff02-7a1e-48e3-881e-3248b944f28a</t>
  </si>
  <si>
    <t xml:space="preserve">Iron, in ground</t>
  </si>
  <si>
    <t xml:space="preserve">ee540366-b970-46af-94d8-4c253ded5577</t>
  </si>
  <si>
    <t xml:space="preserve">Kaolinite, 24% in crude ore, in ground</t>
  </si>
  <si>
    <t xml:space="preserve">38eff837-5465-47a9-a1c9-e1edd70922ef</t>
  </si>
  <si>
    <t xml:space="preserve">Kieserite, 25% in crude ore, in ground</t>
  </si>
  <si>
    <t xml:space="preserve">4602b501-1c9b-4af7-bb1c-864c70c3e855</t>
  </si>
  <si>
    <t xml:space="preserve">Krypton, in air</t>
  </si>
  <si>
    <t xml:space="preserve">d61418f3-c1a4-4b95-807c-06b7e1fa2915</t>
  </si>
  <si>
    <t xml:space="preserve">Lanthanum, 7.2% in bastnasite, 0.72% in crude ore, in ground</t>
  </si>
  <si>
    <t xml:space="preserve">86fb18d4-a425-407a-94bc-194254e4d7d7</t>
  </si>
  <si>
    <t xml:space="preserve">Laterite, in ground</t>
  </si>
  <si>
    <t xml:space="preserve">4f701354-38fd-40b0-8c90-4c1df36ec45a</t>
  </si>
  <si>
    <t xml:space="preserve">Lead, 5.0% in sulfide, Pb 3.0%, Zn, Ag, Cd, In, in ground</t>
  </si>
  <si>
    <t xml:space="preserve">2d9f9c6b-8dca-4641-8ff9-53cb8beabd13</t>
  </si>
  <si>
    <t xml:space="preserve">Lead, Pb 0.014%, in mixed ore, in ground</t>
  </si>
  <si>
    <t xml:space="preserve">4df0eac4-44bb-46b6-b588-e3513a1ead2f</t>
  </si>
  <si>
    <t xml:space="preserve">Lead, Pb 3.6E-1%, in mixed ore, in ground</t>
  </si>
  <si>
    <t xml:space="preserve">fbcb9c7a-eea7-4694-ba6c-568e01d28883</t>
  </si>
  <si>
    <t xml:space="preserve">Lead, in ground</t>
  </si>
  <si>
    <t xml:space="preserve">a9ad523f-b721-4f07-ad9f-584053f3454d</t>
  </si>
  <si>
    <t xml:space="preserve">Lithium, 0.15% in brine, in ground</t>
  </si>
  <si>
    <t xml:space="preserve">d2bf022d-9cbf-4f19-a8ec-7f507746942b</t>
  </si>
  <si>
    <t xml:space="preserve">Magnesite, 60% in crude ore, in ground</t>
  </si>
  <si>
    <t xml:space="preserve">752d138f-3723-42c1-bf5c-ca5316809c4c</t>
  </si>
  <si>
    <t xml:space="preserve">Magnesium, 0.13% in water</t>
  </si>
  <si>
    <t xml:space="preserve">9e5823ad-9d9b-4b98-b627-e39611b6a8bd</t>
  </si>
  <si>
    <t xml:space="preserve">Magnesium, in ground</t>
  </si>
  <si>
    <t xml:space="preserve">9f9f1f14-6eee-4067-b4a5-80e75fc7b295</t>
  </si>
  <si>
    <t xml:space="preserve">Manganese, 35.7% in sedimentary deposit, 14.2% in crude ore, in ground</t>
  </si>
  <si>
    <t xml:space="preserve">5666353e-2db2-41d3-8414-404709151422</t>
  </si>
  <si>
    <t xml:space="preserve">Metamorphous rock, graphite containing, in ground</t>
  </si>
  <si>
    <t xml:space="preserve">06874cbb-2daf-4981-a55e-2c38be5b7277</t>
  </si>
  <si>
    <t xml:space="preserve">Molybdenum, 0.010% in sulfide, Mo 8.2E-3% and Cu 1.83% in crude ore, in ground</t>
  </si>
  <si>
    <t xml:space="preserve">5514ccd2-469f-4074-9905-529154e7f742</t>
  </si>
  <si>
    <t xml:space="preserve">Molybdenum, 0.014% in sulfide, Mo 8.2E-3% and Cu 0.81% in crude ore, in ground</t>
  </si>
  <si>
    <t xml:space="preserve">ac8571b8-b00b-479d-93cf-b9374feaee05</t>
  </si>
  <si>
    <t xml:space="preserve">Molybdenum, 0.016% in sulfide, Mo 8.2E-3% and Cu 0.27% in crude ore, in ground</t>
  </si>
  <si>
    <t xml:space="preserve">a76cf135-2be1-4e53-9423-9211acd100f1</t>
  </si>
  <si>
    <t xml:space="preserve">Molybdenum, 0.022% in sulfide, Mo 8.2E-3% and Cu 0.22% in crude ore, in ground</t>
  </si>
  <si>
    <t xml:space="preserve">30fed59d-d722-482f-be4f-f3d93bdd2527</t>
  </si>
  <si>
    <t xml:space="preserve">Molybdenum, 0.022% in sulfide, Mo 8.2E-3% and Cu 0.36% in crude ore, in ground</t>
  </si>
  <si>
    <t xml:space="preserve">719def62-0941-4264-bc54-97093d847d7a</t>
  </si>
  <si>
    <t xml:space="preserve">Molybdenum, 0.025% in sulfide, Mo 8.2E-3% and Cu 0.39% in crude ore, in ground</t>
  </si>
  <si>
    <t xml:space="preserve">eda28c96-8899-4d84-bf18-35c3f1de518e</t>
  </si>
  <si>
    <t xml:space="preserve">Molybdenum, 0.11% in sulfide, Mo 4.1E-2% and Cu 0.36% in crude ore, in ground</t>
  </si>
  <si>
    <t xml:space="preserve">c970e81e-1c4e-4f21-814c-0c25444f41d2</t>
  </si>
  <si>
    <t xml:space="preserve">Neodymium, 4% in bastnasite, 0.4% in crude ore, in ground</t>
  </si>
  <si>
    <t xml:space="preserve">0d7f8b87-12f4-4e83-a5a2-854e2f2b47de</t>
  </si>
  <si>
    <t xml:space="preserve">Ni, Ni 2.3E+0%, Pt 2.5E-4%, Pd 7.3E-4%, Rh 2.0E-5%, Cu 3.2E+0% in ore, in ground</t>
  </si>
  <si>
    <t xml:space="preserve">febbfa6e-44d4-42a0-abcd-aec8a428f75e</t>
  </si>
  <si>
    <t xml:space="preserve">Ni, Ni 3.7E-2%, Pt 4.8E-4%, Pd 2.0E-4%, Rh 2.4E-5%, Cu 5.2E-2% in ore, in ground</t>
  </si>
  <si>
    <t xml:space="preserve">86c6e6cd-c2f5-4977-bad6-ce9cd48cf721</t>
  </si>
  <si>
    <t xml:space="preserve">Nickel, 1.13% in sulfide, Ni 0.76% and Cu 0.76% in crude ore, in ground</t>
  </si>
  <si>
    <t xml:space="preserve">e47e4e5f-6528-413d-a8fb-1cd1875fbd73</t>
  </si>
  <si>
    <t xml:space="preserve">Nickel, 1.98% in silicates, 1.04% in crude ore, in ground</t>
  </si>
  <si>
    <t xml:space="preserve">f09c3144-a268-4bed-8ca2-63005b6ef75f</t>
  </si>
  <si>
    <t xml:space="preserve">Nickel, Ni 2.5E+0%, in mixed ore, in ground</t>
  </si>
  <si>
    <t xml:space="preserve">974213ef-1ba0-40e5-bc7b-52ef099e9e09</t>
  </si>
  <si>
    <t xml:space="preserve">Nickel, in ground</t>
  </si>
  <si>
    <t xml:space="preserve">c5aafa60-495c-461c-a1d4-b262a34c45b9</t>
  </si>
  <si>
    <t xml:space="preserve">Occupation, annual crop</t>
  </si>
  <si>
    <t xml:space="preserve">land</t>
  </si>
  <si>
    <t xml:space="preserve">m2*year</t>
  </si>
  <si>
    <t xml:space="preserve">7956039f-1181-42ab-b03b-ba9992733394</t>
  </si>
  <si>
    <t xml:space="preserve">Occupation, annual crop, flooded crop</t>
  </si>
  <si>
    <t xml:space="preserve">9e80f7cd-47fa-4c7f-8f2c-bdb9731b3196</t>
  </si>
  <si>
    <t xml:space="preserve">Occupation, annual crop, greenhouse</t>
  </si>
  <si>
    <t xml:space="preserve">c4a82f46-381f-474c-a362-3363064b9c33</t>
  </si>
  <si>
    <t xml:space="preserve">Occupation, annual crop, irrigated</t>
  </si>
  <si>
    <t xml:space="preserve">12c7671c-e4aa-46c6-93c5-b6f9ac1c453b</t>
  </si>
  <si>
    <t xml:space="preserve">Occupation, annual crop, irrigated, extensive</t>
  </si>
  <si>
    <t xml:space="preserve">9fd128fe-d8c5-476f-af42-2795d5f5d227</t>
  </si>
  <si>
    <t xml:space="preserve">Occupation, annual crop, irrigated, intensive</t>
  </si>
  <si>
    <t xml:space="preserve">a6889a22-e99e-42ea-85cd-4a68d7975dcd</t>
  </si>
  <si>
    <t xml:space="preserve">Occupation, annual crop, non-irrigated</t>
  </si>
  <si>
    <t xml:space="preserve">1b0a8570-eab4-46c2-9b67-c9b918e75676</t>
  </si>
  <si>
    <t xml:space="preserve">Occupation, annual crop, non-irrigated, extensive</t>
  </si>
  <si>
    <t xml:space="preserve">e063ee9c-9850-42b5-b01e-4cc9b5ad7152</t>
  </si>
  <si>
    <t xml:space="preserve">Occupation, annual crop, non-irrigated, intensive</t>
  </si>
  <si>
    <t xml:space="preserve">8c173ca1-5f74-4a6e-89e5-dd18e0f18d1a</t>
  </si>
  <si>
    <t xml:space="preserve">Occupation, arable land, unspecified use</t>
  </si>
  <si>
    <t xml:space="preserve">fdb1b2d0-f537-401e-b845-1d93da512174</t>
  </si>
  <si>
    <t xml:space="preserve">Occupation, arable, conservation tillage (obsolete)</t>
  </si>
  <si>
    <t xml:space="preserve">m2</t>
  </si>
  <si>
    <t xml:space="preserve">e489cce4-a80f-417d-9ae6-9fc14cc7dd49</t>
  </si>
  <si>
    <t xml:space="preserve">Occupation, arable, conventional tillage (obsolete)</t>
  </si>
  <si>
    <t xml:space="preserve">81e07a67-28e0-4392-a553-d86e54a9b8a9</t>
  </si>
  <si>
    <t xml:space="preserve">Occupation, arable, reduced tillage (obsolete)</t>
  </si>
  <si>
    <t xml:space="preserve">c991a302-884f-4882-a094-e1b8f1d4c6b0</t>
  </si>
  <si>
    <t xml:space="preserve">Occupation, bare area (non-use)</t>
  </si>
  <si>
    <t xml:space="preserve">4b6b9b76-3199-4bd0-b11d-f8f2efbeac4e</t>
  </si>
  <si>
    <t xml:space="preserve">Occupation, construction site</t>
  </si>
  <si>
    <t xml:space="preserve">5d615a38-6d0a-4f3a-8973-69b333b6e814</t>
  </si>
  <si>
    <t xml:space="preserve">Occupation, cropland fallow (non-use)</t>
  </si>
  <si>
    <t xml:space="preserve">1eaa9ea4-40b8-414a-b198-5626400372e1</t>
  </si>
  <si>
    <t xml:space="preserve">Occupation, dump site</t>
  </si>
  <si>
    <t xml:space="preserve">8222627a-0ca1-4632-894c-94d0e21064a1</t>
  </si>
  <si>
    <t xml:space="preserve">Occupation, field margin/hedgerow</t>
  </si>
  <si>
    <t xml:space="preserve">2925111b-3464-4e34-9d02-b73c1c033e91</t>
  </si>
  <si>
    <t xml:space="preserve">Occupation, forest, extensive</t>
  </si>
  <si>
    <t xml:space="preserve">aca1714f-0040-4a65-a73a-0e38aa9f50f4</t>
  </si>
  <si>
    <t xml:space="preserve">Occupation, forest, intensive</t>
  </si>
  <si>
    <t xml:space="preserve">0f923637-e322-44d8-9ff2-9c765d75e253</t>
  </si>
  <si>
    <t xml:space="preserve">Occupation, forest, primary (non-use)</t>
  </si>
  <si>
    <t xml:space="preserve">84b11d12-a078-44e7-9d6e-7675a0e23c4d</t>
  </si>
  <si>
    <t xml:space="preserve">Occupation, forest, secondary (non-use)</t>
  </si>
  <si>
    <t xml:space="preserve">b91d0527-9a01-4a86-b420-c62b70629ba4</t>
  </si>
  <si>
    <t xml:space="preserve">Occupation, forest, unspecified</t>
  </si>
  <si>
    <t xml:space="preserve">2b8a0f87-bd2a-4b10-8dd9-714487f59fc9</t>
  </si>
  <si>
    <t xml:space="preserve">Occupation, grassland, natural (non-use)</t>
  </si>
  <si>
    <t xml:space="preserve">e780232c-898f-4606-8d21-f8589801ebe6</t>
  </si>
  <si>
    <t xml:space="preserve">Occupation, grassland, natural, for livestock grazing</t>
  </si>
  <si>
    <t xml:space="preserve">69c7d771-04fc-499e-84f8-6c7b923b8ced</t>
  </si>
  <si>
    <t xml:space="preserve">Occupation, heterogeneous, agricultural</t>
  </si>
  <si>
    <t xml:space="preserve">fe9c3a98-a6d2-452d-a9a4-a13e64f1b95b</t>
  </si>
  <si>
    <t xml:space="preserve">Occupation, industrial area</t>
  </si>
  <si>
    <t xml:space="preserve">e5824519-f945-4b2c-a81b-677290021b8a</t>
  </si>
  <si>
    <t xml:space="preserve">Occupation, inland waterbody, unspecified</t>
  </si>
  <si>
    <t xml:space="preserve">69dfa439-8e4e-4cae-bb0c-85a8aa8b9a73</t>
  </si>
  <si>
    <t xml:space="preserve">Occupation, lake, artificial</t>
  </si>
  <si>
    <t xml:space="preserve">f8ba8266-7f00-47b8-9ef0-bc81a8728d09</t>
  </si>
  <si>
    <t xml:space="preserve">Occupation, lake, natural (non-use)</t>
  </si>
  <si>
    <t xml:space="preserve">379ba5c9-5c3a-43d0-8e2d-605ad9c39e46</t>
  </si>
  <si>
    <t xml:space="preserve">Occupation, mineral extraction site</t>
  </si>
  <si>
    <t xml:space="preserve">59ded913-17fe-4b3e-80cb-79b97cdbef9a</t>
  </si>
  <si>
    <t xml:space="preserve">Occupation, pasture, man made</t>
  </si>
  <si>
    <t xml:space="preserve">19f84b2e-e6ff-4351-ba3a-8b650fc20d14</t>
  </si>
  <si>
    <t xml:space="preserve">Occupation, pasture, man made, extensive</t>
  </si>
  <si>
    <t xml:space="preserve">98b723d4-3362-4b38-8b1e-1bedacfd5e27</t>
  </si>
  <si>
    <t xml:space="preserve">Occupation, pasture, man made, intensive</t>
  </si>
  <si>
    <t xml:space="preserve">e9007a6f-7244-44d4-a561-91ae1b6c6cfc</t>
  </si>
  <si>
    <t xml:space="preserve">Occupation, permanent crop</t>
  </si>
  <si>
    <t xml:space="preserve">1896b498-8d13-4f58-8c17-21fe57740158</t>
  </si>
  <si>
    <t xml:space="preserve">Occupation, permanent crop, irrigated</t>
  </si>
  <si>
    <t xml:space="preserve">7e7d6ebb-8c9c-4ecb-b64b-23a8c2c908c4</t>
  </si>
  <si>
    <t xml:space="preserve">Occupation, permanent crop, irrigated, extensive</t>
  </si>
  <si>
    <t xml:space="preserve">3afbc2d8-1b51-4d43-87a7-e68291c1e999</t>
  </si>
  <si>
    <t xml:space="preserve">Occupation, permanent crop, irrigated, intensive</t>
  </si>
  <si>
    <t xml:space="preserve">18636f13-f552-4136-a353-3b5a8e5f87d1</t>
  </si>
  <si>
    <t xml:space="preserve">Occupation, permanent crop, non-irrigated</t>
  </si>
  <si>
    <t xml:space="preserve">f318deb8-ac36-47c0-bb00-e3022b583c7e</t>
  </si>
  <si>
    <t xml:space="preserve">Occupation, permanent crop, non-irrigated, extensive</t>
  </si>
  <si>
    <t xml:space="preserve">c9461a73-d00a-4fc7-a890-a9eda6af3185</t>
  </si>
  <si>
    <t xml:space="preserve">Occupation, permanent crop, non-irrigated, intensive</t>
  </si>
  <si>
    <t xml:space="preserve">c14ea750-4a9f-41fa-bcc1-4a1d84466f43</t>
  </si>
  <si>
    <t xml:space="preserve">Occupation, river, artificial</t>
  </si>
  <si>
    <t xml:space="preserve">d54bb4f8-e6d9-46dc-a8ae-e70d5d8562c2</t>
  </si>
  <si>
    <t xml:space="preserve">Occupation, river, natural (non-use)</t>
  </si>
  <si>
    <t xml:space="preserve">70c4c6d8-ed81-4763-ae6d-39e54ef0b1fa</t>
  </si>
  <si>
    <t xml:space="preserve">Occupation, seabed, drilling and mining</t>
  </si>
  <si>
    <t xml:space="preserve">9db06277-b6d9-4c48-8cfb-de342e928a50</t>
  </si>
  <si>
    <t xml:space="preserve">Occupation, seabed, infrastructure</t>
  </si>
  <si>
    <t xml:space="preserve">76e1a3ec-8bf5-4eae-92f0-1020ccd46e61</t>
  </si>
  <si>
    <t xml:space="preserve">Occupation, seabed, natural (non-use)</t>
  </si>
  <si>
    <t xml:space="preserve">7af0b1a6-2e8f-407a-8ac7-b02a2023155b</t>
  </si>
  <si>
    <t xml:space="preserve">Occupation, seabed, unspecified</t>
  </si>
  <si>
    <t xml:space="preserve">c199261c-8234-43c5-b906-5b67707e4395</t>
  </si>
  <si>
    <t xml:space="preserve">Occupation, shrub land, sclerophyllous</t>
  </si>
  <si>
    <t xml:space="preserve">817ebb8a-027d-4e4f-89c1-fe5548abcd0b</t>
  </si>
  <si>
    <t xml:space="preserve">Occupation, snow and ice (non-use)</t>
  </si>
  <si>
    <t xml:space="preserve">062a6faf-b1a5-4a6a-aa02-47ae3ec566a8</t>
  </si>
  <si>
    <t xml:space="preserve">Occupation, traffic area, rail network</t>
  </si>
  <si>
    <t xml:space="preserve">956c5f83-65c8-4607-9749-147cfb9c8f70</t>
  </si>
  <si>
    <t xml:space="preserve">Occupation, traffic area, rail/road embankment</t>
  </si>
  <si>
    <t xml:space="preserve">26efe47c-92a5-4dea-b4d0-eac13e418a58</t>
  </si>
  <si>
    <t xml:space="preserve">Occupation, traffic area, road network</t>
  </si>
  <si>
    <t xml:space="preserve">c7cb5880-4219-4051-9357-10fdd08c6f2b</t>
  </si>
  <si>
    <t xml:space="preserve">Occupation, unspecified</t>
  </si>
  <si>
    <t xml:space="preserve">061259d7-7bcc-4298-af3a-63d084191988</t>
  </si>
  <si>
    <t xml:space="preserve">Occupation, unspecified, natural (non-use)</t>
  </si>
  <si>
    <t xml:space="preserve">3b4db191-9634-4a01-a873-f3cb234785e4</t>
  </si>
  <si>
    <t xml:space="preserve">Occupation, urban, continuously built</t>
  </si>
  <si>
    <t xml:space="preserve">56ec994a-eb96-42e8-93eb-4970e30e6362</t>
  </si>
  <si>
    <t xml:space="preserve">Occupation, urban, discontinuously built</t>
  </si>
  <si>
    <t xml:space="preserve">190d9910-5d04-4c97-abea-3b39682b7ed6</t>
  </si>
  <si>
    <t xml:space="preserve">Occupation, urban, green area</t>
  </si>
  <si>
    <t xml:space="preserve">70aa745b-8bc5-4433-b2f5-d1da652ba166</t>
  </si>
  <si>
    <t xml:space="preserve">Occupation, urban/industrial fallow (non-use)</t>
  </si>
  <si>
    <t xml:space="preserve">54dfbd2f-8218-4f2f-87f8-d928d8056e8e</t>
  </si>
  <si>
    <t xml:space="preserve">Occupation, wetland, coastal (non-use)</t>
  </si>
  <si>
    <t xml:space="preserve">db1e4137-27a3-4b89-99af-42a18271c144</t>
  </si>
  <si>
    <t xml:space="preserve">Occupation, wetland, inland (non-use)</t>
  </si>
  <si>
    <t xml:space="preserve">88d06db9-59a1-4719-9174-afeb1fa4026a</t>
  </si>
  <si>
    <t xml:space="preserve">Oil, crude, in ground</t>
  </si>
  <si>
    <t xml:space="preserve">d7cadc9a-f42c-4711-a8e2-0b626c0a4c7a</t>
  </si>
  <si>
    <t xml:space="preserve">Olivine, in ground</t>
  </si>
  <si>
    <t xml:space="preserve">669ab0eb-c020-4b98-bfe4-e0989013121a</t>
  </si>
  <si>
    <t xml:space="preserve">Palladium, Pd 1.6E-6%, in mixed ore, in ground</t>
  </si>
  <si>
    <t xml:space="preserve">edc69c63-a776-4dbf-acbf-e0368914980a</t>
  </si>
  <si>
    <t xml:space="preserve">Palladium, in ground</t>
  </si>
  <si>
    <t xml:space="preserve">4b8ac2cb-3fa6-4047-a9ab-183d9e63ccac</t>
  </si>
  <si>
    <t xml:space="preserve">Pd, Pd 2.0E-4%, Pt 4.8E-4%, Rh 2.4E-5%, Ni 3.7E-2%, Cu 5.2E-2% in ore, in ground</t>
  </si>
  <si>
    <t xml:space="preserve">535bbc83-033b-42fe-9a68-8dc9eb420385</t>
  </si>
  <si>
    <t xml:space="preserve">Pd, Pd 7.3E-4%, Pt 2.5E-4%, Rh 2.0E-5%, Ni 2.3E+0%, Cu 3.2E+0% in ore, in ground</t>
  </si>
  <si>
    <t xml:space="preserve">c5035ce2-5ee5-431f-a287-4b25da42be74</t>
  </si>
  <si>
    <t xml:space="preserve">Peat, in ground</t>
  </si>
  <si>
    <t xml:space="preserve">09a68c14-01f6-4dee-ba29-8b7f400b72b5</t>
  </si>
  <si>
    <t xml:space="preserve">Perlite, in ground</t>
  </si>
  <si>
    <t xml:space="preserve">a64e65fe-3c33-44f1-bd2d-ab7fac07653f</t>
  </si>
  <si>
    <t xml:space="preserve">Phosphorus, 18% in apatite, 12% in crude ore, in ground</t>
  </si>
  <si>
    <t xml:space="preserve">9a7380d1-6e23-48ad-b35a-14bd1ecb3133</t>
  </si>
  <si>
    <t xml:space="preserve">Phosphorus, 18% in apatite, 4% in crude ore, in ground</t>
  </si>
  <si>
    <t xml:space="preserve">68be4a67-89e0-4cfe-a089-fa8706de230e</t>
  </si>
  <si>
    <t xml:space="preserve">Platinum, Pt 4.7E-7%, in mixed ore, in ground</t>
  </si>
  <si>
    <t xml:space="preserve">d13b2665-505d-49e2-8edd-dc966b0342af</t>
  </si>
  <si>
    <t xml:space="preserve">Platinum, in ground</t>
  </si>
  <si>
    <t xml:space="preserve">909bc093-18b2-4a7e-8131-16f68eebc193</t>
  </si>
  <si>
    <t xml:space="preserve">Praseodymium, 0.42% in bastnasite, 0.042% in crude ore, in ground</t>
  </si>
  <si>
    <t xml:space="preserve">3250f566-58bc-46d3-ab88-1d2e23ca3e1b</t>
  </si>
  <si>
    <t xml:space="preserve">Pt, Pt 2.5E-4%, Pd 7.3E-4%, Rh 2.0E-5%, Ni 2.3E+0%, Cu 3.2E+0% in ore, in ground</t>
  </si>
  <si>
    <t xml:space="preserve">636a8446-9899-43a6-b4bf-213f25d69c88</t>
  </si>
  <si>
    <t xml:space="preserve">Pt, Pt 4.8E-4%, Pd 2.0E-4%, Rh 2.4E-5%, Ni 3.7E-2%, Cu 5.2E-2% in ore, in ground</t>
  </si>
  <si>
    <t xml:space="preserve">4402f445-984c-4728-be22-6f9aea1146b9</t>
  </si>
  <si>
    <t xml:space="preserve">Pumice, in ground</t>
  </si>
  <si>
    <t xml:space="preserve">c73e75dc-c02d-4192-ab43-faf29c119fae</t>
  </si>
  <si>
    <t xml:space="preserve">Pyrite, in ground</t>
  </si>
  <si>
    <t xml:space="preserve">aaceb467-2e6a-464e-9a0f-2545e31850ba</t>
  </si>
  <si>
    <t xml:space="preserve">Pyrolusite, in ground</t>
  </si>
  <si>
    <t xml:space="preserve">7005a356-23d8-4d38-9dbc-fa75401b400e</t>
  </si>
  <si>
    <t xml:space="preserve">Rh, Rh 2.0E-5%, Pt 2.5E-4%, Pd 7.3E-4%, Ni 2.3E+0%, Cu 3.2E+0% in ore, in ground</t>
  </si>
  <si>
    <t xml:space="preserve">f7360584-688a-4b6f-bc4a-db00a1e7b022</t>
  </si>
  <si>
    <t xml:space="preserve">Rh, Rh 2.4E-5%, Pt 4.8E-4%, Pd 2.0E-4%, Ni 3.7E-2%, Cu 5.2E-2% in ore, in ground</t>
  </si>
  <si>
    <t xml:space="preserve">a3930b4d-74da-4489-9a50-d175c25d4fe8</t>
  </si>
  <si>
    <t xml:space="preserve">Rhenium, in crude ore, in ground</t>
  </si>
  <si>
    <t xml:space="preserve">ba2da2fe-3420-45d1-9d1b-58b9e99714eb</t>
  </si>
  <si>
    <t xml:space="preserve">Rhodium, Rh 1.6E-7%, in mixed ore, in ground</t>
  </si>
  <si>
    <t xml:space="preserve">4803f22f-6950-489b-914d-fa953a8081f6</t>
  </si>
  <si>
    <t xml:space="preserve">Rhodium, in ground</t>
  </si>
  <si>
    <t xml:space="preserve">f46130cc-dbd4-4a3b-a537-5efbcd89063f</t>
  </si>
  <si>
    <t xml:space="preserve">Samarium, 0.3% in bastnasite, 0.03% in crude ore, in ground</t>
  </si>
  <si>
    <t xml:space="preserve">423ef039-6057-4f63-94bd-e9410d024bd0</t>
  </si>
  <si>
    <t xml:space="preserve">Sand, unspecified, in ground</t>
  </si>
  <si>
    <t xml:space="preserve">9e9b6792-40e6-4d62-a3e0-ebebc0c65166</t>
  </si>
  <si>
    <t xml:space="preserve">Shale, in ground</t>
  </si>
  <si>
    <t xml:space="preserve">c15f6c4d-bf7a-4a7c-91c6-53aad6a630a8</t>
  </si>
  <si>
    <t xml:space="preserve">Silver, 0.007% in sulfide, Ag 0.004%, Pb, Zn, Cd, In, in ground</t>
  </si>
  <si>
    <t xml:space="preserve">bc153c00-6c93-412f-aadc-750f2fc6f9c7</t>
  </si>
  <si>
    <t xml:space="preserve">Silver, 0.01% in crude ore, in ground</t>
  </si>
  <si>
    <t xml:space="preserve">14946240-b1ee-412c-b900-ed5728a4e684</t>
  </si>
  <si>
    <t xml:space="preserve">Silver, 3.2ppm in sulfide, Ag 1.2ppm, Cu and Te, in crude ore, in ground</t>
  </si>
  <si>
    <t xml:space="preserve">ed8c57b5-6012-4f21-8b70-92a85923786a</t>
  </si>
  <si>
    <t xml:space="preserve">Silver, Ag 1.5E-4%, Au 6.8E-4%, in ore, in ground</t>
  </si>
  <si>
    <t xml:space="preserve">adfff256-b19a-4083-9783-ffbc7a7cb437</t>
  </si>
  <si>
    <t xml:space="preserve">Silver, Ag 1.5E-5%, Au 5.4E-4%, in ore, in ground</t>
  </si>
  <si>
    <t xml:space="preserve">45ed0c16-0e34-45f1-8bf9-3b1ce8489e73</t>
  </si>
  <si>
    <t xml:space="preserve">Silver, Ag 1.8E-6%, in mixed ore, in ground</t>
  </si>
  <si>
    <t xml:space="preserve">d02343bd-b00d-4fb3-9bda-2e8183f3b012</t>
  </si>
  <si>
    <t xml:space="preserve">Silver, Ag 2.1E-4%, Au 2.1E-4%, in ore, in ground</t>
  </si>
  <si>
    <t xml:space="preserve">d76320f7-6761-4864-92a6-660fa3453ffa</t>
  </si>
  <si>
    <t xml:space="preserve">Silver, Ag 4.2E-3%, Au 1.1E-4%, in ore, in ground</t>
  </si>
  <si>
    <t xml:space="preserve">6f70e7c7-ef61-4489-b4f3-157e7e8541ef</t>
  </si>
  <si>
    <t xml:space="preserve">Silver, Ag 4.6E-5%, Au 1.3E-4%, in ore, in ground</t>
  </si>
  <si>
    <t xml:space="preserve">eaa3e9d4-68d6-4267-a7a5-48b141c3861e</t>
  </si>
  <si>
    <t xml:space="preserve">Silver, Ag 5.4E-3%, in mixed ore, in ground</t>
  </si>
  <si>
    <t xml:space="preserve">781dda0c-ffeb-4664-9667-7506ce6269b9</t>
  </si>
  <si>
    <t xml:space="preserve">Silver, Ag 7.6E-5%, Au 9.7E-5%, in ore, in ground</t>
  </si>
  <si>
    <t xml:space="preserve">cfaa80f4-8e19-4fd6-942a-eaea14812896</t>
  </si>
  <si>
    <t xml:space="preserve">Silver, Ag 9.7E-4%, in mixed ore, in ground</t>
  </si>
  <si>
    <t xml:space="preserve">361a64cb-ab76-4a72-9ea1-c07d6a20c124</t>
  </si>
  <si>
    <t xml:space="preserve">Silver, in ground</t>
  </si>
  <si>
    <t xml:space="preserve">0b9159dd-305d-4add-802f-f7b780ed0289</t>
  </si>
  <si>
    <t xml:space="preserve">Sodium chloride, in ground</t>
  </si>
  <si>
    <t xml:space="preserve">a2a4f255-ad47-4cf8-b6a9-e10885d61407</t>
  </si>
  <si>
    <t xml:space="preserve">Sodium nitrate, in ground</t>
  </si>
  <si>
    <t xml:space="preserve">5bbcdc6d-b1a7-4b63-b625-76060c767de7</t>
  </si>
  <si>
    <t xml:space="preserve">Sodium sulphate, various forms, in ground</t>
  </si>
  <si>
    <t xml:space="preserve">5324b57a-96f1-4dc3-9dc5-544881960f4f</t>
  </si>
  <si>
    <t xml:space="preserve">Spodumene, in ground</t>
  </si>
  <si>
    <t xml:space="preserve">d5b20a8b-48ac-4dcf-9f6e-dd5da5248c05</t>
  </si>
  <si>
    <t xml:space="preserve">Steatite, in ground</t>
  </si>
  <si>
    <t xml:space="preserve">3e0034cd-21d6-4582-9fbf-09c26edd05df</t>
  </si>
  <si>
    <t xml:space="preserve">Stibnite, in ground</t>
  </si>
  <si>
    <t xml:space="preserve">852281f6-db73-4250-84d3-86b569fce0c1</t>
  </si>
  <si>
    <t xml:space="preserve">Sulfur, in ground</t>
  </si>
  <si>
    <t xml:space="preserve">d80610f2-df83-4e2a-9dc3-f74fced6577f</t>
  </si>
  <si>
    <t xml:space="preserve">Sylvite, 25 % in sylvinite, in ground</t>
  </si>
  <si>
    <t xml:space="preserve">bc97531c-12d8-4113-bcb2-663a47d12d0f</t>
  </si>
  <si>
    <t xml:space="preserve">Talc, in ground</t>
  </si>
  <si>
    <t xml:space="preserve">5f1d740e-804d-4080-8ef9-aeaa0d8e1115</t>
  </si>
  <si>
    <t xml:space="preserve">Tantalum, 81.9% in tantalite, 1.6E-4% in crude ore, in ground</t>
  </si>
  <si>
    <t xml:space="preserve">7a81cd45-7f4c-40b3-989c-6a65f42df999</t>
  </si>
  <si>
    <t xml:space="preserve">Tellurium, 0.5ppm in sulfide, Te 0.2ppm, Cu and Ag, in crude ore, in ground</t>
  </si>
  <si>
    <t xml:space="preserve">90a94ea5-bca4-483d-a591-2e886c0ff47f</t>
  </si>
  <si>
    <t xml:space="preserve">TiO2, 54% in ilmenite, 18% in crude ore, in ground</t>
  </si>
  <si>
    <t xml:space="preserve">78cd4852-e7b9-4301-adf7-51e730b0356a</t>
  </si>
  <si>
    <t xml:space="preserve">TiO2, 54% in ilmenite, 2.6% in crude ore, in ground</t>
  </si>
  <si>
    <t xml:space="preserve">ec0fa5ce-51b4-4792-a8e8-c4ee668eddc3</t>
  </si>
  <si>
    <t xml:space="preserve">TiO2, 95% in rutile, 0.40% in crude ore, in ground</t>
  </si>
  <si>
    <t xml:space="preserve">31b4eea9-640e-4056-ac2f-0555627af18a</t>
  </si>
  <si>
    <t xml:space="preserve">Tin, 79% in cassiterite, 0.1% in crude ore, in ground</t>
  </si>
  <si>
    <t xml:space="preserve">53d5ef26-66d8-4536-afa2-2f6b114189ba</t>
  </si>
  <si>
    <t xml:space="preserve">Tin, in ground</t>
  </si>
  <si>
    <t xml:space="preserve">2f033407-6060-4e1e-868c-9f362d10fdb2</t>
  </si>
  <si>
    <t xml:space="preserve">Titanium, in ground</t>
  </si>
  <si>
    <t xml:space="preserve">f05cca02-ec18-4acc-9939-59658ff9a554</t>
  </si>
  <si>
    <t xml:space="preserve">Transformation, from annual crop</t>
  </si>
  <si>
    <t xml:space="preserve">398ed67b-081c-49c4-8b43-b666bdfd739f</t>
  </si>
  <si>
    <t xml:space="preserve">Transformation, from annual crop, flooded crop</t>
  </si>
  <si>
    <t xml:space="preserve">101f15ac-0698-49dd-b177-471a813ef78e</t>
  </si>
  <si>
    <t xml:space="preserve">Transformation, from annual crop, greenhouse</t>
  </si>
  <si>
    <t xml:space="preserve">a70beb60-354d-4dcd-b6fd-8c251357fb2a</t>
  </si>
  <si>
    <t xml:space="preserve">Transformation, from annual crop, irrigated</t>
  </si>
  <si>
    <t xml:space="preserve">fabbb533-f106-4786-aefc-f5ecaed20262</t>
  </si>
  <si>
    <t xml:space="preserve">Transformation, from annual crop, irrigated, extensive</t>
  </si>
  <si>
    <t xml:space="preserve">10ebc72c-2c4b-45ea-abd8-cb7fe0805883</t>
  </si>
  <si>
    <t xml:space="preserve">Transformation, from annual crop, irrigated, intensive</t>
  </si>
  <si>
    <t xml:space="preserve">4b420f19-0421-461e-a0b6-7efbf580089b</t>
  </si>
  <si>
    <t xml:space="preserve">Transformation, from annual crop, non-irrigated</t>
  </si>
  <si>
    <t xml:space="preserve">c7869c43-266c-429d-bfd5-6b578ed32ce8</t>
  </si>
  <si>
    <t xml:space="preserve">Transformation, from annual crop, non-irrigated, extensive</t>
  </si>
  <si>
    <t xml:space="preserve">ab3e851e-21c9-47cf-8e7d-5f96dfae3ba5</t>
  </si>
  <si>
    <t xml:space="preserve">Transformation, from annual crop, non-irrigated, intensive</t>
  </si>
  <si>
    <t xml:space="preserve">4d166779-88fd-441b-9537-f3b974e3bff7</t>
  </si>
  <si>
    <t xml:space="preserve">Transformation, from arable land, unspecified use</t>
  </si>
  <si>
    <t xml:space="preserve">93b6b5d5-69e7-483f-ab1d-877205900970</t>
  </si>
  <si>
    <t xml:space="preserve">Transformation, from bare area (non-use)</t>
  </si>
  <si>
    <t xml:space="preserve">4da2ea28-8273-4901-9931-264169ec7731</t>
  </si>
  <si>
    <t xml:space="preserve">Transformation, from cropland fallow (non-use)</t>
  </si>
  <si>
    <t xml:space="preserve">5eb25424-acb6-4ffa-a96a-5fdef05f6515</t>
  </si>
  <si>
    <t xml:space="preserve">Transformation, from dump site</t>
  </si>
  <si>
    <t xml:space="preserve">c1513682-45ad-444e-afb5-27c660714e88</t>
  </si>
  <si>
    <t xml:space="preserve">Transformation, from dump site, inert material landfill</t>
  </si>
  <si>
    <t xml:space="preserve">7fdc928c-f347-45e7-82d7-046acdf878ae</t>
  </si>
  <si>
    <t xml:space="preserve">Transformation, from dump site, residual material landfill</t>
  </si>
  <si>
    <t xml:space="preserve">b79e26a0-88db-441f-b79b-508506e81b93</t>
  </si>
  <si>
    <t xml:space="preserve">Transformation, from dump site, sanitary landfill</t>
  </si>
  <si>
    <t xml:space="preserve">7d5b5802-3698-4be8-98f8-ab7c1a2e9328</t>
  </si>
  <si>
    <t xml:space="preserve">Transformation, from dump site, slag compartment</t>
  </si>
  <si>
    <t xml:space="preserve">24edeb85-2af8-4477-b064-1cdcf1510449</t>
  </si>
  <si>
    <t xml:space="preserve">Transformation, from field margin/hedgerow</t>
  </si>
  <si>
    <t xml:space="preserve">e71f95a5-fd82-4128-9fd1-be3f0e85d0fc</t>
  </si>
  <si>
    <t xml:space="preserve">Transformation, from forest, extensive</t>
  </si>
  <si>
    <t xml:space="preserve">e717f3cc-ac70-4c9b-be56-1614239b917e</t>
  </si>
  <si>
    <t xml:space="preserve">Transformation, from forest, intensive</t>
  </si>
  <si>
    <t xml:space="preserve">9d136389-8670-45ae-ad1d-a06848a1fd1d</t>
  </si>
  <si>
    <t xml:space="preserve">Transformation, from forest, primary (non-use)</t>
  </si>
  <si>
    <t xml:space="preserve">9cc80820-fcf9-4ea9-8e67-0aa423eba6a4</t>
  </si>
  <si>
    <t xml:space="preserve">Transformation, from forest, secondary (non-use)</t>
  </si>
  <si>
    <t xml:space="preserve">0930b6b8-d9c6-4462-966f-ac7495b63bed</t>
  </si>
  <si>
    <t xml:space="preserve">Transformation, from forest, unspecified</t>
  </si>
  <si>
    <t xml:space="preserve">b905c2e0-a0db-4e66-80d2-8bdfc93c6218</t>
  </si>
  <si>
    <t xml:space="preserve">Transformation, from grassland, natural (non-use)</t>
  </si>
  <si>
    <t xml:space="preserve">c12ed8b5-8452-43ca-9986-a814e908e792</t>
  </si>
  <si>
    <t xml:space="preserve">Transformation, from grassland, natural, for livestock grazing</t>
  </si>
  <si>
    <t xml:space="preserve">2e002771-9f22-43e3-9990-f06f8235700b</t>
  </si>
  <si>
    <t xml:space="preserve">Transformation, from heterogeneous, agricultural</t>
  </si>
  <si>
    <t xml:space="preserve">b6dcefd8-3848-4338-9c3e-fe6e91f20937</t>
  </si>
  <si>
    <t xml:space="preserve">Transformation, from industrial area</t>
  </si>
  <si>
    <t xml:space="preserve">b9bc9427-5808-4e9e-8c78-e7098563afb4</t>
  </si>
  <si>
    <t xml:space="preserve">Transformation, from inland waterbody, unspecified</t>
  </si>
  <si>
    <t xml:space="preserve">9c08496f-7895-44f9-8686-fe3154392da4</t>
  </si>
  <si>
    <t xml:space="preserve">Transformation, from lake, artificial</t>
  </si>
  <si>
    <t xml:space="preserve">e3502f7b-0690-4b1e-8e1c-22f6886c26a1</t>
  </si>
  <si>
    <t xml:space="preserve">Transformation, from lake, natural (non-use)</t>
  </si>
  <si>
    <t xml:space="preserve">64d99cb5-3b4f-4195-b86f-c5f45b4dcd19</t>
  </si>
  <si>
    <t xml:space="preserve">Transformation, from mineral extraction site</t>
  </si>
  <si>
    <t xml:space="preserve">2c126bcc-bb63-4d63-bd72-f02a1e616809</t>
  </si>
  <si>
    <t xml:space="preserve">Transformation, from pasture, man made</t>
  </si>
  <si>
    <t xml:space="preserve">82f2476e-988b-4d7a-bde6-5da9337d1f65</t>
  </si>
  <si>
    <t xml:space="preserve">Transformation, from pasture, man made, extensive</t>
  </si>
  <si>
    <t xml:space="preserve">592bf69f-8551-4611-8942-4620be0adabe</t>
  </si>
  <si>
    <t xml:space="preserve">Transformation, from pasture, man made, intensive</t>
  </si>
  <si>
    <t xml:space="preserve">fcb77a5a-6882-4aeb-82a9-ba57688d2224</t>
  </si>
  <si>
    <t xml:space="preserve">Transformation, from permanent crop</t>
  </si>
  <si>
    <t xml:space="preserve">73cba245-5969-4076-8490-75a236073196</t>
  </si>
  <si>
    <t xml:space="preserve">Transformation, from permanent crop, irrigated</t>
  </si>
  <si>
    <t xml:space="preserve">d0394db1-a1cd-4026-bf50-dd5e47331572</t>
  </si>
  <si>
    <t xml:space="preserve">Transformation, from permanent crop, irrigated, extensive</t>
  </si>
  <si>
    <t xml:space="preserve">d585d599-05f1-47ff-8c41-790f51830b9b</t>
  </si>
  <si>
    <t xml:space="preserve">Transformation, from permanent crop, irrigated, intensive</t>
  </si>
  <si>
    <t xml:space="preserve">31e4e26b-a997-4969-963d-243699aca3a8</t>
  </si>
  <si>
    <t xml:space="preserve">Transformation, from permanent crop, non-irrigated</t>
  </si>
  <si>
    <t xml:space="preserve">af41f691-3a3e-47a3-9e45-3b4d78469ae0</t>
  </si>
  <si>
    <t xml:space="preserve">Transformation, from permanent crop, non-irrigated, extensive</t>
  </si>
  <si>
    <t xml:space="preserve">fa288b80-6ef1-4e80-b534-5c2e5c492fd8</t>
  </si>
  <si>
    <t xml:space="preserve">Transformation, from permanent crop, non-irrigated, intensive</t>
  </si>
  <si>
    <t xml:space="preserve">631d9552-1190-4edf-abc9-319139c90bd4</t>
  </si>
  <si>
    <t xml:space="preserve">Transformation, from river, artificial</t>
  </si>
  <si>
    <t xml:space="preserve">b06ca23e-c6c0-478b-a65c-50e5e5dd8440</t>
  </si>
  <si>
    <t xml:space="preserve">Transformation, from river, natural (non-use)</t>
  </si>
  <si>
    <t xml:space="preserve">902b828c-5b1f-4a1b-ad0f-d795eaaf067c</t>
  </si>
  <si>
    <t xml:space="preserve">Transformation, from seabed, drilling and mining</t>
  </si>
  <si>
    <t xml:space="preserve">bbcdd18c-4d16-4c28-b031-d988884030a7</t>
  </si>
  <si>
    <t xml:space="preserve">Transformation, from seabed, infrastructure</t>
  </si>
  <si>
    <t xml:space="preserve">da92cf98-87cb-437e-ab2c-205ba0639006</t>
  </si>
  <si>
    <t xml:space="preserve">Transformation, from seabed, natural (non-use)</t>
  </si>
  <si>
    <t xml:space="preserve">928ba839-d6e5-4d1e-b5fd-122998a9bbe2</t>
  </si>
  <si>
    <t xml:space="preserve">Transformation, from seabed, unspecified</t>
  </si>
  <si>
    <t xml:space="preserve">17a5a406-333f-4b9e-8852-c2de50bc9585</t>
  </si>
  <si>
    <t xml:space="preserve">Transformation, from shrub land, sclerophyllous</t>
  </si>
  <si>
    <t xml:space="preserve">dcd996a7-1c08-4b63-87d6-04bcbbe87792</t>
  </si>
  <si>
    <t xml:space="preserve">Transformation, from snow and ice (non-use)</t>
  </si>
  <si>
    <t xml:space="preserve">a99a8eaf-2f2c-42c6-b6ce-d5686a9ca249</t>
  </si>
  <si>
    <t xml:space="preserve">Transformation, from traffic area, rail network</t>
  </si>
  <si>
    <t xml:space="preserve">46b8b2fd-eb2a-413d-bc39-e7dc18a420ef</t>
  </si>
  <si>
    <t xml:space="preserve">Transformation, from traffic area, rail/road embankment</t>
  </si>
  <si>
    <t xml:space="preserve">00907a61-b501-4f47-b688-1dc2b51d48c1</t>
  </si>
  <si>
    <t xml:space="preserve">Transformation, from traffic area, road network</t>
  </si>
  <si>
    <t xml:space="preserve">29630a65-f38c-48a5-9744-c0121f586640</t>
  </si>
  <si>
    <t xml:space="preserve">Transformation, from unspecified</t>
  </si>
  <si>
    <t xml:space="preserve">1a1d0d4b-6b95-4815-ad06-2ec5fe333c43</t>
  </si>
  <si>
    <t xml:space="preserve">Transformation, from unspecified, natural (non-use)</t>
  </si>
  <si>
    <t xml:space="preserve">a8e39acd-6e7f-4d43-973b-37e6b7c00037</t>
  </si>
  <si>
    <t xml:space="preserve">Transformation, from urban, continuously built</t>
  </si>
  <si>
    <t xml:space="preserve">ba94eeb5-4b68-4848-a86e-71a9f3b70a4c</t>
  </si>
  <si>
    <t xml:space="preserve">Transformation, from urban, discontinuously built</t>
  </si>
  <si>
    <t xml:space="preserve">83a691df-1e4a-4cee-bcdb-17b7bd0c8c35</t>
  </si>
  <si>
    <t xml:space="preserve">Transformation, from urban, green area</t>
  </si>
  <si>
    <t xml:space="preserve">211de86f-2e82-4a7a-acdb-0b72232f1fa3</t>
  </si>
  <si>
    <t xml:space="preserve">Transformation, from urban/industrial fallow (non-use)</t>
  </si>
  <si>
    <t xml:space="preserve">1ef118e8-af9a-46d5-b04d-3ca10a69c51d</t>
  </si>
  <si>
    <t xml:space="preserve">Transformation, from wetland, coastal (non-use)</t>
  </si>
  <si>
    <t xml:space="preserve">0782d8ff-80e5-47a7-a2ba-3ba40ab60b60</t>
  </si>
  <si>
    <t xml:space="preserve">Transformation, from wetland, inland (non-use)</t>
  </si>
  <si>
    <t xml:space="preserve">c3f83a91-4888-41a4-add9-fd01678a1e5f</t>
  </si>
  <si>
    <t xml:space="preserve">Transformation, to annual crop</t>
  </si>
  <si>
    <t xml:space="preserve">69ec5008-2c7e-408f-ac10-a31e07ded999</t>
  </si>
  <si>
    <t xml:space="preserve">Transformation, to annual crop, flooded crop</t>
  </si>
  <si>
    <t xml:space="preserve">49c23685-ef19-495b-9a6b-4a91a7ceb710</t>
  </si>
  <si>
    <t xml:space="preserve">Transformation, to annual crop, greenhouse</t>
  </si>
  <si>
    <t xml:space="preserve">247ddc2a-c861-43be-97f0-0183e3d12f99</t>
  </si>
  <si>
    <t xml:space="preserve">Transformation, to annual crop, irrigated</t>
  </si>
  <si>
    <t xml:space="preserve">a70f8014-0de5-477f-9f10-712b5c280b8e</t>
  </si>
  <si>
    <t xml:space="preserve">Transformation, to annual crop, irrigated, extensive</t>
  </si>
  <si>
    <t xml:space="preserve">c3c3d385-57fa-4d47-a2c5-d838006e7985</t>
  </si>
  <si>
    <t xml:space="preserve">Transformation, to annual crop, irrigated, intensive</t>
  </si>
  <si>
    <t xml:space="preserve">e97b784a-ec09-4b1b-9f14-cc0ce9799c9e</t>
  </si>
  <si>
    <t xml:space="preserve">Transformation, to annual crop, non-irrigated</t>
  </si>
  <si>
    <t xml:space="preserve">91a067cc-543a-4d73-a0c0-feb1f8935756</t>
  </si>
  <si>
    <t xml:space="preserve">Transformation, to annual crop, non-irrigated, extensive</t>
  </si>
  <si>
    <t xml:space="preserve">2e52cbfa-94d7-432b-892f-431daa71a6ef</t>
  </si>
  <si>
    <t xml:space="preserve">Transformation, to annual crop, non-irrigated, intensive</t>
  </si>
  <si>
    <t xml:space="preserve">2f1e926a-ec96-432b-b2a6-bd5e3de2ff87</t>
  </si>
  <si>
    <t xml:space="preserve">Transformation, to arable land, unspecified use</t>
  </si>
  <si>
    <t xml:space="preserve">ac2c63cf-c657-4d33-bbc0-a5a9a1e29cf5</t>
  </si>
  <si>
    <t xml:space="preserve">Transformation, to bare area (non-use)</t>
  </si>
  <si>
    <t xml:space="preserve">54b82481-32a3-4e82-bac7-1df475dbc80c</t>
  </si>
  <si>
    <t xml:space="preserve">Transformation, to cropland fallow (non-use)</t>
  </si>
  <si>
    <t xml:space="preserve">90a5a447-af6f-421a-8201-011f07ad1150</t>
  </si>
  <si>
    <t xml:space="preserve">Transformation, to dump site</t>
  </si>
  <si>
    <t xml:space="preserve">d10b390c-9d0c-4f59-b31d-3d0d70e77a35</t>
  </si>
  <si>
    <t xml:space="preserve">Transformation, to dump site, inert material landfill</t>
  </si>
  <si>
    <t xml:space="preserve">8f5c8cb3-dccd-45da-9f1f-d1c61cd789c3</t>
  </si>
  <si>
    <t xml:space="preserve">Transformation, to dump site, residual material landfill</t>
  </si>
  <si>
    <t xml:space="preserve">1a568858-efa8-4c2a-b46e-82b6e66b6072</t>
  </si>
  <si>
    <t xml:space="preserve">Transformation, to dump site, sanitary landfill</t>
  </si>
  <si>
    <t xml:space="preserve">d73b27a2-81bd-4264-baa5-ce4aca3545be</t>
  </si>
  <si>
    <t xml:space="preserve">Transformation, to dump site, slag compartment</t>
  </si>
  <si>
    <t xml:space="preserve">c8a0392e-5ef6-4988-adf6-0adf88129aa1</t>
  </si>
  <si>
    <t xml:space="preserve">Transformation, to field margin/hedgerow</t>
  </si>
  <si>
    <t xml:space="preserve">88e8456c-dc23-4bb4-aed5-a4186a2fbf77</t>
  </si>
  <si>
    <t xml:space="preserve">Transformation, to forest, extensive</t>
  </si>
  <si>
    <t xml:space="preserve">994d61de-fbb0-4187-a4d4-b11c3c2b9102</t>
  </si>
  <si>
    <t xml:space="preserve">Transformation, to forest, intensive</t>
  </si>
  <si>
    <t xml:space="preserve">ede9fa50-8d76-4f6d-961f-36f701fbae4e</t>
  </si>
  <si>
    <t xml:space="preserve">Transformation, to forest, primary (non-use)</t>
  </si>
  <si>
    <t xml:space="preserve">ff6dccc1-5ebd-42c3-9fd9-3d73db7a3dd2</t>
  </si>
  <si>
    <t xml:space="preserve">Transformation, to forest, secondary (non-use)</t>
  </si>
  <si>
    <t xml:space="preserve">bba9f623-5919-4ef3-b98d-c94af1553179</t>
  </si>
  <si>
    <t xml:space="preserve">Transformation, to forest, unspecified</t>
  </si>
  <si>
    <t xml:space="preserve">fe17e7c1-9574-4880-b7e6-ec09c2e3ae5d</t>
  </si>
  <si>
    <t xml:space="preserve">Transformation, to grassland, natural (non-use)</t>
  </si>
  <si>
    <t xml:space="preserve">ce132b7d-ab1c-4df3-9656-8fe37ede77b1</t>
  </si>
  <si>
    <t xml:space="preserve">Transformation, to grassland, natural, for livestock grazing</t>
  </si>
  <si>
    <t xml:space="preserve">fdda4f8e-b620-4df6-92a9-101a251d2f42</t>
  </si>
  <si>
    <t xml:space="preserve">Transformation, to heterogeneous, agricultural</t>
  </si>
  <si>
    <t xml:space="preserve">4624deff-2016-41d4-b2bf-3db8dab88779</t>
  </si>
  <si>
    <t xml:space="preserve">Transformation, to industrial area</t>
  </si>
  <si>
    <t xml:space="preserve">14de323f-9e2d-4beb-b28e-6b93bae98da8</t>
  </si>
  <si>
    <t xml:space="preserve">Transformation, to inland waterbody, unspecified</t>
  </si>
  <si>
    <t xml:space="preserve">84b65d8f-2edd-4ddd-8f68-ca28d1c681b0</t>
  </si>
  <si>
    <t xml:space="preserve">Transformation, to lake, artificial</t>
  </si>
  <si>
    <t xml:space="preserve">1e725387-0874-4acb-b026-11b30d76af56</t>
  </si>
  <si>
    <t xml:space="preserve">Transformation, to lake, natural (non-use)</t>
  </si>
  <si>
    <t xml:space="preserve">626915e9-2424-4059-8b6a-fae47161acdf</t>
  </si>
  <si>
    <t xml:space="preserve">Transformation, to mineral extraction site</t>
  </si>
  <si>
    <t xml:space="preserve">7a16b680-6d9a-4db3-a23e-0ec64aca5995</t>
  </si>
  <si>
    <t xml:space="preserve">Transformation, to pasture, man made</t>
  </si>
  <si>
    <t xml:space="preserve">7464da86-f239-4bef-a778-04d5818bb956</t>
  </si>
  <si>
    <t xml:space="preserve">Transformation, to pasture, man made, extensive</t>
  </si>
  <si>
    <t xml:space="preserve">ec242c43-095c-4b42-8907-e0f13573f0a4</t>
  </si>
  <si>
    <t xml:space="preserve">Transformation, to pasture, man made, intensive</t>
  </si>
  <si>
    <t xml:space="preserve">6e02ccfc-9eb5-4a51-be9a-870c1087c833</t>
  </si>
  <si>
    <t xml:space="preserve">Transformation, to permanent crop</t>
  </si>
  <si>
    <t xml:space="preserve">a487b7db-318a-46ff-8e52-2837fab777ad</t>
  </si>
  <si>
    <t xml:space="preserve">Transformation, to permanent crop, irrigated</t>
  </si>
  <si>
    <t xml:space="preserve">59df4945-6ee2-4ea6-9ef7-36c4f4b478f6</t>
  </si>
  <si>
    <t xml:space="preserve">Transformation, to permanent crop, irrigated, extensive</t>
  </si>
  <si>
    <t xml:space="preserve">93ac2969-a4e9-49b5-8b97-5cbc6b9b2601</t>
  </si>
  <si>
    <t xml:space="preserve">Transformation, to permanent crop, irrigated, intensive</t>
  </si>
  <si>
    <t xml:space="preserve">3f8e24d7-3d44-4a47-870f-9e3e74decca4</t>
  </si>
  <si>
    <t xml:space="preserve">Transformation, to permanent crop, non-irrigated</t>
  </si>
  <si>
    <t xml:space="preserve">2cb441cd-8d2e-4e5c-a208-48c4fa005c41</t>
  </si>
  <si>
    <t xml:space="preserve">Transformation, to permanent crop, non-irrigated, extensive</t>
  </si>
  <si>
    <t xml:space="preserve">aa784c1b-0d0b-4c69-b631-b045d6ee61af</t>
  </si>
  <si>
    <t xml:space="preserve">Transformation, to permanent crop, non-irrigated, intensive</t>
  </si>
  <si>
    <t xml:space="preserve">090e9aa9-a9a9-4878-9634-3ad0ba7fbc91</t>
  </si>
  <si>
    <t xml:space="preserve">Transformation, to river, artificial</t>
  </si>
  <si>
    <t xml:space="preserve">9a6a4617-dd80-4fe6-84a9-e6c5644bdf59</t>
  </si>
  <si>
    <t xml:space="preserve">Transformation, to river, natural (non-use)</t>
  </si>
  <si>
    <t xml:space="preserve">9b5b8c40-38fe-42fb-8130-56c15e485fd0</t>
  </si>
  <si>
    <t xml:space="preserve">Transformation, to seabed, drilling and mining</t>
  </si>
  <si>
    <t xml:space="preserve">c7d2cf2d-0d21-45f7-9769-b07f3e53b76a</t>
  </si>
  <si>
    <t xml:space="preserve">Transformation, to seabed, infrastructure</t>
  </si>
  <si>
    <t xml:space="preserve">9197fa8a-1f9a-427b-91d3-113260ae6eb1</t>
  </si>
  <si>
    <t xml:space="preserve">Transformation, to seabed, natural (non-use)</t>
  </si>
  <si>
    <t xml:space="preserve">ebb16be1-8db3-42a2-8123-418787422cfe</t>
  </si>
  <si>
    <t xml:space="preserve">Transformation, to seabed, unspecified</t>
  </si>
  <si>
    <t xml:space="preserve">9089d7ad-09b1-4174-a188-8844ebde2d5d</t>
  </si>
  <si>
    <t xml:space="preserve">Transformation, to shrub land, sclerophyllous</t>
  </si>
  <si>
    <t xml:space="preserve">4e1b1828-1085-46ad-a083-1868b5146537</t>
  </si>
  <si>
    <t xml:space="preserve">Transformation, to snow and ice (non-use)</t>
  </si>
  <si>
    <t xml:space="preserve">0abf9db7-b5a2-4c18-8ec6-aca3a7fb5579</t>
  </si>
  <si>
    <t xml:space="preserve">Transformation, to traffic area, rail network</t>
  </si>
  <si>
    <t xml:space="preserve">04eb0695-e67b-46e5-9516-da6bde119822</t>
  </si>
  <si>
    <t xml:space="preserve">Transformation, to traffic area, rail/road embankment</t>
  </si>
  <si>
    <t xml:space="preserve">a42347d2-09f1-405e-95dd-bf6ac03765d8</t>
  </si>
  <si>
    <t xml:space="preserve">Transformation, to traffic area, road network</t>
  </si>
  <si>
    <t xml:space="preserve">512a5356-8059-4772-a43f-42e3c4f3d299</t>
  </si>
  <si>
    <t xml:space="preserve">Transformation, to unspecified</t>
  </si>
  <si>
    <t xml:space="preserve">46cfaeaf-f124-409f-998d-47b159051cec</t>
  </si>
  <si>
    <t xml:space="preserve">Transformation, to unspecified, natural (non-use)</t>
  </si>
  <si>
    <t xml:space="preserve">66f25f1d-1898-4827-bcbb-ca82f15c4d02</t>
  </si>
  <si>
    <t xml:space="preserve">Transformation, to urban, continuously built</t>
  </si>
  <si>
    <t xml:space="preserve">55beee8d-d04e-4307-bb0e-4e113dc07ee7</t>
  </si>
  <si>
    <t xml:space="preserve">Transformation, to urban, discontinuously built</t>
  </si>
  <si>
    <t xml:space="preserve">f669a957-5574-4932-98cb-2851a12b3137</t>
  </si>
  <si>
    <t xml:space="preserve">Transformation, to urban, green area</t>
  </si>
  <si>
    <t xml:space="preserve">f157b88d-f288-473c-8b03-0f97b58235ff</t>
  </si>
  <si>
    <t xml:space="preserve">Transformation, to urban/industrial fallow (non-use)</t>
  </si>
  <si>
    <t xml:space="preserve">f86f2893-58e9-4cb2-b4f2-ab1d80765c2f</t>
  </si>
  <si>
    <t xml:space="preserve">Transformation, to wetland, coastal (non-use)</t>
  </si>
  <si>
    <t xml:space="preserve">d36dd104-5214-4ca2-b1ab-c878987a42fe</t>
  </si>
  <si>
    <t xml:space="preserve">Transformation, to wetland, inland (non-use)</t>
  </si>
  <si>
    <t xml:space="preserve">d0696f95-6cb3-453b-b849-c99ba9c90c28</t>
  </si>
  <si>
    <t xml:space="preserve">Ulexite, in ground</t>
  </si>
  <si>
    <t xml:space="preserve">2ba5e39b-adb6-4767-a51d-90c1cf32fe98</t>
  </si>
  <si>
    <t xml:space="preserve">Uranium, in ground</t>
  </si>
  <si>
    <t xml:space="preserve">bea19217-6a28-4711-8142-2e71090c0b46</t>
  </si>
  <si>
    <t xml:space="preserve">Vermiculite, in ground</t>
  </si>
  <si>
    <t xml:space="preserve">f6df5030-8e06-4276-bfeb-219db8dab104</t>
  </si>
  <si>
    <t xml:space="preserve">Volume occupied, final repository for low-active radioactive waste</t>
  </si>
  <si>
    <t xml:space="preserve">adb4b590-7fb2-47b6-84e7-d4746a94c7b5</t>
  </si>
  <si>
    <t xml:space="preserve">Volume occupied, final repository for radioactive waste</t>
  </si>
  <si>
    <t xml:space="preserve">9a9d71c7-79f7-42d0-af47-282d22a7cf07</t>
  </si>
  <si>
    <t xml:space="preserve">Volume occupied, reservoir</t>
  </si>
  <si>
    <t xml:space="preserve">m3*year</t>
  </si>
  <si>
    <t xml:space="preserve">8bd1295e-4af1-4177-88a2-6f56ac8e4546</t>
  </si>
  <si>
    <t xml:space="preserve">Volume occupied, underground deposit</t>
  </si>
  <si>
    <t xml:space="preserve">fc1c42ce-a759-49fa-b987-f1ec5e503db1</t>
  </si>
  <si>
    <t xml:space="preserve">Water, cooling, unspecified natural origin</t>
  </si>
  <si>
    <t xml:space="preserve">31417daa-cd7a-4920-9c73-708b68d494ad</t>
  </si>
  <si>
    <t xml:space="preserve">Water, in air</t>
  </si>
  <si>
    <t xml:space="preserve">1acb026e-9de6-48fe-9e0d-be4d24125bbc</t>
  </si>
  <si>
    <t xml:space="preserve">Water, lake</t>
  </si>
  <si>
    <t xml:space="preserve">8c75e7ab-8ab8-41e4-b394-c166ff5b050d</t>
  </si>
  <si>
    <t xml:space="preserve">Water, river</t>
  </si>
  <si>
    <t xml:space="preserve">629ffbca-ca71-4e4b-a006-ca9bdd9cd1df</t>
  </si>
  <si>
    <t xml:space="preserve">Water, salt, ocean</t>
  </si>
  <si>
    <t xml:space="preserve">79238018-8ec1-4615-9469-2b0df95a43c3</t>
  </si>
  <si>
    <t xml:space="preserve">Water, salt, sole</t>
  </si>
  <si>
    <t xml:space="preserve">8c1494a5-4987-4715-aa2d-1908c495f4eb</t>
  </si>
  <si>
    <t xml:space="preserve">Water, turbine use, unspecified natural origin</t>
  </si>
  <si>
    <t xml:space="preserve">478e8437-1c21-4032-8438-872a6b5ddcdf</t>
  </si>
  <si>
    <t xml:space="preserve">Water, unspecified natural origin</t>
  </si>
  <si>
    <t xml:space="preserve">831f249e-53f2-49cf-a93c-7cee105f048e</t>
  </si>
  <si>
    <t xml:space="preserve">67c40aae-d403-464d-9649-c12695e43ad8</t>
  </si>
  <si>
    <t xml:space="preserve">Water, well, in ground</t>
  </si>
  <si>
    <t xml:space="preserve">bac875f4-75fb-4dde-841a-b07d3a41bcd1</t>
  </si>
  <si>
    <t xml:space="preserve">Wood, hard, standing</t>
  </si>
  <si>
    <t xml:space="preserve">28528881-7154-48d5-9cc3-5c13ddcdc47a</t>
  </si>
  <si>
    <t xml:space="preserve">Wood, primary forest, standing</t>
  </si>
  <si>
    <t xml:space="preserve">b073ec00-a5bf-4b64-bda0-ef366a3ac9bb</t>
  </si>
  <si>
    <t xml:space="preserve">Wood, soft, standing</t>
  </si>
  <si>
    <t xml:space="preserve">23e83c1f-07c9-4b5f-a898-0f4f09a6691f</t>
  </si>
  <si>
    <t xml:space="preserve">Wood, unspecified, standing</t>
  </si>
  <si>
    <t xml:space="preserve">c52e8414-f232-4c6a-bff2-5726189789ee</t>
  </si>
  <si>
    <t xml:space="preserve">Xenon, in air</t>
  </si>
  <si>
    <t xml:space="preserve">3faef344-9e52-47a3-a317-e17b824cc540</t>
  </si>
  <si>
    <t xml:space="preserve">Zinc, 9.0% in sulfide, Zn 5.3%, Pb, Ag, Cd, In, in ground</t>
  </si>
  <si>
    <t xml:space="preserve">f8f1ba14-9934-4678-8a78-e2cf1fce7775</t>
  </si>
  <si>
    <t xml:space="preserve">Zinc, Zn 0.63%, in mixed ore, in ground</t>
  </si>
  <si>
    <t xml:space="preserve">c3b2ba62-b158-47b1-8e1e-e76156e5292a</t>
  </si>
  <si>
    <t xml:space="preserve">Zinc, Zn 3.1%, in mixed ore, in ground</t>
  </si>
  <si>
    <t xml:space="preserve">be73218b-18af-492e-96e6-addd309d1e32</t>
  </si>
  <si>
    <t xml:space="preserve">Zinc, in ground</t>
  </si>
  <si>
    <t xml:space="preserve">e07b4402-abe3-4346-8c42-051c5983bd1e</t>
  </si>
  <si>
    <t xml:space="preserve">Zirconia, as baddeleyite, in ground</t>
  </si>
  <si>
    <t xml:space="preserve">fcee6eab-e906-4ddf-bc14-2b131b937893</t>
  </si>
  <si>
    <t xml:space="preserve">Zirconium, 50% in zircon, 0.39% in crude ore, in ground</t>
  </si>
  <si>
    <t xml:space="preserve">cd2932c5-a486-4bf1-99b8-815d8a7ce11a</t>
  </si>
  <si>
    <t xml:space="preserve">Zirconium, in ground</t>
  </si>
  <si>
    <t xml:space="preserve">0f1b21d0-2780-4742-87f2-28fb21a44db5</t>
  </si>
  <si>
    <t xml:space="preserve">strontium, in ground</t>
  </si>
  <si>
    <t xml:space="preserve">7fd9a2f3-c52a-4e75-936a-570f70e6f94e</t>
  </si>
  <si>
    <t xml:space="preserve">residual wood, dry</t>
  </si>
  <si>
    <t xml:space="preserve">social</t>
  </si>
  <si>
    <t xml:space="preserve">7db97fb7-ade7-4366-9ba4-cc8208419c23</t>
  </si>
  <si>
    <t xml:space="preserve">venting of argon, crude, liquid</t>
  </si>
  <si>
    <t xml:space="preserve">46021b12-1b66-4e5f-8dfb-204543a83dc6</t>
  </si>
  <si>
    <t xml:space="preserve">venting of nitrogen, liquid</t>
  </si>
  <si>
    <t xml:space="preserve">f681eb3c-854a-4f78-bcfe-76dfbcf9df3c</t>
  </si>
  <si>
    <t xml:space="preserve">soil</t>
  </si>
  <si>
    <t xml:space="preserve">agricultural</t>
  </si>
  <si>
    <t xml:space="preserve">0eba8639-12c1-40ce-b1b6-e3394ec94dc0</t>
  </si>
  <si>
    <t xml:space="preserve">6986913c-284b-4173-95fe-4a242498b1bc</t>
  </si>
  <si>
    <t xml:space="preserve">d051c442-f206-4d70-844d-7d44dbbc3d8e</t>
  </si>
  <si>
    <t xml:space="preserve">f9ba52c4-ffe0-53fc-9724-6c1daebcbc1c</t>
  </si>
  <si>
    <t xml:space="preserve">2-Amino-3-chloro-1,4-naphthoquinone</t>
  </si>
  <si>
    <t xml:space="preserve">5357f101-f2df-5f6e-b534-f1705b597773</t>
  </si>
  <si>
    <t xml:space="preserve">2-Phenylphenol</t>
  </si>
  <si>
    <t xml:space="preserve">3d071bc4-855b-52d7-baa8-2cacbf536777</t>
  </si>
  <si>
    <t xml:space="preserve">8-Quinolinol</t>
  </si>
  <si>
    <t xml:space="preserve">3166d308-cc57-4d31-b42e-63c7eada821f</t>
  </si>
  <si>
    <t xml:space="preserve">Abamectin</t>
  </si>
  <si>
    <t xml:space="preserve">cdcdbfc9-3d5f-4e78-8033-8dbecbb2cfec</t>
  </si>
  <si>
    <t xml:space="preserve">eb23cf3a-b866-458d-94b3-9aee4145fcc9</t>
  </si>
  <si>
    <t xml:space="preserve">910b7532-d541-45a5-a535-03f54997726e</t>
  </si>
  <si>
    <t xml:space="preserve">Acetamiprid</t>
  </si>
  <si>
    <t xml:space="preserve">92ee2fc1-238c-465d-9887-418af42db9c7</t>
  </si>
  <si>
    <t xml:space="preserve">Acetochlor</t>
  </si>
  <si>
    <t xml:space="preserve">5b834f01-a5dd-5d6c-94cb-2f5d262d3ccf</t>
  </si>
  <si>
    <t xml:space="preserve">Acibenzolar-S-methyl</t>
  </si>
  <si>
    <t xml:space="preserve">c89708f7-cb6c-4691-b8cc-cf2cb03b14a6</t>
  </si>
  <si>
    <t xml:space="preserve">dc64ecac-a65f-4d9a-9de6-557f1135659f</t>
  </si>
  <si>
    <t xml:space="preserve">Aclonifen</t>
  </si>
  <si>
    <t xml:space="preserve">90ba480e-f2f2-4ee8-8299-da906df00058</t>
  </si>
  <si>
    <t xml:space="preserve">Acrinathrin</t>
  </si>
  <si>
    <t xml:space="preserve">f809b5e9-ed1b-4117-8bc7-9acf883ec7f5</t>
  </si>
  <si>
    <t xml:space="preserve">9c9aaf0f-c200-5d24-8f5e-0406c6ff20d6</t>
  </si>
  <si>
    <t xml:space="preserve">Alanycarb</t>
  </si>
  <si>
    <t xml:space="preserve">fbe48c6a-321d-44ae-8883-b6fa4e0f4e77</t>
  </si>
  <si>
    <t xml:space="preserve">Aldicarb</t>
  </si>
  <si>
    <t xml:space="preserve">594fdc19-25cd-4c22-b3f3-58b1f2f42965</t>
  </si>
  <si>
    <t xml:space="preserve">Aldrin</t>
  </si>
  <si>
    <t xml:space="preserve">94ef8014-0cb7-510b-af99-c3bdb8a6486a</t>
  </si>
  <si>
    <t xml:space="preserve">Allethrin</t>
  </si>
  <si>
    <t xml:space="preserve">ce2ceed1-2503-4566-8175-f4456dbac42b</t>
  </si>
  <si>
    <t xml:space="preserve">Alpha-cypermethrin</t>
  </si>
  <si>
    <t xml:space="preserve">2baa4381-b781-4f5e-90de-508b0fa3fd1f</t>
  </si>
  <si>
    <t xml:space="preserve">39555a26-d28b-425f-993f-e8770ab7d9cf</t>
  </si>
  <si>
    <t xml:space="preserve">forestry</t>
  </si>
  <si>
    <t xml:space="preserve">765546a9-b056-4d27-ad14-2f016511bdcb</t>
  </si>
  <si>
    <t xml:space="preserve">industrial</t>
  </si>
  <si>
    <t xml:space="preserve">e0401210-0377-4670-84af-12247ca20bed</t>
  </si>
  <si>
    <t xml:space="preserve">e1327ebe-ac90-4d12-8787-09649213ce63</t>
  </si>
  <si>
    <t xml:space="preserve">Ametryn</t>
  </si>
  <si>
    <t xml:space="preserve">feb606a8-c259-4169-9652-6b38467739f7</t>
  </si>
  <si>
    <t xml:space="preserve">Amidosulfuron</t>
  </si>
  <si>
    <t xml:space="preserve">cc91124e-c4b4-4e39-95b1-1c27b35cbe66</t>
  </si>
  <si>
    <t xml:space="preserve">Amitraz</t>
  </si>
  <si>
    <t xml:space="preserve">dc941853-32f2-5a2b-87de-0cc7d6ce3a13</t>
  </si>
  <si>
    <t xml:space="preserve">Anilazine</t>
  </si>
  <si>
    <t xml:space="preserve">3fe03409-76e1-4228-8fd7-77c4c6a0d9f3</t>
  </si>
  <si>
    <t xml:space="preserve">Anthraquinone</t>
  </si>
  <si>
    <t xml:space="preserve">f4cf8d5c-f030-4b55-a3af-e3c20b855ee8</t>
  </si>
  <si>
    <t xml:space="preserve">183f9856-03ab-464d-9366-8ef62077b510</t>
  </si>
  <si>
    <t xml:space="preserve">2b2369a4-26bb-4b18-8479-752fdf7a5e7f</t>
  </si>
  <si>
    <t xml:space="preserve">c49fb4cd-eed0-4438-9052-9612473cdbae</t>
  </si>
  <si>
    <t xml:space="preserve">4673a799-36a5-4359-ac6a-fa933281bc93</t>
  </si>
  <si>
    <t xml:space="preserve">1e19d86e-968d-4428-984f-70bfd843a8f4</t>
  </si>
  <si>
    <t xml:space="preserve">ebc4c2a3-c004-4053-8048-f41fdd9324c8</t>
  </si>
  <si>
    <t xml:space="preserve">fc84887d-158e-4067-80dc-9743165bd70d</t>
  </si>
  <si>
    <t xml:space="preserve">042de84f-261d-4e29-bb7d-f43601cc2c7d</t>
  </si>
  <si>
    <t xml:space="preserve">Asulam</t>
  </si>
  <si>
    <t xml:space="preserve">efd3798a-ff6b-46ef-b408-0e74d80548cc</t>
  </si>
  <si>
    <t xml:space="preserve">0f74b213-664e-5da8-b700-bf2c01a9c57a</t>
  </si>
  <si>
    <t xml:space="preserve">Azaconazol</t>
  </si>
  <si>
    <t xml:space="preserve">49cf6a32-97db-5cf4-b1d6-47ea6fd1e4c8</t>
  </si>
  <si>
    <t xml:space="preserve">Azadirachtin</t>
  </si>
  <si>
    <t xml:space="preserve">c10f1360-e1dc-44fa-8c2d-00bdd8524724</t>
  </si>
  <si>
    <t xml:space="preserve">Azinphos-methyl</t>
  </si>
  <si>
    <t xml:space="preserve">3f3d97d7-6ecb-5b48-8bb1-2bada023950e</t>
  </si>
  <si>
    <t xml:space="preserve">Aziprotryne</t>
  </si>
  <si>
    <t xml:space="preserve">e69b028e-e549-4869-ae4a-b85ef8bcb7a9</t>
  </si>
  <si>
    <t xml:space="preserve">f8199e39-7354-44ad-92d8-6a2cc3bac24e</t>
  </si>
  <si>
    <t xml:space="preserve">c792edbf-a11f-459d-9d92-15ad0c2f0c3c</t>
  </si>
  <si>
    <t xml:space="preserve">5719929a-8c5b-48cc-a039-b11a9f380467</t>
  </si>
  <si>
    <t xml:space="preserve">99cd88f6-16b7-4b28-895c-2f42101f634b</t>
  </si>
  <si>
    <t xml:space="preserve">fb4c5bda-c9ea-5b77-b296-406722e35441</t>
  </si>
  <si>
    <t xml:space="preserve">Benalaxyl</t>
  </si>
  <si>
    <t xml:space="preserve">e4369d6b-1c65-455b-bce2-8b74636a3c80</t>
  </si>
  <si>
    <t xml:space="preserve">Benazolin</t>
  </si>
  <si>
    <t xml:space="preserve">3301e59e-2f7b-46bd-b185-32ef8caac4ea</t>
  </si>
  <si>
    <t xml:space="preserve">Benfluralin</t>
  </si>
  <si>
    <t xml:space="preserve">a25e7873-b0fd-46eb-81da-e49d84c2ac25</t>
  </si>
  <si>
    <t xml:space="preserve">Benomyl</t>
  </si>
  <si>
    <t xml:space="preserve">886726f4-d8bc-566b-96dd-c02ccdd235dd</t>
  </si>
  <si>
    <t xml:space="preserve">Benoxacor</t>
  </si>
  <si>
    <t xml:space="preserve">31b12a79-5555-4eb6-8cae-4b13b53ef8af</t>
  </si>
  <si>
    <t xml:space="preserve">Bensulfuron methyl ester</t>
  </si>
  <si>
    <t xml:space="preserve">a36b1dd0-2fd3-5365-8c8a-f689d540c83f</t>
  </si>
  <si>
    <t xml:space="preserve">Bensultap</t>
  </si>
  <si>
    <t xml:space="preserve">237ea455-6c82-4254-af86-9409df922094</t>
  </si>
  <si>
    <t xml:space="preserve">40018f22-3bae-5e4e-a987-41b1a85ee1eb</t>
  </si>
  <si>
    <t xml:space="preserve">Benthiavalicarb</t>
  </si>
  <si>
    <t xml:space="preserve">e49a8d07-023a-543e-aa22-424643e01a24</t>
  </si>
  <si>
    <t xml:space="preserve">Benthiavalicarb-isopropyl</t>
  </si>
  <si>
    <t xml:space="preserve">0ae80e4e-2e46-5292-a0d7-7526bebc603b</t>
  </si>
  <si>
    <t xml:space="preserve">Benzoic acid</t>
  </si>
  <si>
    <t xml:space="preserve">3b2e0d21-710b-5ce9-aeaa-07466f781ee8</t>
  </si>
  <si>
    <t xml:space="preserve">Benzoximate</t>
  </si>
  <si>
    <t xml:space="preserve">98b2ed3c-a7e3-5e67-93e4-44c1a77c587c</t>
  </si>
  <si>
    <t xml:space="preserve">Benzthiazuron</t>
  </si>
  <si>
    <t xml:space="preserve">162b7095-c497-4b3c-a290-01ebe4bc9a08</t>
  </si>
  <si>
    <t xml:space="preserve">85c40d9a-cbf0-44f0-a9a2-5b1edee4055a</t>
  </si>
  <si>
    <t xml:space="preserve">b0758e8e-691c-4c96-8a90-4784c47cd962</t>
  </si>
  <si>
    <t xml:space="preserve">dbf49708-ee0c-44f2-8662-5edd89ad472b</t>
  </si>
  <si>
    <t xml:space="preserve">6098e65f-3e52-5672-89b4-519dd8987d19</t>
  </si>
  <si>
    <t xml:space="preserve">Beta-cypermethrin</t>
  </si>
  <si>
    <t xml:space="preserve">db0bac33-49e5-4888-89bd-15f4bfe11e51</t>
  </si>
  <si>
    <t xml:space="preserve">Bifenox</t>
  </si>
  <si>
    <t xml:space="preserve">f2efe6b2-21ae-4ed0-aacf-2a6d41d8e801</t>
  </si>
  <si>
    <t xml:space="preserve">Bifenthrin</t>
  </si>
  <si>
    <t xml:space="preserve">a74f6771-955e-4343-b796-4775067d51f5</t>
  </si>
  <si>
    <t xml:space="preserve">Bitertanol</t>
  </si>
  <si>
    <t xml:space="preserve">62399986-3e4f-4522-b389-75eed416d838</t>
  </si>
  <si>
    <t xml:space="preserve">4fb0979b-8311-4615-9e98-393d25a9c0bc</t>
  </si>
  <si>
    <t xml:space="preserve">58a3086e-3ded-4751-a313-05608f725081</t>
  </si>
  <si>
    <t xml:space="preserve">e3b7b5aa-514e-430e-9544-07d8f5b8d494</t>
  </si>
  <si>
    <t xml:space="preserve">ff32cb2a-4d63-435e-8787-58436bd36a83</t>
  </si>
  <si>
    <t xml:space="preserve">Boscalid</t>
  </si>
  <si>
    <t xml:space="preserve">f7ffe5fc-0bb1-4b41-87de-ed914fa637f1</t>
  </si>
  <si>
    <t xml:space="preserve">Bromacil</t>
  </si>
  <si>
    <t xml:space="preserve">b5f8f24f-3f51-4bc6-a7b3-b5e0885e50b8</t>
  </si>
  <si>
    <t xml:space="preserve">6f14445c-eaa5-4fee-b006-e10cef4f82d2</t>
  </si>
  <si>
    <t xml:space="preserve">2113ec49-2b48-4808-8e40-837769be8337</t>
  </si>
  <si>
    <t xml:space="preserve">45afb543-bc53-471e-8fc9-6ed3a5775071</t>
  </si>
  <si>
    <t xml:space="preserve">0a366c38-2c07-56e8-b03f-e97f0080daa1</t>
  </si>
  <si>
    <t xml:space="preserve">Bromofenoxim</t>
  </si>
  <si>
    <t xml:space="preserve">8e51c792-b402-5f20-9957-6d80823d4fcc</t>
  </si>
  <si>
    <t xml:space="preserve">Bromopropylate</t>
  </si>
  <si>
    <t xml:space="preserve">e24da787-41ae-4aa3-b13b-36862b5fd10e</t>
  </si>
  <si>
    <t xml:space="preserve">34eb8944-7396-59d5-9e4c-099670a033d9</t>
  </si>
  <si>
    <t xml:space="preserve">Bromoxynil octanoate</t>
  </si>
  <si>
    <t xml:space="preserve">5c049e3f-9246-47d0-ad60-7caaad814b2e</t>
  </si>
  <si>
    <t xml:space="preserve">Bromuconazole</t>
  </si>
  <si>
    <t xml:space="preserve">b1e47fb9-ec5a-58df-918a-83909d93e6e8</t>
  </si>
  <si>
    <t xml:space="preserve">Bupirimate</t>
  </si>
  <si>
    <t xml:space="preserve">63e44a83-eb3d-44b6-9e2f-41b1b088d93d</t>
  </si>
  <si>
    <t xml:space="preserve">Buprofezin</t>
  </si>
  <si>
    <t xml:space="preserve">35285162-c785-5a69-b741-277f41316ae0</t>
  </si>
  <si>
    <t xml:space="preserve">Butafenacil</t>
  </si>
  <si>
    <t xml:space="preserve">c59e3d9e-2e04-56a6-b75a-4066563accb9</t>
  </si>
  <si>
    <t xml:space="preserve">Butoxycarboxim</t>
  </si>
  <si>
    <t xml:space="preserve">4fe97589-e19a-58f3-8356-c4e55b4703cb</t>
  </si>
  <si>
    <t xml:space="preserve">Butralin</t>
  </si>
  <si>
    <t xml:space="preserve">e429b852-e421-4fcb-8a9b-b0241863bfb2</t>
  </si>
  <si>
    <t xml:space="preserve">b03642f4-8fa3-44df-ba91-7bcf5677d9a7</t>
  </si>
  <si>
    <t xml:space="preserve">89721e33-60fa-4447-bfc6-2f27d44a7893</t>
  </si>
  <si>
    <t xml:space="preserve">12d6029e-3801-42ee-a1bc-1ebf936884fc</t>
  </si>
  <si>
    <t xml:space="preserve">f16fa1da-e426-4820-bf9d-71595c22283b</t>
  </si>
  <si>
    <t xml:space="preserve">2cc93e0a-c655-4628-bea6-243d8240b5a4</t>
  </si>
  <si>
    <t xml:space="preserve">57117e3c-15aa-4b4d-b953-6d33986aa5aa</t>
  </si>
  <si>
    <t xml:space="preserve">e681e6ba-2d66-4f17-8812-e8c74bdcf7e8</t>
  </si>
  <si>
    <t xml:space="preserve">cc69ce7f-ffa0-51b2-8e95-ce0619a1054b</t>
  </si>
  <si>
    <t xml:space="preserve">Calcium cyanamide</t>
  </si>
  <si>
    <t xml:space="preserve">718a3fe1-6ad8-42b6-8869-db317e79c03d</t>
  </si>
  <si>
    <t xml:space="preserve">Captan</t>
  </si>
  <si>
    <t xml:space="preserve">cd08eddd-d946-40cf-b0b5-87f6dbd7eb21</t>
  </si>
  <si>
    <t xml:space="preserve">bc0a4d1f-3ada-4dd8-8ab4-97dc45db3295</t>
  </si>
  <si>
    <t xml:space="preserve">Carbendazim</t>
  </si>
  <si>
    <t xml:space="preserve">21f84442-7dc8-492a-8253-867dd1caf8d6</t>
  </si>
  <si>
    <t xml:space="preserve">Carbetamide</t>
  </si>
  <si>
    <t xml:space="preserve">3c054a6e-2f9c-4e5e-9231-c61bc85a250a</t>
  </si>
  <si>
    <t xml:space="preserve">Carbofuran</t>
  </si>
  <si>
    <t xml:space="preserve">62859da4-f3c5-417b-a575-8b00d8d658b1</t>
  </si>
  <si>
    <t xml:space="preserve">b72e46aa-9034-4dd2-856d-a43241d3b1f4</t>
  </si>
  <si>
    <t xml:space="preserve">7f8fd1ca-0412-4b2e-90fd-a9d294d947a3</t>
  </si>
  <si>
    <t xml:space="preserve">14ea575b-5caa-4958-acf7-0bcc47f9cadf</t>
  </si>
  <si>
    <t xml:space="preserve">259cf8d6-6ea8-4ccf-84b7-23c930a5b2b3</t>
  </si>
  <si>
    <t xml:space="preserve">Carbon dioxide, to soil or biomass stock</t>
  </si>
  <si>
    <t xml:space="preserve">8ae4d8bb-3e4b-4825-8325-94696d7a64fd</t>
  </si>
  <si>
    <t xml:space="preserve">60d424f7-d5a9-4549-9540-da06684bc3bb</t>
  </si>
  <si>
    <t xml:space="preserve">375bc95e-6596-4aa1-9716-80ff51b9da77</t>
  </si>
  <si>
    <t xml:space="preserve">e66d495d-aaf6-5709-9777-0da8ee74ca77</t>
  </si>
  <si>
    <t xml:space="preserve">Carbosulfan</t>
  </si>
  <si>
    <t xml:space="preserve">1e7ae105-f032-4d62-b169-788cd6b9b384</t>
  </si>
  <si>
    <t xml:space="preserve">Carboxin</t>
  </si>
  <si>
    <t xml:space="preserve">d07867e3-66a8-4454-babd-78dc7f9a21f8</t>
  </si>
  <si>
    <t xml:space="preserve">Carfentrazone ethyl ester</t>
  </si>
  <si>
    <t xml:space="preserve">91d68678-7ed7-417a-86a7-a486c7b8a973</t>
  </si>
  <si>
    <t xml:space="preserve">4cf834bb-0a24-5503-b163-12688b35af1e</t>
  </si>
  <si>
    <t xml:space="preserve">Chlorbromuron</t>
  </si>
  <si>
    <t xml:space="preserve">d5694174-f34c-5f47-a385-564ac1712c69</t>
  </si>
  <si>
    <t xml:space="preserve">Chlorbufam</t>
  </si>
  <si>
    <t xml:space="preserve">99fd89e9-829f-4998-9ac0-85da6442fd02</t>
  </si>
  <si>
    <t xml:space="preserve">Chlorfenvinphos</t>
  </si>
  <si>
    <t xml:space="preserve">2e3da68d-e404-4377-bce9-b35244980811</t>
  </si>
  <si>
    <t xml:space="preserve">Chloridazon</t>
  </si>
  <si>
    <t xml:space="preserve">6ab08314-53e1-4c4b-963f-3c6e6970273d</t>
  </si>
  <si>
    <t xml:space="preserve">Chloride</t>
  </si>
  <si>
    <t xml:space="preserve">66f99038-3c27-45fa-9152-378833cdfb4a</t>
  </si>
  <si>
    <t xml:space="preserve">b1991748-2151-4b51-8cdb-a8b4203677dc</t>
  </si>
  <si>
    <t xml:space="preserve">6c97741f-8760-4a39-9e90-b534ca137a36</t>
  </si>
  <si>
    <t xml:space="preserve">af99a064-3ca7-43cd-9c72-cf20d245b0a8</t>
  </si>
  <si>
    <t xml:space="preserve">42ac7dee-8152-4874-a742-c1c432792a3a</t>
  </si>
  <si>
    <t xml:space="preserve">f0fb5b72-294e-4d86-b433-883e5f6e97fd</t>
  </si>
  <si>
    <t xml:space="preserve">Chlormequat</t>
  </si>
  <si>
    <t xml:space="preserve">b81c5c51-5ec9-4b6b-b8c0-6b4d385b1439</t>
  </si>
  <si>
    <t xml:space="preserve">Chlormequat chloride</t>
  </si>
  <si>
    <t xml:space="preserve">fd9e2be1-a651-4c40-b0bb-e7daa4f56ad4</t>
  </si>
  <si>
    <t xml:space="preserve">Chloropicrin</t>
  </si>
  <si>
    <t xml:space="preserve">06b8a67f-5044-4060-be71-04e1dfc31e24</t>
  </si>
  <si>
    <t xml:space="preserve">Chlorothalonil</t>
  </si>
  <si>
    <t xml:space="preserve">e8bc4c9e-c34f-4983-aea0-2433f3397a3a</t>
  </si>
  <si>
    <t xml:space="preserve">Chlorotoluron</t>
  </si>
  <si>
    <t xml:space="preserve">736923cd-6eb7-4896-98f8-46951d56da97</t>
  </si>
  <si>
    <t xml:space="preserve">2b3cf153-0dd6-4b79-b0d4-b4df832f3a7e</t>
  </si>
  <si>
    <t xml:space="preserve">Chlorpyrifos methyl</t>
  </si>
  <si>
    <t xml:space="preserve">4dbacf72-5a37-407e-9f02-1e618e58075a</t>
  </si>
  <si>
    <t xml:space="preserve">Chlorsulfuron</t>
  </si>
  <si>
    <t xml:space="preserve">c5a71ba0-3eee-5b52-a75b-829c650a05d4</t>
  </si>
  <si>
    <t xml:space="preserve">Chlorthal</t>
  </si>
  <si>
    <t xml:space="preserve">262ae9a3-596c-50cc-8cb4-29663f758d7f</t>
  </si>
  <si>
    <t xml:space="preserve">Chlozolinate</t>
  </si>
  <si>
    <t xml:space="preserve">69b50a29-addb-455f-823d-ed2ed68e8bb5</t>
  </si>
  <si>
    <t xml:space="preserve">Choline chloride</t>
  </si>
  <si>
    <t xml:space="preserve">e7881581-21b3-4f5c-bd63-6b0684b5e712</t>
  </si>
  <si>
    <t xml:space="preserve">591de726-f2c7-43ba-8e22-15fd08acc8dc</t>
  </si>
  <si>
    <t xml:space="preserve">e65a9c58-21f1-48b6-b738-d05a8f10e5f3</t>
  </si>
  <si>
    <t xml:space="preserve">e0336c9b-a0ff-4ae3-b8bb-ca1e46bbbc11</t>
  </si>
  <si>
    <t xml:space="preserve">8ec83662-7c2b-4452-8acf-95a0bb94233c</t>
  </si>
  <si>
    <t xml:space="preserve">01285299-c683-4e15-b654-201987a7a738</t>
  </si>
  <si>
    <t xml:space="preserve">58060894-19d9-4855-84d8-58935a5325f8</t>
  </si>
  <si>
    <t xml:space="preserve">68ba2022-830e-45fb-8c85-b35e94754ae9</t>
  </si>
  <si>
    <t xml:space="preserve">c0f2ec91-162c-4706-b08c-9aa212fbe176</t>
  </si>
  <si>
    <t xml:space="preserve">Cinidon-ethyl</t>
  </si>
  <si>
    <t xml:space="preserve">873d28d3-e53b-46a6-aaa0-63b923f0a56c</t>
  </si>
  <si>
    <t xml:space="preserve">29fba89c-b900-4160-a5f1-129916933bca</t>
  </si>
  <si>
    <t xml:space="preserve">Clodinafop-propargyl</t>
  </si>
  <si>
    <t xml:space="preserve">e5d2097d-8edd-52d6-80fd-b449548e416f</t>
  </si>
  <si>
    <t xml:space="preserve">Clofentezine</t>
  </si>
  <si>
    <t xml:space="preserve">7120eec5-cf9a-4c69-83f2-f1a58813754c</t>
  </si>
  <si>
    <t xml:space="preserve">Clomazone</t>
  </si>
  <si>
    <t xml:space="preserve">a40f1ce3-e72f-48fa-8bba-174a1d4bf922</t>
  </si>
  <si>
    <t xml:space="preserve">Clopyralid</t>
  </si>
  <si>
    <t xml:space="preserve">50eebfd4-1b99-45d6-a149-68a6d4568cb4</t>
  </si>
  <si>
    <t xml:space="preserve">Cloquintocet-mexyl</t>
  </si>
  <si>
    <t xml:space="preserve">d0431945-ea71-4257-9be6-78a849cd5440</t>
  </si>
  <si>
    <t xml:space="preserve">1541559e-1e25-5d7b-9d0b-dc45386e7c1c</t>
  </si>
  <si>
    <t xml:space="preserve">Clothianidin</t>
  </si>
  <si>
    <t xml:space="preserve">9542444c-7c7a-48e2-bc9c-9c7c34fb7b3e</t>
  </si>
  <si>
    <t xml:space="preserve">c58d25ad-30d2-4fac-a857-1fa6f67afe8a</t>
  </si>
  <si>
    <t xml:space="preserve">381a22c9-3722-4378-810d-86958f7b6d32</t>
  </si>
  <si>
    <t xml:space="preserve">12051b95-831a-49c0-9a70-fbc0e8fb9af9</t>
  </si>
  <si>
    <t xml:space="preserve">7e66a41c-d311-4949-bdd8-eef09cdcfa47</t>
  </si>
  <si>
    <t xml:space="preserve">237ca6bc-2f0a-4416-a0e3-bd512f038f2e</t>
  </si>
  <si>
    <t xml:space="preserve">0a5e8a67-f9ae-48b3-bfa7-e9d37c30a191</t>
  </si>
  <si>
    <t xml:space="preserve">44d3e792-7c9e-48ab-9de9-acfa2e097f26</t>
  </si>
  <si>
    <t xml:space="preserve">10e3b4c5-7c8f-58eb-9606-9a1a0a96598a</t>
  </si>
  <si>
    <t xml:space="preserve">Cyanamide</t>
  </si>
  <si>
    <t xml:space="preserve">05bfed24-3408-42a2-9208-daec1538905d</t>
  </si>
  <si>
    <t xml:space="preserve">Cyanazine</t>
  </si>
  <si>
    <t xml:space="preserve">958f4c12-7cfb-5662-afda-75ac755de94e</t>
  </si>
  <si>
    <t xml:space="preserve">Cyazofamid</t>
  </si>
  <si>
    <t xml:space="preserve">37e9c994-3d69-4fb8-a935-ba30e6d64ae3</t>
  </si>
  <si>
    <t xml:space="preserve">Cyclanilide</t>
  </si>
  <si>
    <t xml:space="preserve">111c5f0c-3dda-4b7c-a5e2-aaada6ab6f79</t>
  </si>
  <si>
    <t xml:space="preserve">Cycloxydim</t>
  </si>
  <si>
    <t xml:space="preserve">a81c4e28-346e-54bb-8519-049315b30e1b</t>
  </si>
  <si>
    <t xml:space="preserve">Cycluron</t>
  </si>
  <si>
    <t xml:space="preserve">dd786e61-d387-4dc4-8314-2a5f958e7168</t>
  </si>
  <si>
    <t xml:space="preserve">63c262e9-5fd4-4160-98aa-cb0b3d0dc2d7</t>
  </si>
  <si>
    <t xml:space="preserve">Cyhalothrin</t>
  </si>
  <si>
    <t xml:space="preserve">0ec92f76-932f-4407-bd4f-eb9aa426e099</t>
  </si>
  <si>
    <t xml:space="preserve">3be7b00e-61f9-5b00-8ca4-4e497692bda1</t>
  </si>
  <si>
    <t xml:space="preserve">Cyhexatin</t>
  </si>
  <si>
    <t xml:space="preserve">7427c8ff-5f18-4e0e-9633-64c088b69fd8</t>
  </si>
  <si>
    <t xml:space="preserve">Cymoxanil</t>
  </si>
  <si>
    <t xml:space="preserve">e7f1df40-788a-4403-81ea-e5e9e84e32d7</t>
  </si>
  <si>
    <t xml:space="preserve">c9727abf-58b7-4f90-a670-86f7101e741d</t>
  </si>
  <si>
    <t xml:space="preserve">Cyproconazole</t>
  </si>
  <si>
    <t xml:space="preserve">b45f25fe-a5bb-42ac-9859-304bf6ccfd83</t>
  </si>
  <si>
    <t xml:space="preserve">Cyprodinil</t>
  </si>
  <si>
    <t xml:space="preserve">ea8f1d25-23f6-547a-a86b-562b696ab9b0</t>
  </si>
  <si>
    <t xml:space="preserve">Cyromazine</t>
  </si>
  <si>
    <t xml:space="preserve">f48cca2b-fa69-4457-a5eb-5d848432afb8</t>
  </si>
  <si>
    <t xml:space="preserve">DNOC</t>
  </si>
  <si>
    <t xml:space="preserve">9d32dff3-1e0e-44e1-8dab-2534399d5353</t>
  </si>
  <si>
    <t xml:space="preserve">DSMA</t>
  </si>
  <si>
    <t xml:space="preserve">954dae72-064c-5db0-9c25-a98bfbfc727f</t>
  </si>
  <si>
    <t xml:space="preserve">Daminozide</t>
  </si>
  <si>
    <t xml:space="preserve">b383d294-1771-5b63-b912-8de9e9e7f1d6</t>
  </si>
  <si>
    <t xml:space="preserve">Dazomet</t>
  </si>
  <si>
    <t xml:space="preserve">282973e4-3c2d-4a9c-a3f2-d39a5b36aa76</t>
  </si>
  <si>
    <t xml:space="preserve">Deltamethrin</t>
  </si>
  <si>
    <t xml:space="preserve">dae66465-5c82-5b83-b400-2ec6e25b078a</t>
  </si>
  <si>
    <t xml:space="preserve">Demeton-S-methylsulfon</t>
  </si>
  <si>
    <t xml:space="preserve">6b9bd023-b581-4dfe-8eca-069a4d646dfb</t>
  </si>
  <si>
    <t xml:space="preserve">Desmedipham</t>
  </si>
  <si>
    <t xml:space="preserve">a73ffbcf-6f62-5acd-b7b8-b91a45120152</t>
  </si>
  <si>
    <t xml:space="preserve">Diafenthiuron</t>
  </si>
  <si>
    <t xml:space="preserve">6d152ed1-32a4-5165-a477-c4ae1341681b</t>
  </si>
  <si>
    <t xml:space="preserve">Dialifor</t>
  </si>
  <si>
    <t xml:space="preserve">c4302ab1-eb6d-458b-86ad-f7d7d4df411e</t>
  </si>
  <si>
    <t xml:space="preserve">Diazinon</t>
  </si>
  <si>
    <t xml:space="preserve">44b7826f-6f4c-44f3-81eb-ad3426073fae</t>
  </si>
  <si>
    <t xml:space="preserve">bf6156c6-3abd-4875-86d2-b64f557c9e5d</t>
  </si>
  <si>
    <t xml:space="preserve">Dichlobenil</t>
  </si>
  <si>
    <t xml:space="preserve">50415507-6e24-538f-9ee2-f1c4eb1e45a6</t>
  </si>
  <si>
    <t xml:space="preserve">Dichlofluanid</t>
  </si>
  <si>
    <t xml:space="preserve">b5382d42-b1ee-4992-ba8d-a362b33d0401</t>
  </si>
  <si>
    <t xml:space="preserve">02dd7309-b7c2-47bb-82c8-09345be9c2bb</t>
  </si>
  <si>
    <t xml:space="preserve">Dichlorprop-P</t>
  </si>
  <si>
    <t xml:space="preserve">6322e750-aed5-589b-a3ae-667600cee0c4</t>
  </si>
  <si>
    <t xml:space="preserve">Dichlorvos</t>
  </si>
  <si>
    <t xml:space="preserve">009f3374-e604-4e24-88f5-d785cd93aac7</t>
  </si>
  <si>
    <t xml:space="preserve">Diclofop</t>
  </si>
  <si>
    <t xml:space="preserve">0f02d06c-c44d-4681-a677-eff6aa3cd7e0</t>
  </si>
  <si>
    <t xml:space="preserve">Diclofop-methyl</t>
  </si>
  <si>
    <t xml:space="preserve">8939217c-4acd-48c2-8a19-7b3afb7e5d3b</t>
  </si>
  <si>
    <t xml:space="preserve">Dicofol</t>
  </si>
  <si>
    <t xml:space="preserve">98287294-2ab7-4781-bb9e-5d045cdce2a2</t>
  </si>
  <si>
    <t xml:space="preserve">Dicrotophos</t>
  </si>
  <si>
    <t xml:space="preserve">922b0101-eec3-5d41-b2d2-b2eebea5ab50</t>
  </si>
  <si>
    <t xml:space="preserve">Dienochlor</t>
  </si>
  <si>
    <t xml:space="preserve">bd6facb4-c818-5e08-9260-a077eb711497</t>
  </si>
  <si>
    <t xml:space="preserve">Diethofencarb</t>
  </si>
  <si>
    <t xml:space="preserve">5458bee1-0c04-445c-b617-a7315d6a2b9f</t>
  </si>
  <si>
    <t xml:space="preserve">Difenoconazole</t>
  </si>
  <si>
    <t xml:space="preserve">b918120c-5dd9-4a28-86ee-9b05a42bdd01</t>
  </si>
  <si>
    <t xml:space="preserve">016da38a-40a6-483c-b328-9782dc46e802</t>
  </si>
  <si>
    <t xml:space="preserve">Diflufenican</t>
  </si>
  <si>
    <t xml:space="preserve">cc667a3d-e88b-42f7-b265-461b7d66837f</t>
  </si>
  <si>
    <t xml:space="preserve">Diflufenzopyr-sodium</t>
  </si>
  <si>
    <t xml:space="preserve">d0193bc5-365b-4a30-b30e-34ede49d069a</t>
  </si>
  <si>
    <t xml:space="preserve">Dimefuron</t>
  </si>
  <si>
    <t xml:space="preserve">b3b430f2-1a9e-4db3-8379-85097a24de1f</t>
  </si>
  <si>
    <t xml:space="preserve">Dimethachlor</t>
  </si>
  <si>
    <t xml:space="preserve">71525276-3417-4d4b-9af8-0baa265de4a2</t>
  </si>
  <si>
    <t xml:space="preserve">349ae04f-3802-53d3-840e-a98334b3e3ba</t>
  </si>
  <si>
    <t xml:space="preserve">Dimethenamid-P</t>
  </si>
  <si>
    <t xml:space="preserve">08fd6c23-2f15-440a-a366-ebcc2b6b4f3d</t>
  </si>
  <si>
    <t xml:space="preserve">Dimethipin</t>
  </si>
  <si>
    <t xml:space="preserve">28f19625-5e6a-4902-8c18-4b519db19d86</t>
  </si>
  <si>
    <t xml:space="preserve">Dimethoate</t>
  </si>
  <si>
    <t xml:space="preserve">23f4021a-5b2d-4e16-ba87-76e871b32392</t>
  </si>
  <si>
    <t xml:space="preserve">Dimethomorph</t>
  </si>
  <si>
    <t xml:space="preserve">bb1cedf9-5abb-5c7b-afe0-04df6165f9a0</t>
  </si>
  <si>
    <t xml:space="preserve">Dinocap</t>
  </si>
  <si>
    <t xml:space="preserve">1eb38c24-2814-4c8e-bfdc-13467bab783c</t>
  </si>
  <si>
    <t xml:space="preserve">Dinoseb</t>
  </si>
  <si>
    <t xml:space="preserve">eadd3ab8-f53b-5106-9a54-fdd09b0dd2dd</t>
  </si>
  <si>
    <t xml:space="preserve">Diofenolan</t>
  </si>
  <si>
    <t xml:space="preserve">a7f661f4-da39-4571-a48b-a8d61314ce1b</t>
  </si>
  <si>
    <t xml:space="preserve">6b479ea3-eb47-4860-8778-b0ed9bc672fa</t>
  </si>
  <si>
    <t xml:space="preserve">7533d11b-e96e-4a99-80f2-91400a62d650</t>
  </si>
  <si>
    <t xml:space="preserve">24752b90-cc53-4198-a442-14196853148d</t>
  </si>
  <si>
    <t xml:space="preserve">063a0cee-aa71-4ea6-85ca-045c74ca1a66</t>
  </si>
  <si>
    <t xml:space="preserve">Diquat</t>
  </si>
  <si>
    <t xml:space="preserve">0e0554ad-f6aa-472e-88e0-489f19bec2bb</t>
  </si>
  <si>
    <t xml:space="preserve">Diquat dibromide</t>
  </si>
  <si>
    <t xml:space="preserve">9c649513-6b8d-4c6d-bb74-927cc1c8fc8d</t>
  </si>
  <si>
    <t xml:space="preserve">Disulfoton</t>
  </si>
  <si>
    <t xml:space="preserve">31913320-21f3-4cc2-b09a-a15ac9b65f5e</t>
  </si>
  <si>
    <t xml:space="preserve">Dithianon</t>
  </si>
  <si>
    <t xml:space="preserve">934c5e25-5370-421c-b079-07d01c49dedb</t>
  </si>
  <si>
    <t xml:space="preserve">Diuron</t>
  </si>
  <si>
    <t xml:space="preserve">b488c953-3543-565b-8b09-01cca445813a</t>
  </si>
  <si>
    <t xml:space="preserve">Dodemorph</t>
  </si>
  <si>
    <t xml:space="preserve">03f3255b-efb7-5a1e-8288-0a5e7bfbe791</t>
  </si>
  <si>
    <t xml:space="preserve">Dodine</t>
  </si>
  <si>
    <t xml:space="preserve">fd950a9b-db9f-41c9-a8b0-d61f152f6ef2</t>
  </si>
  <si>
    <t xml:space="preserve">EPTC</t>
  </si>
  <si>
    <t xml:space="preserve">bc86067c-20e8-46e7-8419-de1eee73ccdd</t>
  </si>
  <si>
    <t xml:space="preserve">69da88e0-7fb1-4223-bb2d-b6e86e2af891</t>
  </si>
  <si>
    <t xml:space="preserve">Endosulfan</t>
  </si>
  <si>
    <t xml:space="preserve">97afe0e8-be32-431e-94ea-a1fa5d156c76</t>
  </si>
  <si>
    <t xml:space="preserve">Endothall</t>
  </si>
  <si>
    <t xml:space="preserve">1afedfb8-dfbd-4722-a5fc-f678c593d907</t>
  </si>
  <si>
    <t xml:space="preserve">Epoxiconazole</t>
  </si>
  <si>
    <t xml:space="preserve">59177170-590b-4d94-833a-e23d899f422e</t>
  </si>
  <si>
    <t xml:space="preserve">b028ffea-ecff-4f0e-a2b0-a84eb647cdae</t>
  </si>
  <si>
    <t xml:space="preserve">Ethalfluralin</t>
  </si>
  <si>
    <t xml:space="preserve">0ba582f8-3360-441a-a93c-ea15e87f7b0c</t>
  </si>
  <si>
    <t xml:space="preserve">45378c0a-fc57-56ac-a0f2-4263250874ba</t>
  </si>
  <si>
    <t xml:space="preserve">Ethiofencarb</t>
  </si>
  <si>
    <t xml:space="preserve">a2f886e3-8db8-4bce-bedf-b2004b4cc558</t>
  </si>
  <si>
    <t xml:space="preserve">Ethofumesate</t>
  </si>
  <si>
    <t xml:space="preserve">21b5487b-4086-490b-9f98-1f5503feee7c</t>
  </si>
  <si>
    <t xml:space="preserve">Ethoprop</t>
  </si>
  <si>
    <t xml:space="preserve">c206c730-0860-54af-9a6e-484c653647fd</t>
  </si>
  <si>
    <t xml:space="preserve">Etoxazole</t>
  </si>
  <si>
    <t xml:space="preserve">0d8a4e41-a58c-49f9-82dc-9d57b3d0602c</t>
  </si>
  <si>
    <t xml:space="preserve">Etridiazole</t>
  </si>
  <si>
    <t xml:space="preserve">b2cf7804-89b9-5028-8c6e-d26363eda17a</t>
  </si>
  <si>
    <t xml:space="preserve">Famoxadone</t>
  </si>
  <si>
    <t xml:space="preserve">8cc320a2-800f-5512-82c3-53ab5ef1030f</t>
  </si>
  <si>
    <t xml:space="preserve">Fenamidone</t>
  </si>
  <si>
    <t xml:space="preserve">e91313f6-129e-4bdb-8217-61756ce5b37b</t>
  </si>
  <si>
    <t xml:space="preserve">Fenamiphos</t>
  </si>
  <si>
    <t xml:space="preserve">920caf13-5e85-5d24-b3f0-91ce30502344</t>
  </si>
  <si>
    <t xml:space="preserve">Fenazaquin</t>
  </si>
  <si>
    <t xml:space="preserve">27b0b1f4-8cd4-4277-bfdd-1cab2f9c5e1c</t>
  </si>
  <si>
    <t xml:space="preserve">Fenbuconazole</t>
  </si>
  <si>
    <t xml:space="preserve">4ddf1403-314c-51c2-bc3e-f84dbe39c9c3</t>
  </si>
  <si>
    <t xml:space="preserve">Fenbutatin oxide</t>
  </si>
  <si>
    <t xml:space="preserve">856718a4-b0d0-50d1-8f3a-f40743a12151</t>
  </si>
  <si>
    <t xml:space="preserve">Fenfuram</t>
  </si>
  <si>
    <t xml:space="preserve">e2cb70af-1995-5ac4-870f-c3c1cbfb820f</t>
  </si>
  <si>
    <t xml:space="preserve">Fenhexamid</t>
  </si>
  <si>
    <t xml:space="preserve">d75bdfae-385c-5082-aa89-e0ebdb26e33c</t>
  </si>
  <si>
    <t xml:space="preserve">Fenitrothion</t>
  </si>
  <si>
    <t xml:space="preserve">5229d225-38a2-4ec9-a7ed-4fd906a57c76</t>
  </si>
  <si>
    <t xml:space="preserve">b700cb75-eeff-444c-aabc-ea4dbd7a630e</t>
  </si>
  <si>
    <t xml:space="preserve">Fenoxaprop ethyl ester</t>
  </si>
  <si>
    <t xml:space="preserve">b6e37022-cef7-4b2a-9e1e-f6ae4a0503e7</t>
  </si>
  <si>
    <t xml:space="preserve">Fenoxaprop-P ethyl ester</t>
  </si>
  <si>
    <t xml:space="preserve">d18c4258-de90-4c4b-8a63-7c92335716ae</t>
  </si>
  <si>
    <t xml:space="preserve">Fenoxycarb</t>
  </si>
  <si>
    <t xml:space="preserve">d317b7de-adc0-478c-8c7f-9d6d0f476e97</t>
  </si>
  <si>
    <t xml:space="preserve">Fenpiclonil</t>
  </si>
  <si>
    <t xml:space="preserve">88575e69-d9c0-40be-ba7d-39073b7e621e</t>
  </si>
  <si>
    <t xml:space="preserve">Fenpropathrin</t>
  </si>
  <si>
    <t xml:space="preserve">823b5396-5fc6-427e-8a03-aeeff965e986</t>
  </si>
  <si>
    <t xml:space="preserve">Fenpropidin</t>
  </si>
  <si>
    <t xml:space="preserve">c8896e68-6c78-43be-a31b-bc5d2307f40a</t>
  </si>
  <si>
    <t xml:space="preserve">Fenpropimorph</t>
  </si>
  <si>
    <t xml:space="preserve">8b85dbfc-25b3-5f37-8afe-852c261ac4b7</t>
  </si>
  <si>
    <t xml:space="preserve">Fenpyroximate</t>
  </si>
  <si>
    <t xml:space="preserve">8e7926d4-9033-417f-9b94-2441aadb41dd</t>
  </si>
  <si>
    <t xml:space="preserve">Fentin acetate</t>
  </si>
  <si>
    <t xml:space="preserve">4dd95929-09d1-4c60-8792-4c9b6404d168</t>
  </si>
  <si>
    <t xml:space="preserve">Fentin hydroxide</t>
  </si>
  <si>
    <t xml:space="preserve">b7cd268b-1b52-45f1-91fe-cd51bf59d21d</t>
  </si>
  <si>
    <t xml:space="preserve">Fipronil</t>
  </si>
  <si>
    <t xml:space="preserve">1516ec05-1677-553a-9ce7-748002246ecc</t>
  </si>
  <si>
    <t xml:space="preserve">Flazasulfuron</t>
  </si>
  <si>
    <t xml:space="preserve">0015ec22-72cb-4af1-8c7b-0ba0d041553c</t>
  </si>
  <si>
    <t xml:space="preserve">Florasulam</t>
  </si>
  <si>
    <t xml:space="preserve">936015d2-e29c-4c0e-a4d0-cb3680e14452</t>
  </si>
  <si>
    <t xml:space="preserve">Fluazifop</t>
  </si>
  <si>
    <t xml:space="preserve">82f5987e-39bf-4055-8f4e-ea3a1882306f</t>
  </si>
  <si>
    <t xml:space="preserve">Fluazifop-P-butyl</t>
  </si>
  <si>
    <t xml:space="preserve">c9125373-0841-4515-9eaf-1bf9a49d51f8</t>
  </si>
  <si>
    <t xml:space="preserve">Fluazinam</t>
  </si>
  <si>
    <t xml:space="preserve">4a786a72-4967-453c-b752-2cb1eaf73a0b</t>
  </si>
  <si>
    <t xml:space="preserve">Flucarbazone sodium salt</t>
  </si>
  <si>
    <t xml:space="preserve">9e253ace-bf5e-40f2-b9d3-104595b327e4</t>
  </si>
  <si>
    <t xml:space="preserve">Fludioxonil</t>
  </si>
  <si>
    <t xml:space="preserve">e9889638-ea4c-45b8-90fa-3201b43191e3</t>
  </si>
  <si>
    <t xml:space="preserve">e401b1cf-f424-4837-a5f0-410514498b58</t>
  </si>
  <si>
    <t xml:space="preserve">4f5a338d-a56a-417d-ae4d-cfd6f51a4729</t>
  </si>
  <si>
    <t xml:space="preserve">a1693936-2774-4f31-8e5b-c513a5870015</t>
  </si>
  <si>
    <t xml:space="preserve">ff904733-0b42-4928-a984-b231b8ff1823</t>
  </si>
  <si>
    <t xml:space="preserve">Fluometuron</t>
  </si>
  <si>
    <t xml:space="preserve">4f9ceb8d-7b0f-482e-aeb4-59400d5fdbb8</t>
  </si>
  <si>
    <t xml:space="preserve">Fluoride</t>
  </si>
  <si>
    <t xml:space="preserve">57860159-5626-4f15-89b5-13b357797d71</t>
  </si>
  <si>
    <t xml:space="preserve">a768b3a4-dce7-48f2-bb44-89c8a4ba00d1</t>
  </si>
  <si>
    <t xml:space="preserve">de875382-6ef2-454c-b828-2c3a5080d39c</t>
  </si>
  <si>
    <t xml:space="preserve">831f48fc-ca00-4534-9ede-730190b3bee0</t>
  </si>
  <si>
    <t xml:space="preserve">Fluorochloridone</t>
  </si>
  <si>
    <t xml:space="preserve">9933c5bc-8337-5daf-b111-60c2b451dc3e</t>
  </si>
  <si>
    <t xml:space="preserve">Fluoroglycofen</t>
  </si>
  <si>
    <t xml:space="preserve">64a6c54a-9c47-4969-bc91-aed7f314ea03</t>
  </si>
  <si>
    <t xml:space="preserve">Fluoroglycofen-ethyl</t>
  </si>
  <si>
    <t xml:space="preserve">0c77f5af-0a0b-4205-acb6-0b031c22029f</t>
  </si>
  <si>
    <t xml:space="preserve">Flupyrsulfuron-methyl</t>
  </si>
  <si>
    <t xml:space="preserve">d1812c3b-7f5e-4ce3-80b2-e599642168cf</t>
  </si>
  <si>
    <t xml:space="preserve">Fluquinconazole</t>
  </si>
  <si>
    <t xml:space="preserve">07a5e6ef-e95e-52ab-83ca-073b0727b0a0</t>
  </si>
  <si>
    <t xml:space="preserve">Flurenol</t>
  </si>
  <si>
    <t xml:space="preserve">a0544534-e298-46a9-bbd2-949902ac1487</t>
  </si>
  <si>
    <t xml:space="preserve">Flurochloridone</t>
  </si>
  <si>
    <t xml:space="preserve">20834550-2d87-47d0-9d3c-fd65c108c72b</t>
  </si>
  <si>
    <t xml:space="preserve">Fluroxypyr</t>
  </si>
  <si>
    <t xml:space="preserve">48e16ea8-128c-4d96-a4f4-668f12249434</t>
  </si>
  <si>
    <t xml:space="preserve">Flurtamone</t>
  </si>
  <si>
    <t xml:space="preserve">c4cb99f9-ed0e-4543-8596-da56a8de8e40</t>
  </si>
  <si>
    <t xml:space="preserve">Flusilazole</t>
  </si>
  <si>
    <t xml:space="preserve">df260d38-1369-4524-a83a-bbd8ace56681</t>
  </si>
  <si>
    <t xml:space="preserve">Flutolanil</t>
  </si>
  <si>
    <t xml:space="preserve">928f64ab-0d84-4923-802f-1fa42ea251f2</t>
  </si>
  <si>
    <t xml:space="preserve">Folpet</t>
  </si>
  <si>
    <t xml:space="preserve">cc05b490-fe4b-47ac-893c-951b0f359285</t>
  </si>
  <si>
    <t xml:space="preserve">f64b5e97-f427-5ef8-a13e-2e83920b5ac7</t>
  </si>
  <si>
    <t xml:space="preserve">Fonofos</t>
  </si>
  <si>
    <t xml:space="preserve">b11d2f9f-1fee-49ca-aef6-de238b8f98c9</t>
  </si>
  <si>
    <t xml:space="preserve">Foramsulfuron</t>
  </si>
  <si>
    <t xml:space="preserve">794a9d6b-1ed0-486b-a6a9-d8a575c0aa9a</t>
  </si>
  <si>
    <t xml:space="preserve">Fosetyl</t>
  </si>
  <si>
    <t xml:space="preserve">4c44e04f-9b3d-4389-bf08-1bddf9dfa9e7</t>
  </si>
  <si>
    <t xml:space="preserve">Fosetyl-aluminium</t>
  </si>
  <si>
    <t xml:space="preserve">81bfad4e-f2a3-4d65-9e9a-72793dab13cb</t>
  </si>
  <si>
    <t xml:space="preserve">Fuberidazole</t>
  </si>
  <si>
    <t xml:space="preserve">2b6c2cee-deb2-49f1-a552-a666a41fc14e</t>
  </si>
  <si>
    <t xml:space="preserve">Fungicides, unspecified</t>
  </si>
  <si>
    <t xml:space="preserve">dffa1f8e-2d99-5795-8317-7e33cc369f77</t>
  </si>
  <si>
    <t xml:space="preserve">Furalaxyl</t>
  </si>
  <si>
    <t xml:space="preserve">af97a8ee-abed-4866-9330-89844b9f135e</t>
  </si>
  <si>
    <t xml:space="preserve">Furathiocarb</t>
  </si>
  <si>
    <t xml:space="preserve">b7a0a14a-b0b2-4aeb-923f-5c2ec1251dd5</t>
  </si>
  <si>
    <t xml:space="preserve">Glufosinate</t>
  </si>
  <si>
    <t xml:space="preserve">52be5a94-fe48-4ec3-b694-44d08262bbad</t>
  </si>
  <si>
    <t xml:space="preserve">Glufosinate ammonium</t>
  </si>
  <si>
    <t xml:space="preserve">3850d44e-8919-47bc-9c0a-51ccc4ec9d9f</t>
  </si>
  <si>
    <t xml:space="preserve">b4f9a201-2a20-4f41-a572-eabc98c75e1b</t>
  </si>
  <si>
    <t xml:space="preserve">51a01057-22d3-533b-9831-7592ec368cdb</t>
  </si>
  <si>
    <t xml:space="preserve">Guazatine</t>
  </si>
  <si>
    <t xml:space="preserve">b59aad72-50dd-4938-93bd-9ed99ab720af</t>
  </si>
  <si>
    <t xml:space="preserve">Halosulfuron-methyl</t>
  </si>
  <si>
    <t xml:space="preserve">66a6dad0-e450-4206-88e1-f823a04f8b1d</t>
  </si>
  <si>
    <t xml:space="preserve">Haloxyfop- (R) Methylester</t>
  </si>
  <si>
    <t xml:space="preserve">a058168e-9a1e-5126-80b6-2d202e746835</t>
  </si>
  <si>
    <t xml:space="preserve">Haloxyfop-P-methyl</t>
  </si>
  <si>
    <t xml:space="preserve">7966394e-6a5b-4069-97a1-1b99f8b7bcb0</t>
  </si>
  <si>
    <t xml:space="preserve">1fdca295-07cb-4797-8fc8-2bd8ba79514f</t>
  </si>
  <si>
    <t xml:space="preserve">dab33577-e9d4-4f6d-b141-a456521d4c1b</t>
  </si>
  <si>
    <t xml:space="preserve">dfbe093a-f470-4ae7-a207-50444f1f23f1</t>
  </si>
  <si>
    <t xml:space="preserve">12352b0c-c809-5bc8-a9b8-6ad6f9900636</t>
  </si>
  <si>
    <t xml:space="preserve">Heptenophos</t>
  </si>
  <si>
    <t xml:space="preserve">41625ba3-8bf4-4d2a-b634-fddcdf622282</t>
  </si>
  <si>
    <t xml:space="preserve">Herbicides, unspecified</t>
  </si>
  <si>
    <t xml:space="preserve">94ba16db-16b4-4652-b121-8682c317db58</t>
  </si>
  <si>
    <t xml:space="preserve">Hexaconazole</t>
  </si>
  <si>
    <t xml:space="preserve">29ed3a9c-84ee-530d-8ba7-bf8e0d2fe754</t>
  </si>
  <si>
    <t xml:space="preserve">Hexaflumuron</t>
  </si>
  <si>
    <t xml:space="preserve">3941d87e-6d5c-45d0-9fd5-16e3b948431c</t>
  </si>
  <si>
    <t xml:space="preserve">Hexazinone</t>
  </si>
  <si>
    <t xml:space="preserve">3d4852a3-6ef9-5e64-be70-6d65df0c9337</t>
  </si>
  <si>
    <t xml:space="preserve">Hexythiazox</t>
  </si>
  <si>
    <t xml:space="preserve">4c99e2cb-60ae-499e-aae1-c983fb3bd9f2</t>
  </si>
  <si>
    <t xml:space="preserve">Hydramethylnon</t>
  </si>
  <si>
    <t xml:space="preserve">042e5892-cd59-4e95-949e-cacce0e6a590</t>
  </si>
  <si>
    <t xml:space="preserve">3aa11bfe-0524-5028-8371-c98857c61949</t>
  </si>
  <si>
    <t xml:space="preserve">Hymexazol</t>
  </si>
  <si>
    <t xml:space="preserve">0964b6e9-08a5-4103-8ad6-610e8cd718c1</t>
  </si>
  <si>
    <t xml:space="preserve">Imazalil</t>
  </si>
  <si>
    <t xml:space="preserve">f5613910-92ec-4bf3-9585-926749432289</t>
  </si>
  <si>
    <t xml:space="preserve">a72e7983-329f-4fb7-9b05-77efe97717e4</t>
  </si>
  <si>
    <t xml:space="preserve">Imazapyr</t>
  </si>
  <si>
    <t xml:space="preserve">77152ee4-bf01-4720-a95f-19bde9bdcda8</t>
  </si>
  <si>
    <t xml:space="preserve">3bf44c34-e91e-449a-878c-9a6e8220cb63</t>
  </si>
  <si>
    <t xml:space="preserve">10507b66-45a2-4f20-ae9c-609e8b4d07c8</t>
  </si>
  <si>
    <t xml:space="preserve">Imidacloprid</t>
  </si>
  <si>
    <t xml:space="preserve">faa118a7-50b6-4ea9-94bb-40a55a0e39f2</t>
  </si>
  <si>
    <t xml:space="preserve">Indoxacarb</t>
  </si>
  <si>
    <t xml:space="preserve">9d6cb18b-db4b-4fe6-8449-2830536751e9</t>
  </si>
  <si>
    <t xml:space="preserve">Insecticides, unspecified</t>
  </si>
  <si>
    <t xml:space="preserve">c672fec5-5d1d-4353-9af3-2528b073a262</t>
  </si>
  <si>
    <t xml:space="preserve">Iodide</t>
  </si>
  <si>
    <t xml:space="preserve">5de7f50d-dbd7-4e4c-afa5-b38ad93b4dec</t>
  </si>
  <si>
    <t xml:space="preserve">bb6d97ec-cfaa-49e1-8105-89abf4319656</t>
  </si>
  <si>
    <t xml:space="preserve">22b18b15-712c-4475-a6a3-e245da9252b6</t>
  </si>
  <si>
    <t xml:space="preserve">df1cc3ea-7a3c-40ca-8349-42b89ff59063</t>
  </si>
  <si>
    <t xml:space="preserve">Iodosulfuron</t>
  </si>
  <si>
    <t xml:space="preserve">c4ab841c-b243-45fe-b5f9-258a00016fc9</t>
  </si>
  <si>
    <t xml:space="preserve">Iodosulfuron-methyl-sodium</t>
  </si>
  <si>
    <t xml:space="preserve">6744b13d-2908-4725-88a3-1afd6696c899</t>
  </si>
  <si>
    <t xml:space="preserve">Ioxynil</t>
  </si>
  <si>
    <t xml:space="preserve">a5a8cee4-65ed-5e02-a1d1-9f81d88223c8</t>
  </si>
  <si>
    <t xml:space="preserve">Ioxynil methyl ester</t>
  </si>
  <si>
    <t xml:space="preserve">299f371a-61c1-4ea2-8c38-901aa74acf7d</t>
  </si>
  <si>
    <t xml:space="preserve">Iprodion</t>
  </si>
  <si>
    <t xml:space="preserve">4ab7bb85-d6b6-5adc-9ccd-b0ebc9fd11ad</t>
  </si>
  <si>
    <t xml:space="preserve">Iprovalicarb</t>
  </si>
  <si>
    <t xml:space="preserve">db364689-e1a3-4629-8835-e6c59d6daf09</t>
  </si>
  <si>
    <t xml:space="preserve">c983ad54-12e9-47a5-b747-5e5c448e58e2</t>
  </si>
  <si>
    <t xml:space="preserve">98693cdf-d9fc-43ed-bfe6-78dfe5742d33</t>
  </si>
  <si>
    <t xml:space="preserve">ce567bdc-76ec-4ca0-be79-8bb796e448b3</t>
  </si>
  <si>
    <t xml:space="preserve">04f9be83-433e-4564-af72-98e463e5b616</t>
  </si>
  <si>
    <t xml:space="preserve">Isoproturon</t>
  </si>
  <si>
    <t xml:space="preserve">b3e6eedb-e295-56df-accf-0471bf42746f</t>
  </si>
  <si>
    <t xml:space="preserve">Isoxadifen-ethyl</t>
  </si>
  <si>
    <t xml:space="preserve">90f7c1f9-e57e-4806-a154-5be9a6e1ac2e</t>
  </si>
  <si>
    <t xml:space="preserve">Isoxaflutole</t>
  </si>
  <si>
    <t xml:space="preserve">5e86b7ae-1d51-485c-be33-8c12c4ce4d2e</t>
  </si>
  <si>
    <t xml:space="preserve">Kaolin</t>
  </si>
  <si>
    <t xml:space="preserve">e7c5db65-775c-4ada-8a63-32c67792bd52</t>
  </si>
  <si>
    <t xml:space="preserve">Kresoxim-methyl</t>
  </si>
  <si>
    <t xml:space="preserve">8c823f73-5fc6-4334-8a96-651365e7b542</t>
  </si>
  <si>
    <t xml:space="preserve">f1b48f46-77aa-4dba-bd83-87e220816f42</t>
  </si>
  <si>
    <t xml:space="preserve">4010918f-7fd0-4925-8fbb-8fd7a44a806c</t>
  </si>
  <si>
    <t xml:space="preserve">837083ce-41cd-49f3-a849-d79564dac238</t>
  </si>
  <si>
    <t xml:space="preserve">67652827-017f-4856-8d0a-c97bac4c6562</t>
  </si>
  <si>
    <t xml:space="preserve">739234c8-5359-48b4-983f-9cb170d68c8d</t>
  </si>
  <si>
    <t xml:space="preserve">6b7a3386-4aa7-4e58-9450-41130dbfa099</t>
  </si>
  <si>
    <t xml:space="preserve">Lenacil</t>
  </si>
  <si>
    <t xml:space="preserve">649b8bdc-5bc4-4d94-a587-e381b2b61079</t>
  </si>
  <si>
    <t xml:space="preserve">Lindane</t>
  </si>
  <si>
    <t xml:space="preserve">971f25e5-1501-454a-8a5a-2723f84d7974</t>
  </si>
  <si>
    <t xml:space="preserve">Linuron</t>
  </si>
  <si>
    <t xml:space="preserve">6230c099-a983-4d9d-98a8-a0697962bec3</t>
  </si>
  <si>
    <t xml:space="preserve">7ffda147-f556-5470-8db7-5be5c15472c2</t>
  </si>
  <si>
    <t xml:space="preserve">Lufenuron</t>
  </si>
  <si>
    <t xml:space="preserve">e5492922-eaf5-4409-aa49-7f2a35cd0336</t>
  </si>
  <si>
    <t xml:space="preserve">415f43c0-3908-418d-95cd-fca46ec371b9</t>
  </si>
  <si>
    <t xml:space="preserve">ef4884eb-c75d-4ef8-9170-11b20401cbca</t>
  </si>
  <si>
    <t xml:space="preserve">MSMA</t>
  </si>
  <si>
    <t xml:space="preserve">e8475907-2081-4fd5-9526-bfcef88380db</t>
  </si>
  <si>
    <t xml:space="preserve">2ef1d3db-baba-4948-bd9c-eb91e4a36228</t>
  </si>
  <si>
    <t xml:space="preserve">581ddcdf-82b7-4f87-83ee-761a44fea7f7</t>
  </si>
  <si>
    <t xml:space="preserve">6cd4ed76-161a-4d90-b275-dc74704ffd1d</t>
  </si>
  <si>
    <t xml:space="preserve">6f5f2323-f747-5578-a3a7-d6a750ca3884</t>
  </si>
  <si>
    <t xml:space="preserve">Magnesium phosphide</t>
  </si>
  <si>
    <t xml:space="preserve">dd7748c9-be28-4c89-b8b1-ed5ac14599a2</t>
  </si>
  <si>
    <t xml:space="preserve">Malathion</t>
  </si>
  <si>
    <t xml:space="preserve">863ebe6d-0f48-4c32-94df-a6369f963a2e</t>
  </si>
  <si>
    <t xml:space="preserve">Maleic hydrazide</t>
  </si>
  <si>
    <t xml:space="preserve">4f6390e3-bca5-4d3b-aead-7d63f2534440</t>
  </si>
  <si>
    <t xml:space="preserve">Mancozeb</t>
  </si>
  <si>
    <t xml:space="preserve">12e2fffe-08cd-451c-ad46-0b0a5db3c9ba</t>
  </si>
  <si>
    <t xml:space="preserve">Mandipropamid</t>
  </si>
  <si>
    <t xml:space="preserve">d689f35b-5ebf-4b87-bb12-c4e316219275</t>
  </si>
  <si>
    <t xml:space="preserve">Maneb</t>
  </si>
  <si>
    <t xml:space="preserve">9ba8c05d-1593-45a5-8d3b-5c4f3e9fef32</t>
  </si>
  <si>
    <t xml:space="preserve">009a49e8-09a7-4432-9cb9-f2dd18e8f922</t>
  </si>
  <si>
    <t xml:space="preserve">9c706cff-cb82-4207-a589-95896e04dc08</t>
  </si>
  <si>
    <t xml:space="preserve">6b7fbea6-4a86-40f9-954d-3c9b3611abfd</t>
  </si>
  <si>
    <t xml:space="preserve">bef7c90d-9f65-483c-b6b6-4b5d1086c878</t>
  </si>
  <si>
    <t xml:space="preserve">Mecoprop</t>
  </si>
  <si>
    <t xml:space="preserve">0f901f59-84bd-42a5-9a4c-04bd8cac7fb9</t>
  </si>
  <si>
    <t xml:space="preserve">Mecoprop-P</t>
  </si>
  <si>
    <t xml:space="preserve">8ebbd256-8114-4438-98c9-bbed994c140b</t>
  </si>
  <si>
    <t xml:space="preserve">Mefenpyr</t>
  </si>
  <si>
    <t xml:space="preserve">f97ee737-45ca-4a19-bbf4-30746bfa6fb4</t>
  </si>
  <si>
    <t xml:space="preserve">Mefenpyr-diethyl</t>
  </si>
  <si>
    <t xml:space="preserve">8a1f826f-e415-5f6c-8881-f0ad4cd8642d</t>
  </si>
  <si>
    <t xml:space="preserve">Mepanipyrim</t>
  </si>
  <si>
    <t xml:space="preserve">6008086f-5522-493a-8bfe-60e6d0d53b34</t>
  </si>
  <si>
    <t xml:space="preserve">Mepiquat chloride</t>
  </si>
  <si>
    <t xml:space="preserve">7690a454-91c0-59bf-aaa0-3a7fdc985475</t>
  </si>
  <si>
    <t xml:space="preserve">Mepronil</t>
  </si>
  <si>
    <t xml:space="preserve">ed2d49f8-110d-4db4-9488-f61c349e6117</t>
  </si>
  <si>
    <t xml:space="preserve">c486d0f8-f2be-4c5e-b594-9fa5d6942f9e</t>
  </si>
  <si>
    <t xml:space="preserve">e2128dc4-e065-4030-81b3-c978d7bc48ec</t>
  </si>
  <si>
    <t xml:space="preserve">f7eca11f-546f-4712-ad80-724254685596</t>
  </si>
  <si>
    <t xml:space="preserve">a4550604-95b4-5226-a87c-7d3fba511b41</t>
  </si>
  <si>
    <t xml:space="preserve">Mesosulfuron</t>
  </si>
  <si>
    <t xml:space="preserve">6248aeed-1ce1-49ee-be1c-3471ebf0a82e</t>
  </si>
  <si>
    <t xml:space="preserve">Mesosulfuron-methyl (prop)</t>
  </si>
  <si>
    <t xml:space="preserve">8b1020ea-0714-40df-8ea9-450e26963a43</t>
  </si>
  <si>
    <t xml:space="preserve">Mesotrione</t>
  </si>
  <si>
    <t xml:space="preserve">08f3db43-3185-4d9d-846a-404e27928eaf</t>
  </si>
  <si>
    <t xml:space="preserve">Metalaxil</t>
  </si>
  <si>
    <t xml:space="preserve">4fde8c19-5560-4fc4-a416-7b244f7439ec</t>
  </si>
  <si>
    <t xml:space="preserve">Metalaxyl-M</t>
  </si>
  <si>
    <t xml:space="preserve">597847df-518f-4bd6-ae50-1de01f2761a4</t>
  </si>
  <si>
    <t xml:space="preserve">Metaldehyde</t>
  </si>
  <si>
    <t xml:space="preserve">00acb9f0-1640-4f8c-89ef-d857e1428be0</t>
  </si>
  <si>
    <t xml:space="preserve">Metam-sodium</t>
  </si>
  <si>
    <t xml:space="preserve">fbebc389-bce6-4540-8869-50076139f370</t>
  </si>
  <si>
    <t xml:space="preserve">Metamitron</t>
  </si>
  <si>
    <t xml:space="preserve">89dd5dfb-aa72-4c48-aaf7-b0aa16497029</t>
  </si>
  <si>
    <t xml:space="preserve">Metazachlor</t>
  </si>
  <si>
    <t xml:space="preserve">1defe52a-bc9b-4c03-90fb-91bd35f6ce49</t>
  </si>
  <si>
    <t xml:space="preserve">Metconazole</t>
  </si>
  <si>
    <t xml:space="preserve">bb9a0c00-e0af-4926-8b0e-0a0be79abaf6</t>
  </si>
  <si>
    <t xml:space="preserve">Methabenzthiazuron</t>
  </si>
  <si>
    <t xml:space="preserve">1992f951-d2c6-428d-9ff9-dac673f2b532</t>
  </si>
  <si>
    <t xml:space="preserve">Methamidophos</t>
  </si>
  <si>
    <t xml:space="preserve">10cf973e-9a4c-53a6-83e9-c2293909374d</t>
  </si>
  <si>
    <t xml:space="preserve">Methidathion</t>
  </si>
  <si>
    <t xml:space="preserve">c3114f66-5b2b-4f6c-bf96-911bef486bf3</t>
  </si>
  <si>
    <t xml:space="preserve">Methiocarb</t>
  </si>
  <si>
    <t xml:space="preserve">2bf4e40e-ed11-457a-ae60-53a5cc43fdc7</t>
  </si>
  <si>
    <t xml:space="preserve">ac7c4d41-1854-5761-aa0d-fff910c6cc47</t>
  </si>
  <si>
    <t xml:space="preserve">Methoprene</t>
  </si>
  <si>
    <t xml:space="preserve">7b34b63f-b1a0-4b25-ae5e-dc1368b4512a</t>
  </si>
  <si>
    <t xml:space="preserve">Methoxyfenozide</t>
  </si>
  <si>
    <t xml:space="preserve">4218b9ea-78e7-44b5-b4e1-5a0fca05aeb8</t>
  </si>
  <si>
    <t xml:space="preserve">4412a76b-eb71-4fd3-afc9-6871a58cae5f</t>
  </si>
  <si>
    <t xml:space="preserve">Metiram</t>
  </si>
  <si>
    <t xml:space="preserve">616f4baa-8e97-5892-baf7-41ef582cfb38</t>
  </si>
  <si>
    <t xml:space="preserve">Metobromuron</t>
  </si>
  <si>
    <t xml:space="preserve">d2885a24-b728-4832-8638-15697630eff9</t>
  </si>
  <si>
    <t xml:space="preserve">b7feaed4-a5d3-4601-894c-e10f9dc7575b</t>
  </si>
  <si>
    <t xml:space="preserve">Metosulam</t>
  </si>
  <si>
    <t xml:space="preserve">171aebab-b5e0-493f-8776-43e1a694666f</t>
  </si>
  <si>
    <t xml:space="preserve">c2c2b2c4-0a30-4c79-8d1f-0735a95a8962</t>
  </si>
  <si>
    <t xml:space="preserve">Metsulfuron-methyl</t>
  </si>
  <si>
    <t xml:space="preserve">0fe04bc3-350c-5755-8db2-919c16b85d6f</t>
  </si>
  <si>
    <t xml:space="preserve">Mevinfos</t>
  </si>
  <si>
    <t xml:space="preserve">5a405a78-45bb-49de-8ecc-48a5d9cf9721</t>
  </si>
  <si>
    <t xml:space="preserve">Mineral oil</t>
  </si>
  <si>
    <t xml:space="preserve">aa2f15ce-fc50-4252-89d8-89e06b4f588a</t>
  </si>
  <si>
    <t xml:space="preserve">Molinate</t>
  </si>
  <si>
    <t xml:space="preserve">9cf3a683-ed3d-40e9-b039-7653e4fc9e20</t>
  </si>
  <si>
    <t xml:space="preserve">1f3c2297-d652-468d-82e8-4fd59bf5b5b8</t>
  </si>
  <si>
    <t xml:space="preserve">c126f8a0-6bc4-42e6-9220-d6ccfef3f2ed</t>
  </si>
  <si>
    <t xml:space="preserve">8b531ec0-ca7a-49cd-bef0-56f110112f34</t>
  </si>
  <si>
    <t xml:space="preserve">33456751-d78b-465d-8635-52d71e77cf54</t>
  </si>
  <si>
    <t xml:space="preserve">Monocrotophos</t>
  </si>
  <si>
    <t xml:space="preserve">340eb8e4-5282-4862-8840-35fcc50e3505</t>
  </si>
  <si>
    <t xml:space="preserve">Monolinuron</t>
  </si>
  <si>
    <t xml:space="preserve">b10642d6-cd29-4cf0-9ebe-755902c9a3ae</t>
  </si>
  <si>
    <t xml:space="preserve">Myclobutanil</t>
  </si>
  <si>
    <t xml:space="preserve">f72b4424-929b-4c74-99e4-60b0ad364995</t>
  </si>
  <si>
    <t xml:space="preserve">Naled</t>
  </si>
  <si>
    <t xml:space="preserve">9122eb15-12c8-4621-a036-209f6c06e3fb</t>
  </si>
  <si>
    <t xml:space="preserve">Napropamide</t>
  </si>
  <si>
    <t xml:space="preserve">fca49bf5-8cae-559f-b76b-5f6ad4fe658d</t>
  </si>
  <si>
    <t xml:space="preserve">Neburon</t>
  </si>
  <si>
    <t xml:space="preserve">b4580545-243d-48d2-a3a0-2633a4f46fb1</t>
  </si>
  <si>
    <t xml:space="preserve">5de1943f-b011-45a0-97d4-ed15eea6a382</t>
  </si>
  <si>
    <t xml:space="preserve">a72a45ee-395a-4d25-b893-9d183e43e76e</t>
  </si>
  <si>
    <t xml:space="preserve">2bcad3b3-5305-481c-a166-ad5e6eac2675</t>
  </si>
  <si>
    <t xml:space="preserve">504672ba-784f-4c87-bf3e-ede17992e4a2</t>
  </si>
  <si>
    <t xml:space="preserve">Nicosulfuron</t>
  </si>
  <si>
    <t xml:space="preserve">774c181d-18a7-4096-aa99-56801ef6b909</t>
  </si>
  <si>
    <t xml:space="preserve">7ce704ce-2a44-448b-b198-f00bf5928b4b</t>
  </si>
  <si>
    <t xml:space="preserve">994129c0-37ba-464f-a222-a8231715dae2</t>
  </si>
  <si>
    <t xml:space="preserve">eadc37a4-8b1e-4dd2-8f4a-39d89d5f39ba</t>
  </si>
  <si>
    <t xml:space="preserve">b748f6f1-7061-4243-89c7-3f2d01dcec07</t>
  </si>
  <si>
    <t xml:space="preserve">90917976-dfa0-56d0-8937-fec6deaf00b4</t>
  </si>
  <si>
    <t xml:space="preserve">Nitrothal-isopropyl</t>
  </si>
  <si>
    <t xml:space="preserve">50f05f8e-a062-4298-a805-0f230ef6ff5d</t>
  </si>
  <si>
    <t xml:space="preserve">Norflurazon</t>
  </si>
  <si>
    <t xml:space="preserve">9a94962c-be98-5d0a-8327-fd6d1ce0f4f1</t>
  </si>
  <si>
    <t xml:space="preserve">Novaluron</t>
  </si>
  <si>
    <t xml:space="preserve">0af51816-fa0b-5c76-bc65-92071535f15d</t>
  </si>
  <si>
    <t xml:space="preserve">Octanoic acid</t>
  </si>
  <si>
    <t xml:space="preserve">79459b74-727a-465f-b0cb-aae38d1d39cc</t>
  </si>
  <si>
    <t xml:space="preserve">Oils, non-fossil</t>
  </si>
  <si>
    <t xml:space="preserve">d41ee922-fa80-45e3-a317-3e9b72ee385d</t>
  </si>
  <si>
    <t xml:space="preserve">be4835bf-5252-48c1-be48-14f59d533bbd</t>
  </si>
  <si>
    <t xml:space="preserve">c161d9b4-2237-4053-b549-9e0cfc201e0d</t>
  </si>
  <si>
    <t xml:space="preserve">85403ceb-612c-494a-bcab-901946278f58</t>
  </si>
  <si>
    <t xml:space="preserve">Oils, unspecified</t>
  </si>
  <si>
    <t xml:space="preserve">7538ab50-2ef6-4e49-880d-48d5b283a79b</t>
  </si>
  <si>
    <t xml:space="preserve">e9bf9e2d-4bd1-4679-86ff-e34f6b750ea0</t>
  </si>
  <si>
    <t xml:space="preserve">21f77eaa-6f3e-426d-8932-fde33cd936d6</t>
  </si>
  <si>
    <t xml:space="preserve">365010c0-d4dd-4281-a1a7-7e2302c4105f</t>
  </si>
  <si>
    <t xml:space="preserve">Orbencarb</t>
  </si>
  <si>
    <t xml:space="preserve">e61443a5-41b6-4407-a1cd-116bdfb38a67</t>
  </si>
  <si>
    <t xml:space="preserve">662c6aea-3c5b-4205-a3e0-942f29af03c4</t>
  </si>
  <si>
    <t xml:space="preserve">Oryzalin</t>
  </si>
  <si>
    <t xml:space="preserve">d216b8b6-3744-447a-be01-989a5985cc35</t>
  </si>
  <si>
    <t xml:space="preserve">Oxadixyl</t>
  </si>
  <si>
    <t xml:space="preserve">aaa7a82f-7d09-48ed-8f08-8eb3c7eeb928</t>
  </si>
  <si>
    <t xml:space="preserve">Oxamyl</t>
  </si>
  <si>
    <t xml:space="preserve">224c984f-5232-53d7-be57-5fece5b26323</t>
  </si>
  <si>
    <t xml:space="preserve">Oxasulfuron</t>
  </si>
  <si>
    <t xml:space="preserve">83cc3810-ac58-40a3-97af-04a855d4c809</t>
  </si>
  <si>
    <t xml:space="preserve">Oxydemeton-methyl</t>
  </si>
  <si>
    <t xml:space="preserve">19ca9276-e5c6-47f5-a3a4-18284d2a27c3</t>
  </si>
  <si>
    <t xml:space="preserve">Oxyfluorfen</t>
  </si>
  <si>
    <t xml:space="preserve">bf8de5ea-9e54-573e-a0b1-676df1b766e0</t>
  </si>
  <si>
    <t xml:space="preserve">P-tert-amylphenol</t>
  </si>
  <si>
    <t xml:space="preserve">6d74bab2-969f-419c-a2dc-4dde50cf2553</t>
  </si>
  <si>
    <t xml:space="preserve">e170546d-a672-4840-bd7a-1c7f8b627286</t>
  </si>
  <si>
    <t xml:space="preserve">e7d1072e-68ab-4fb4-b141-feb865e3082d</t>
  </si>
  <si>
    <t xml:space="preserve">Parathion</t>
  </si>
  <si>
    <t xml:space="preserve">cb8de38f-f794-51e2-9736-0fb7ecf8f448</t>
  </si>
  <si>
    <t xml:space="preserve">Penconazole</t>
  </si>
  <si>
    <t xml:space="preserve">810479f2-5c15-57e7-8758-8c4a69dc8318</t>
  </si>
  <si>
    <t xml:space="preserve">Pencycuron</t>
  </si>
  <si>
    <t xml:space="preserve">9cbbd44e-bc02-4586-9d58-e223db6f5e24</t>
  </si>
  <si>
    <t xml:space="preserve">5da998ca-223d-47bb-a516-2ee8c9bf6f2c</t>
  </si>
  <si>
    <t xml:space="preserve">18fb2184-d78e-467f-9eac-116bd534739f</t>
  </si>
  <si>
    <t xml:space="preserve">Pesticides, unspecified</t>
  </si>
  <si>
    <t xml:space="preserve">231bcbc6-ce4d-5550-8244-9431031dea95</t>
  </si>
  <si>
    <t xml:space="preserve">Pethoxamid</t>
  </si>
  <si>
    <t xml:space="preserve">50fb73f7-935a-4cf8-81a0-ff3ca0ea35f9</t>
  </si>
  <si>
    <t xml:space="preserve">Phenmedipham</t>
  </si>
  <si>
    <t xml:space="preserve">ebca692a-4ef2-5ca0-86c9-435f9071b7ed</t>
  </si>
  <si>
    <t xml:space="preserve">a7ce2d61-decb-4076-baf1-774c4039b4e3</t>
  </si>
  <si>
    <t xml:space="preserve">24d49070-45df-4627-84fa-2d8adeca255b</t>
  </si>
  <si>
    <t xml:space="preserve">Phorate</t>
  </si>
  <si>
    <t xml:space="preserve">7f839ecb-5ff0-580e-afd2-ac24373c38a2</t>
  </si>
  <si>
    <t xml:space="preserve">Phosalone</t>
  </si>
  <si>
    <t xml:space="preserve">b268aafb-2e5a-4bb1-a3ab-37f378ee8090</t>
  </si>
  <si>
    <t xml:space="preserve">Phosmet</t>
  </si>
  <si>
    <t xml:space="preserve">c89a0749-40a5-4c9c-8770-c4295ea34977</t>
  </si>
  <si>
    <t xml:space="preserve">b6e2f7f4-6b2e-4b3e-be1f-67626cb8205d</t>
  </si>
  <si>
    <t xml:space="preserve">2f8952b0-c90c-4e3d-b546-52b862fc8f11</t>
  </si>
  <si>
    <t xml:space="preserve">8b0a4a41-c65c-4d94-b10c-94ddb98abdd2</t>
  </si>
  <si>
    <t xml:space="preserve">83d5b12c-781b-463a-81a2-cdc5918f75cf</t>
  </si>
  <si>
    <t xml:space="preserve">Picloram</t>
  </si>
  <si>
    <t xml:space="preserve">1a7fba0e-91a3-4ac2-a58e-44575eeed078</t>
  </si>
  <si>
    <t xml:space="preserve">Picoxystrobin</t>
  </si>
  <si>
    <t xml:space="preserve">8e52912d-cb22-52c0-9ded-1fc168440a17</t>
  </si>
  <si>
    <t xml:space="preserve">Pinoxaden</t>
  </si>
  <si>
    <t xml:space="preserve">13be989f-9a8e-420d-b27d-47c3565eb77c</t>
  </si>
  <si>
    <t xml:space="preserve">Piperonyl butoxide</t>
  </si>
  <si>
    <t xml:space="preserve">1c0699e2-9be2-4c30-8328-fc0ad8caac58</t>
  </si>
  <si>
    <t xml:space="preserve">Pirimicarb</t>
  </si>
  <si>
    <t xml:space="preserve">9682172f-8194-4efc-86e0-d81d189514a7</t>
  </si>
  <si>
    <t xml:space="preserve">Pirimiphos methyl</t>
  </si>
  <si>
    <t xml:space="preserve">b717518e-b8b6-44fa-a8e1-f9fde2436caf</t>
  </si>
  <si>
    <t xml:space="preserve">0e7f417f-b5ec-4771-a47a-60cc451a8403</t>
  </si>
  <si>
    <t xml:space="preserve">bc269269-1874-4423-b5f0-eed0f5227684</t>
  </si>
  <si>
    <t xml:space="preserve">73b26c10-3c57-4732-8a36-6d1d98d6c925</t>
  </si>
  <si>
    <t xml:space="preserve">e888a409-63ef-5a7f-aea9-92bac7f51c8c</t>
  </si>
  <si>
    <t xml:space="preserve">Potassium soap</t>
  </si>
  <si>
    <t xml:space="preserve">b1fedd38-0f13-4baa-a6e9-ccc453e5b2f5</t>
  </si>
  <si>
    <t xml:space="preserve">Primisulfuron</t>
  </si>
  <si>
    <t xml:space="preserve">99f1e4a4-2f47-4098-8f28-4c736a5b675d</t>
  </si>
  <si>
    <t xml:space="preserve">Prochloraz</t>
  </si>
  <si>
    <t xml:space="preserve">364cef97-0380-4d40-8b47-35e073f0c54f</t>
  </si>
  <si>
    <t xml:space="preserve">Procymidone</t>
  </si>
  <si>
    <t xml:space="preserve">cab8d859-018a-4919-9324-f3febdea35e0</t>
  </si>
  <si>
    <t xml:space="preserve">Profenofos</t>
  </si>
  <si>
    <t xml:space="preserve">2e718246-b4f2-44e3-bcc5-2ce3496d2db6</t>
  </si>
  <si>
    <t xml:space="preserve">Prohexadione-calcium</t>
  </si>
  <si>
    <t xml:space="preserve">7000de19-18c4-4bfd-90a2-9b1f2346eb99</t>
  </si>
  <si>
    <t xml:space="preserve">Prometryn</t>
  </si>
  <si>
    <t xml:space="preserve">30e130e0-ff90-4e07-9cda-c53b81e0bbe6</t>
  </si>
  <si>
    <t xml:space="preserve">Pronamide</t>
  </si>
  <si>
    <t xml:space="preserve">0a0a8657-0cc0-4132-a31b-cb4b0a0f3f3a</t>
  </si>
  <si>
    <t xml:space="preserve">Propachlor</t>
  </si>
  <si>
    <t xml:space="preserve">22fbf3b0-06cf-53c7-b38b-64dfcdef37f8</t>
  </si>
  <si>
    <t xml:space="preserve">Propamocarb</t>
  </si>
  <si>
    <t xml:space="preserve">c1ad9058-6019-4835-ab47-d3e3f35b94d9</t>
  </si>
  <si>
    <t xml:space="preserve">Propamocarb HCl</t>
  </si>
  <si>
    <t xml:space="preserve">a9224ed8-bdfd-4e66-9e97-df752e2485ef</t>
  </si>
  <si>
    <t xml:space="preserve">Propanil</t>
  </si>
  <si>
    <t xml:space="preserve">89107893-d6a6-4b60-b17e-7f4542461dfd</t>
  </si>
  <si>
    <t xml:space="preserve">Propaquizafop</t>
  </si>
  <si>
    <t xml:space="preserve">6b3026ac-76b1-493d-bbcc-1281ac24905e</t>
  </si>
  <si>
    <t xml:space="preserve">Propargite</t>
  </si>
  <si>
    <t xml:space="preserve">d1b2cbef-7804-5ec0-8d93-f1cf91c59fb4</t>
  </si>
  <si>
    <t xml:space="preserve">Propham</t>
  </si>
  <si>
    <t xml:space="preserve">f7c6455a-51e5-4aba-8361-99b98d47c47b</t>
  </si>
  <si>
    <t xml:space="preserve">8704d23b-dc6c-5fd8-94be-60e6fabb02f5</t>
  </si>
  <si>
    <t xml:space="preserve">Propineb</t>
  </si>
  <si>
    <t xml:space="preserve">3aa9471c-359f-40b4-b0c7-266123f2623e</t>
  </si>
  <si>
    <t xml:space="preserve">Propoxycarbazone-sodium (prop)</t>
  </si>
  <si>
    <t xml:space="preserve">19c48bf5-6116-5941-877a-ad23501dedb1</t>
  </si>
  <si>
    <t xml:space="preserve">Proquinazid</t>
  </si>
  <si>
    <t xml:space="preserve">b4f381ed-345e-48eb-b85a-c8b3f4730af1</t>
  </si>
  <si>
    <t xml:space="preserve">Prosulfocarb</t>
  </si>
  <si>
    <t xml:space="preserve">04cd03b8-8206-4d3a-a910-59ffc0550c2c</t>
  </si>
  <si>
    <t xml:space="preserve">Prosulfuron</t>
  </si>
  <si>
    <t xml:space="preserve">cfa6de56-8a29-4a27-8868-fb6d1f092d36</t>
  </si>
  <si>
    <t xml:space="preserve">066a904d-beba-47a4-a153-3981ca3554e0</t>
  </si>
  <si>
    <t xml:space="preserve">Pymetrozine</t>
  </si>
  <si>
    <t xml:space="preserve">c7328f5c-abaa-4786-a9ef-6706a9108382</t>
  </si>
  <si>
    <t xml:space="preserve">Pyraclostrobin (prop)</t>
  </si>
  <si>
    <t xml:space="preserve">2fee2825-acaa-562e-8611-e607b8f94fcc</t>
  </si>
  <si>
    <t xml:space="preserve">Pyraflufen-ethyl</t>
  </si>
  <si>
    <t xml:space="preserve">0b27924a-660d-5cbc-8b67-c2d30dd91d39</t>
  </si>
  <si>
    <t xml:space="preserve">Pyrazophos</t>
  </si>
  <si>
    <t xml:space="preserve">6f478f7b-1817-4316-8dd8-c65fdc1c6be7</t>
  </si>
  <si>
    <t xml:space="preserve">Pyrethrin</t>
  </si>
  <si>
    <t xml:space="preserve">19d4089d-11a2-520c-84a0-b307ec625a0c</t>
  </si>
  <si>
    <t xml:space="preserve">Pyrethrine</t>
  </si>
  <si>
    <t xml:space="preserve">69edbf6f-66cb-5e8f-8741-f34a16fed5ca</t>
  </si>
  <si>
    <t xml:space="preserve">Pyrethrum</t>
  </si>
  <si>
    <t xml:space="preserve">46bce580-a40e-4bb4-a835-083a519f3b50</t>
  </si>
  <si>
    <t xml:space="preserve">Pyridate</t>
  </si>
  <si>
    <t xml:space="preserve">d5946f74-8384-5bb7-93f3-50d5f794e02a</t>
  </si>
  <si>
    <t xml:space="preserve">Pyrifenox</t>
  </si>
  <si>
    <t xml:space="preserve">b2663551-c9e2-446c-88e1-0a87435667dc</t>
  </si>
  <si>
    <t xml:space="preserve">Pyrimethanil</t>
  </si>
  <si>
    <t xml:space="preserve">abcbc5ab-2f85-4da1-9bf0-5db48390a6ea</t>
  </si>
  <si>
    <t xml:space="preserve">Pyriproxyfen</t>
  </si>
  <si>
    <t xml:space="preserve">c6b0b28d-dddf-4610-b62e-971d328fae57</t>
  </si>
  <si>
    <t xml:space="preserve">Pyrithiobac sodium salt</t>
  </si>
  <si>
    <t xml:space="preserve">658441e6-f7a0-4ce5-bbe7-329a2a9e31c8</t>
  </si>
  <si>
    <t xml:space="preserve">Quinclorac</t>
  </si>
  <si>
    <t xml:space="preserve">9d62f34e-56df-4c48-ba0f-3a50008f29be</t>
  </si>
  <si>
    <t xml:space="preserve">Quinmerac</t>
  </si>
  <si>
    <t xml:space="preserve">80059f17-e3f9-4041-9fdc-31658ce27288</t>
  </si>
  <si>
    <t xml:space="preserve">Quinoxyfen</t>
  </si>
  <si>
    <t xml:space="preserve">99f78a2c-48e3-492c-aa5a-ed0c2f24a1a0</t>
  </si>
  <si>
    <t xml:space="preserve">Quintozene</t>
  </si>
  <si>
    <t xml:space="preserve">f9c73aca-3d5c-4072-81dd-b8e0643530a6</t>
  </si>
  <si>
    <t xml:space="preserve">Quizalofop ethyl ester</t>
  </si>
  <si>
    <t xml:space="preserve">be206401-d803-4b14-8319-53b916e9beef</t>
  </si>
  <si>
    <t xml:space="preserve">Quizalofop-P</t>
  </si>
  <si>
    <t xml:space="preserve">7bddbf65-6f39-4ae1-bddf-d8d4632c8efe</t>
  </si>
  <si>
    <t xml:space="preserve">Quizalofop-p-ethyl</t>
  </si>
  <si>
    <t xml:space="preserve">c70d7501-b022-5459-a8b5-dea60d3655e6</t>
  </si>
  <si>
    <t xml:space="preserve">Rabon</t>
  </si>
  <si>
    <t xml:space="preserve">8b4f0e68-38d5-4bee-b647-680d3a117560</t>
  </si>
  <si>
    <t xml:space="preserve">Rimsulfuron</t>
  </si>
  <si>
    <t xml:space="preserve">6d9d5607-330d-4f8d-95bb-e6280c9dad6c</t>
  </si>
  <si>
    <t xml:space="preserve">Rotenone</t>
  </si>
  <si>
    <t xml:space="preserve">317c9f65-0142-5fa0-99da-98a5c7d639dd</t>
  </si>
  <si>
    <t xml:space="preserve">S-metolachlor</t>
  </si>
  <si>
    <t xml:space="preserve">df0ba4e1-ab58-4e03-ac9e-05c76ebfa7ec</t>
  </si>
  <si>
    <t xml:space="preserve">62c14aa1-ef5b-4bbc-8601-a5002e05f6e5</t>
  </si>
  <si>
    <t xml:space="preserve">0bbb2dfe-6dc8-4a22-9d23-db140afb7faf</t>
  </si>
  <si>
    <t xml:space="preserve">8bd01869-7f83-4fcd-a167-af5735fa7ffd</t>
  </si>
  <si>
    <t xml:space="preserve">c6ce1ad0-d8da-41d0-8db1-cabc3760b422</t>
  </si>
  <si>
    <t xml:space="preserve">47d20967-a49a-4fb3-881d-51956520449e</t>
  </si>
  <si>
    <t xml:space="preserve">56a24912-2d66-4124-87d8-f760c2fe3973</t>
  </si>
  <si>
    <t xml:space="preserve">45acd8c0-657f-46d3-8026-4b3c9fadaeb6</t>
  </si>
  <si>
    <t xml:space="preserve">82688564-c9d5-43ab-876e-1eb16fd97130</t>
  </si>
  <si>
    <t xml:space="preserve">e6f95937-83c5-55a9-8bbb-80be75452175</t>
  </si>
  <si>
    <t xml:space="preserve">Siduron</t>
  </si>
  <si>
    <t xml:space="preserve">39f248d5-dd9b-4460-8f34-3415dc3f3e43</t>
  </si>
  <si>
    <t xml:space="preserve">33aaa517-2f57-4b13-be01-910469b03567</t>
  </si>
  <si>
    <t xml:space="preserve">a57cb19d-f436-4c0c-a2ab-097c544bd95f</t>
  </si>
  <si>
    <t xml:space="preserve">6575edf4-826c-4e99-a21a-08a1afec1396</t>
  </si>
  <si>
    <t xml:space="preserve">1417474c-bf73-4ffc-9eff-94a994bf76a8</t>
  </si>
  <si>
    <t xml:space="preserve">Silthiofam</t>
  </si>
  <si>
    <t xml:space="preserve">fce0b9ae-53c8-4ab0-9e7a-7f5c2ed2c856</t>
  </si>
  <si>
    <t xml:space="preserve">48dbf4b1-0b2a-4bf5-a190-2d7fc465bda4</t>
  </si>
  <si>
    <t xml:space="preserve">16316600-f12a-410b-8726-3faee64de60a</t>
  </si>
  <si>
    <t xml:space="preserve">7da45a0b-0dcf-413c-8de0-44d8ebca9e6e</t>
  </si>
  <si>
    <t xml:space="preserve">3ac07adf-7b44-46f7-9470-b7b1bf0ba961</t>
  </si>
  <si>
    <t xml:space="preserve">Simazine</t>
  </si>
  <si>
    <t xml:space="preserve">896bfa32-a9a9-4e75-aed0-e178987ec038</t>
  </si>
  <si>
    <t xml:space="preserve">e19658ac-3c4a-4cde-90ab-9dc6f569b02b</t>
  </si>
  <si>
    <t xml:space="preserve">cc1c987a-2b6e-4cbc-969a-73f1c96de448</t>
  </si>
  <si>
    <t xml:space="preserve">4573f0c9-0fdd-413f-ae74-e27290f40743</t>
  </si>
  <si>
    <t xml:space="preserve">a2833212-0bc8-54a8-ad0e-1eb00f82cc4a</t>
  </si>
  <si>
    <t xml:space="preserve">Sodium fluorosilicate</t>
  </si>
  <si>
    <t xml:space="preserve">f7340d88-d66b-45c8-89af-251646b2c12e</t>
  </si>
  <si>
    <t xml:space="preserve">Spinosad</t>
  </si>
  <si>
    <t xml:space="preserve">4bfde0c0-e613-5241-b586-f8145e5d65e4</t>
  </si>
  <si>
    <t xml:space="preserve">Spirodiclofen</t>
  </si>
  <si>
    <t xml:space="preserve">f8448f5d-a27f-4fa9-a731-94cb3b9eb7f3</t>
  </si>
  <si>
    <t xml:space="preserve">Spiroxamine</t>
  </si>
  <si>
    <t xml:space="preserve">6be19c27-bbb9-4c2d-9831-fc7a035052a5</t>
  </si>
  <si>
    <t xml:space="preserve">Starane</t>
  </si>
  <si>
    <t xml:space="preserve">7f0873fe-731e-4b99-a384-17f0ad36a318</t>
  </si>
  <si>
    <t xml:space="preserve">aa2d6624-ad64-4fff-9260-cb51500bba0d</t>
  </si>
  <si>
    <t xml:space="preserve">ee018b5e-c9c3-486b-aeb4-ef045a4e3ccd</t>
  </si>
  <si>
    <t xml:space="preserve">4c0a6227-af22-45cb-b75b-b276ce0e4d47</t>
  </si>
  <si>
    <t xml:space="preserve">ed833edc-cec9-54c1-9bd8-1579ff25ff75</t>
  </si>
  <si>
    <t xml:space="preserve">Sulcotrione</t>
  </si>
  <si>
    <t xml:space="preserve">e2f205c4-2146-4578-8cd4-e6f309521ef4</t>
  </si>
  <si>
    <t xml:space="preserve">7ab9afec-40e0-41b0-82b1-6cb15c84e949</t>
  </si>
  <si>
    <t xml:space="preserve">4518a791-f5dd-4ee2-ab87-2f8ffca6b230</t>
  </si>
  <si>
    <t xml:space="preserve">Sulfosate</t>
  </si>
  <si>
    <t xml:space="preserve">6a9afa4e-3b29-4695-b742-56c893060dd3</t>
  </si>
  <si>
    <t xml:space="preserve">Sulfosulfuron</t>
  </si>
  <si>
    <t xml:space="preserve">cabdb1e5-e569-5aef-92af-2981a2b7c8dc</t>
  </si>
  <si>
    <t xml:space="preserve">Sulfotep</t>
  </si>
  <si>
    <t xml:space="preserve">d4049741-cef2-4edd-a3af-9728b9e3a568</t>
  </si>
  <si>
    <t xml:space="preserve">599e7856-605e-47eb-b780-ab039f2d4006</t>
  </si>
  <si>
    <t xml:space="preserve">16f40b1c-f7c8-4100-9916-81a260493951</t>
  </si>
  <si>
    <t xml:space="preserve">32451556-ee07-4e36-bd8a-09f8847f9c83</t>
  </si>
  <si>
    <t xml:space="preserve">9bb73c31-c01d-4384-b567-15c1544ae581</t>
  </si>
  <si>
    <t xml:space="preserve">723a8b35-613c-4dbb-91af-ed3c06e273cc</t>
  </si>
  <si>
    <t xml:space="preserve">TCMTB</t>
  </si>
  <si>
    <t xml:space="preserve">a805071f-ce96-4d72-bdd5-4334d9aa3c23</t>
  </si>
  <si>
    <t xml:space="preserve">f5a070c3-4239-4130-b224-130f18b50ada</t>
  </si>
  <si>
    <t xml:space="preserve">Tebufenozide</t>
  </si>
  <si>
    <t xml:space="preserve">d00c7ea5-29e7-445c-b20e-672d421f3ea4</t>
  </si>
  <si>
    <t xml:space="preserve">Tebufenpyrad</t>
  </si>
  <si>
    <t xml:space="preserve">57d8084d-08e2-4212-9abf-3f051bee142e</t>
  </si>
  <si>
    <t xml:space="preserve">Tebupirimphos</t>
  </si>
  <si>
    <t xml:space="preserve">3d92a9a3-8942-4ed9-8522-fe027656e9e9</t>
  </si>
  <si>
    <t xml:space="preserve">Tebutam</t>
  </si>
  <si>
    <t xml:space="preserve">ad419049-3445-481f-97a3-3d4529ee924f</t>
  </si>
  <si>
    <t xml:space="preserve">Teflubenzuron</t>
  </si>
  <si>
    <t xml:space="preserve">273b51ae-dcc4-45c6-b8da-f6ba0313edf8</t>
  </si>
  <si>
    <t xml:space="preserve">7d685caf-34cf-5466-b048-6841a368dcee</t>
  </si>
  <si>
    <t xml:space="preserve">Tepraloxydim</t>
  </si>
  <si>
    <t xml:space="preserve">a110815e-69d2-43bd-8bf8-4e842e5895e3</t>
  </si>
  <si>
    <t xml:space="preserve">Terbacil</t>
  </si>
  <si>
    <t xml:space="preserve">15057e97-7b47-405e-8222-6ed5cf4e0087</t>
  </si>
  <si>
    <t xml:space="preserve">Terbufos</t>
  </si>
  <si>
    <t xml:space="preserve">1be6f247-61bd-4614-a1fa-01a85e968fcb</t>
  </si>
  <si>
    <t xml:space="preserve">Terbuthylazin</t>
  </si>
  <si>
    <t xml:space="preserve">64027a69-77eb-5b11-ae61-81f27161bf7e</t>
  </si>
  <si>
    <t xml:space="preserve">Terbutryn</t>
  </si>
  <si>
    <t xml:space="preserve">57a17022-7f17-4cdf-b0e8-184bc5c50d98</t>
  </si>
  <si>
    <t xml:space="preserve">51814700-587c-4915-9ed2-c5a644f831d3</t>
  </si>
  <si>
    <t xml:space="preserve">bc3d3e8d-249a-4e6d-85e8-3a003ca32776</t>
  </si>
  <si>
    <t xml:space="preserve">6fa8a7df-bd00-4b65-82bd-23b6a4cffe6a</t>
  </si>
  <si>
    <t xml:space="preserve">c5094d89-50ee-5a7a-8ff3-cf50b218ef2b</t>
  </si>
  <si>
    <t xml:space="preserve">Thiabendazole</t>
  </si>
  <si>
    <t xml:space="preserve">53f7bad5-fba1-54ca-94af-7abfbc18d21e</t>
  </si>
  <si>
    <t xml:space="preserve">Thiacloprid</t>
  </si>
  <si>
    <t xml:space="preserve">9a8e2785-9175-4818-83ae-fc394e2d695a</t>
  </si>
  <si>
    <t xml:space="preserve">Thiamethoxam</t>
  </si>
  <si>
    <t xml:space="preserve">68f5b661-cd07-445f-b14b-0fa266b3b168</t>
  </si>
  <si>
    <t xml:space="preserve">Thidiazuron</t>
  </si>
  <si>
    <t xml:space="preserve">4bafafca-ff89-46aa-9aaf-c93667df13a4</t>
  </si>
  <si>
    <t xml:space="preserve">Thifensulfuron-methyl</t>
  </si>
  <si>
    <t xml:space="preserve">5d02269c-1130-47a5-aa86-00d79802dc88</t>
  </si>
  <si>
    <t xml:space="preserve">Thiobencarb</t>
  </si>
  <si>
    <t xml:space="preserve">2c25d5de-bb2f-5fff-bb42-f7177e88e84e</t>
  </si>
  <si>
    <t xml:space="preserve">Thiocyclam</t>
  </si>
  <si>
    <t xml:space="preserve">44230d0d-f11f-473e-8b43-75656dcac834</t>
  </si>
  <si>
    <t xml:space="preserve">423112a9-b4c4-4041-8854-57bffde7b9cc</t>
  </si>
  <si>
    <t xml:space="preserve">Thiophanat-methyl</t>
  </si>
  <si>
    <t xml:space="preserve">f992dcb8-c19c-46b1-a36b-3053ef83b755</t>
  </si>
  <si>
    <t xml:space="preserve">Thiram</t>
  </si>
  <si>
    <t xml:space="preserve">168c970b-91c9-4427-a3a0-6686ad6cc2c4</t>
  </si>
  <si>
    <t xml:space="preserve">c67e3ba8-ddce-4931-b4b0-f4f9a56ccf40</t>
  </si>
  <si>
    <t xml:space="preserve">e070bd24-fd16-4963-8f4d-78bb4c402400</t>
  </si>
  <si>
    <t xml:space="preserve">85a764f2-a810-4b20-bc86-a45604262fda</t>
  </si>
  <si>
    <t xml:space="preserve">334f3d29-ec7d-4ca4-9e65-524c64c6649c</t>
  </si>
  <si>
    <t xml:space="preserve">ba785aad-0ee5-4bba-b049-e32bc31670cb</t>
  </si>
  <si>
    <t xml:space="preserve">41abb9cf-8e9a-40fe-895e-d491e32244b4</t>
  </si>
  <si>
    <t xml:space="preserve">6bc9e39e-bfc5-4929-88d9-863684901143</t>
  </si>
  <si>
    <t xml:space="preserve">9de9178b-6d1b-476d-af1f-a16a7b3031a9</t>
  </si>
  <si>
    <t xml:space="preserve">Tolylfluanid</t>
  </si>
  <si>
    <t xml:space="preserve">ad83a9b9-77ce-4a23-852d-d606ec7f8ffb</t>
  </si>
  <si>
    <t xml:space="preserve">Tralkoxydim</t>
  </si>
  <si>
    <t xml:space="preserve">04279d50-d748-4d84-b004-8c90ccb044e2</t>
  </si>
  <si>
    <t xml:space="preserve">Tralomethrin</t>
  </si>
  <si>
    <t xml:space="preserve">c5c25aa6-d630-40bd-bed7-4e718c877ef4</t>
  </si>
  <si>
    <t xml:space="preserve">Tri-allate</t>
  </si>
  <si>
    <t xml:space="preserve">7e7dafac-5f96-495c-8a34-11fdc6e9f4e8</t>
  </si>
  <si>
    <t xml:space="preserve">Triadimenol</t>
  </si>
  <si>
    <t xml:space="preserve">e9d1e8d9-2db3-40d8-b7a9-8f39a0bd5ae0</t>
  </si>
  <si>
    <t xml:space="preserve">Triasulfuron</t>
  </si>
  <si>
    <t xml:space="preserve">58db0688-dd63-5506-a03e-0345b9a9294b</t>
  </si>
  <si>
    <t xml:space="preserve">Triazamate</t>
  </si>
  <si>
    <t xml:space="preserve">395bf19a-d3e3-4185-9bee-141fdbfd6afe</t>
  </si>
  <si>
    <t xml:space="preserve">Tribenuron</t>
  </si>
  <si>
    <t xml:space="preserve">ebb21cc2-3bb4-45eb-8f7f-58bf297f6431</t>
  </si>
  <si>
    <t xml:space="preserve">Tribenuron-methyl</t>
  </si>
  <si>
    <t xml:space="preserve">9f6d9658-e3f7-4c8b-96da-bfec6511ae7d</t>
  </si>
  <si>
    <t xml:space="preserve">Tribufos</t>
  </si>
  <si>
    <t xml:space="preserve">51e8811b-04e2-4801-987c-fb0015535965</t>
  </si>
  <si>
    <t xml:space="preserve">Trichlorfon</t>
  </si>
  <si>
    <t xml:space="preserve">e44fd74a-5967-4e79-bad0-08e7363b630c</t>
  </si>
  <si>
    <t xml:space="preserve">Triclopyr</t>
  </si>
  <si>
    <t xml:space="preserve">1aa8fd2e-9fbb-4701-8250-f4e31254b84a</t>
  </si>
  <si>
    <t xml:space="preserve">Tridemorph</t>
  </si>
  <si>
    <t xml:space="preserve">fa1a376f-567a-47b2-98e9-b3e5a5e4d224</t>
  </si>
  <si>
    <t xml:space="preserve">3f5e282e-245b-570a-81e9-c41e6aee952b</t>
  </si>
  <si>
    <t xml:space="preserve">Triflumizole</t>
  </si>
  <si>
    <t xml:space="preserve">165e28f3-4377-573c-9d2f-52c664f43d42</t>
  </si>
  <si>
    <t xml:space="preserve">Triflumuron</t>
  </si>
  <si>
    <t xml:space="preserve">91b452dc-ddbd-40a4-9281-33303109495e</t>
  </si>
  <si>
    <t xml:space="preserve">8638150a-6413-4a26-9a97-c9fc2bbef19b</t>
  </si>
  <si>
    <t xml:space="preserve">Triflusulfuron-methyl</t>
  </si>
  <si>
    <t xml:space="preserve">2ffd03dc-a8df-467d-a362-b1f9f3136abc</t>
  </si>
  <si>
    <t xml:space="preserve">Triforine</t>
  </si>
  <si>
    <t xml:space="preserve">51c7daf4-14e1-45e9-aa67-051c4ddcd9da</t>
  </si>
  <si>
    <t xml:space="preserve">Trinexapac-ethyl</t>
  </si>
  <si>
    <t xml:space="preserve">84c7e145-18e9-5d0e-9b92-00254945d7cd</t>
  </si>
  <si>
    <t xml:space="preserve">Triticonazole</t>
  </si>
  <si>
    <t xml:space="preserve">678846cb-0170-4ebb-988b-1fea0dd8fdb7</t>
  </si>
  <si>
    <t xml:space="preserve">5dbca6b8-877c-42dc-9668-aefa62834ade</t>
  </si>
  <si>
    <t xml:space="preserve">3cc27705-f130-4e46-9de0-a1ca0ae1f7c6</t>
  </si>
  <si>
    <t xml:space="preserve">36232f4b-681c-4872-8e68-ed58383b4ea3</t>
  </si>
  <si>
    <t xml:space="preserve">eec1217a-7365-51c4-98ce-be7b617bb6d1</t>
  </si>
  <si>
    <t xml:space="preserve">Vamidothion</t>
  </si>
  <si>
    <t xml:space="preserve">adfb11ec-7a41-47da-abc2-c92c59810e50</t>
  </si>
  <si>
    <t xml:space="preserve">689ffb9a-b596-4191-b458-2908dc2d075c</t>
  </si>
  <si>
    <t xml:space="preserve">1a5850a0-0069-4b73-bb91-7a61e8d45ae5</t>
  </si>
  <si>
    <t xml:space="preserve">4122276a-89a6-4e31-ad7d-19568cecf9ce</t>
  </si>
  <si>
    <t xml:space="preserve">7db70809-e30b-4633-992e-2cfe03891907</t>
  </si>
  <si>
    <t xml:space="preserve">Vinclozolin</t>
  </si>
  <si>
    <t xml:space="preserve">b6e1f836-2b5c-4bd5-bc8c-af065ee7c230</t>
  </si>
  <si>
    <t xml:space="preserve">84aa799e-9d98-4d34-85e0-516d28ab1be9</t>
  </si>
  <si>
    <t xml:space="preserve">8d226423-1351-4366-b09f-d16c9e38683c</t>
  </si>
  <si>
    <t xml:space="preserve">b88999ec-84fd-462d-9dec-7e20a4636a58</t>
  </si>
  <si>
    <t xml:space="preserve">77887584-ddca-4920-952c-3609730e0c13</t>
  </si>
  <si>
    <t xml:space="preserve">02156abf-3839-5778-897a-4c06444701d4</t>
  </si>
  <si>
    <t xml:space="preserve">Zineb</t>
  </si>
  <si>
    <t xml:space="preserve">fb4f9b12-7ec0-59aa-8087-c6115d1fcd31</t>
  </si>
  <si>
    <t xml:space="preserve">Ziram</t>
  </si>
  <si>
    <t xml:space="preserve">03b40051-311b-5e37-aad1-ea811907cc90</t>
  </si>
  <si>
    <t xml:space="preserve">Zoxamide</t>
  </si>
  <si>
    <t xml:space="preserve">92681c17-2514-4151-aabf-baee3fd8e5f5</t>
  </si>
  <si>
    <t xml:space="preserve">tau-Fluvalinate</t>
  </si>
  <si>
    <t xml:space="preserve">5b7d620e-2238-5ec9-888a-6999218b6974</t>
  </si>
  <si>
    <t xml:space="preserve">1,3-Dioxolan-2-one</t>
  </si>
  <si>
    <t xml:space="preserve">water</t>
  </si>
  <si>
    <t xml:space="preserve">c5de5e4d-85cf-4102-9ff1-5248d8928ba1</t>
  </si>
  <si>
    <t xml:space="preserve">ground-</t>
  </si>
  <si>
    <t xml:space="preserve">564dde7f-e713-4baf-84aa-7a11ffa7e2cd</t>
  </si>
  <si>
    <t xml:space="preserve">ground-, long-term</t>
  </si>
  <si>
    <t xml:space="preserve">aae8aac7-b81d-41e4-b356-912b369d1c55</t>
  </si>
  <si>
    <t xml:space="preserve">ocean</t>
  </si>
  <si>
    <t xml:space="preserve">d6911d36-3fec-41fe-8ef9-540f6543a240</t>
  </si>
  <si>
    <t xml:space="preserve">surface water</t>
  </si>
  <si>
    <t xml:space="preserve">d835b7aa-288b-4b3a-966b-3f64f36ed220</t>
  </si>
  <si>
    <t xml:space="preserve">5074e239-b510-49aa-928c-fcdb462481d8</t>
  </si>
  <si>
    <t xml:space="preserve">cfa50eaf-a817-4352-b9fe-aa834240d269</t>
  </si>
  <si>
    <t xml:space="preserve">8d28a5b3-1b1c-41e9-9eba-90c607aad7db</t>
  </si>
  <si>
    <t xml:space="preserve">e4526360-b2a1-4e77-9f00-57dbfe228bde</t>
  </si>
  <si>
    <t xml:space="preserve">070dc6b3-0976-45a0-803e-0a87d7e96959</t>
  </si>
  <si>
    <t xml:space="preserve">7a41be00-7040-4097-99be-a8085e86bf5e</t>
  </si>
  <si>
    <t xml:space="preserve">4530576f-7f93-4c43-b13e-8cd2da98f501</t>
  </si>
  <si>
    <t xml:space="preserve">9d99096b-4e70-452b-9e3b-b2296613bc0f</t>
  </si>
  <si>
    <t xml:space="preserve">f3cf9958-739f-41c1-a679-f550cf0e9b6c</t>
  </si>
  <si>
    <t xml:space="preserve">109c3ee9-b9df-4c11-bd77-b8571773d9ad</t>
  </si>
  <si>
    <t xml:space="preserve">49b29466-706e-42c3-ac8c-f89f9530cb60</t>
  </si>
  <si>
    <t xml:space="preserve">c7dcf08c-f297-495b-b7db-f4f54799814b</t>
  </si>
  <si>
    <t xml:space="preserve">69bb7dd8-43bc-49ff-a67c-0eb8e82558d0</t>
  </si>
  <si>
    <t xml:space="preserve">e6367875-dd2b-4d12-8d03-94cf2e607815</t>
  </si>
  <si>
    <t xml:space="preserve">68f64fd1-01f5-43b4-b191-0aebfffcf293</t>
  </si>
  <si>
    <t xml:space="preserve">05136060-b6a6-4383-ae42-6ca90aeec59a</t>
  </si>
  <si>
    <t xml:space="preserve">e3d35475-3f5c-5099-9506-8cc81a188fb1</t>
  </si>
  <si>
    <t xml:space="preserve">2,4-di-tert-butylphenol</t>
  </si>
  <si>
    <t xml:space="preserve">22d1d385-5aa4-404d-8c14-2680ce4accb0</t>
  </si>
  <si>
    <t xml:space="preserve">d37d4cea-4096-4303-8d9d-96e48b8f9ff0</t>
  </si>
  <si>
    <t xml:space="preserve">3f00f5cf-1c58-428d-aef7-738f2c105e88</t>
  </si>
  <si>
    <t xml:space="preserve">96db42b8-64e4-4a84-9b16-cd8f73c615d6</t>
  </si>
  <si>
    <t xml:space="preserve">ea6f1100-7fe4-4f66-92cc-a69fe2dcca77</t>
  </si>
  <si>
    <t xml:space="preserve">d3f6f514-41e1-4b24-aa56-7d403839a4dd</t>
  </si>
  <si>
    <t xml:space="preserve">a0cb36a5-d726-4c6e-9787-971cc763d294</t>
  </si>
  <si>
    <t xml:space="preserve">76a317b6-1c35-4c75-bb00-1cd5ec8c8e17</t>
  </si>
  <si>
    <t xml:space="preserve">79240a49-80cf-4be4-b5c2-bfdd3f4aa249</t>
  </si>
  <si>
    <t xml:space="preserve">446e7a93-6ac4-4bdf-b97d-03f683c7488c</t>
  </si>
  <si>
    <t xml:space="preserve">efe94e38-a449-4817-94c1-7aedf1022714</t>
  </si>
  <si>
    <t xml:space="preserve">fc81e3b6-8538-4e74-9303-26cf397f19cb</t>
  </si>
  <si>
    <t xml:space="preserve">b5a8e697-f5ac-413f-828c-51f6aace2e36</t>
  </si>
  <si>
    <t xml:space="preserve">2df5a2fe-1ab2-48e7-a9a6-1085703b17be</t>
  </si>
  <si>
    <t xml:space="preserve">23868338-42bc-4baf-a9e2-8e84ff8c92f1</t>
  </si>
  <si>
    <t xml:space="preserve">697667f9-d58c-4a64-99e3-30d24d7f91a2</t>
  </si>
  <si>
    <t xml:space="preserve">56217fe7-9437-4131-9ae2-e4c4b07b3a64</t>
  </si>
  <si>
    <t xml:space="preserve">5b33703d-d6a1-4bde-88e7-3b90b4d45550</t>
  </si>
  <si>
    <t xml:space="preserve">caeb15fa-9711-4d37-99a2-d12c7823b8bc</t>
  </si>
  <si>
    <t xml:space="preserve">e92a1310-603c-4346-85b8-e4e3192cd75c</t>
  </si>
  <si>
    <t xml:space="preserve">2b8204fa-c9bf-5465-9aa2-d79024a19b1a</t>
  </si>
  <si>
    <t xml:space="preserve">2-chlorobenzaldehyde</t>
  </si>
  <si>
    <t xml:space="preserve">35f2e680-fd3b-4fce-8ae2-a700438aa097</t>
  </si>
  <si>
    <t xml:space="preserve">f9f1397d-ddd2-4568-9f32-6cac992f0c1e</t>
  </si>
  <si>
    <t xml:space="preserve">4df58e33-3e3e-4ae0-ad3c-36b5cfc7a541</t>
  </si>
  <si>
    <t xml:space="preserve">6abb5a34-7f0b-4a9a-8452-211a0ebee04d</t>
  </si>
  <si>
    <t xml:space="preserve">8114f79d-41eb-42f2-99d8-159db57d3bcb</t>
  </si>
  <si>
    <t xml:space="preserve">70c436a2-c304-4405-9230-dcfbb7b11dde</t>
  </si>
  <si>
    <t xml:space="preserve">4-Methyl-2-pentanol</t>
  </si>
  <si>
    <t xml:space="preserve">57cb82d2-19f4-4491-8ffc-f65f9ff7b418</t>
  </si>
  <si>
    <t xml:space="preserve">1911896c-5aff-4695-9cba-164b0ecd9199</t>
  </si>
  <si>
    <t xml:space="preserve">179c3a4c-4d0c-4928-b099-2652fac747cd</t>
  </si>
  <si>
    <t xml:space="preserve">56e7c4ee-29a0-4d90-a44d-ee7e7faade83</t>
  </si>
  <si>
    <t xml:space="preserve">b9fbef13-2fbf-4783-b7ff-b2ecabf2a55c</t>
  </si>
  <si>
    <t xml:space="preserve">663ca947-9c87-4fb3-885f-f65789a93671</t>
  </si>
  <si>
    <t xml:space="preserve">f6a4bdb1-d67e-4c00-adf3-df344701bde9</t>
  </si>
  <si>
    <t xml:space="preserve">1a19ad61-abd0-4d42-9828-8fae315c0b06</t>
  </si>
  <si>
    <t xml:space="preserve">f9d36529-abde-4ed2-a82c-d365ae2c713f</t>
  </si>
  <si>
    <t xml:space="preserve">a7831686-271e-4054-ac34-cf55814f902c</t>
  </si>
  <si>
    <t xml:space="preserve">AOX, Adsorbable Organic Halogen as Cl</t>
  </si>
  <si>
    <t xml:space="preserve">b5b4a44b-1d45-447f-b2b0-400d1069c733</t>
  </si>
  <si>
    <t xml:space="preserve">46e6f5f7-6541-494f-a9bb-66918fb5d592</t>
  </si>
  <si>
    <t xml:space="preserve">e395a1a3-6915-4b72-a533-ff1a82fc3da1</t>
  </si>
  <si>
    <t xml:space="preserve">a4f6341b-1762-4222-9024-bfd91f63588f</t>
  </si>
  <si>
    <t xml:space="preserve">0bc097f2-00ee-416f-a275-2c05d1e6d482</t>
  </si>
  <si>
    <t xml:space="preserve">26eb22d8-e0cf-45a6-b09e-b8609fe6c8eb</t>
  </si>
  <si>
    <t xml:space="preserve">a6ad3fc7-c019-454f-a899-43be7913a598</t>
  </si>
  <si>
    <t xml:space="preserve">5c238e5f-97c8-4837-8d67-48899ddd43be</t>
  </si>
  <si>
    <t xml:space="preserve">8732d8b5-7f41-498c-be37-5bcd7a802ee6</t>
  </si>
  <si>
    <t xml:space="preserve">a998fad5-65bc-4ea9-905b-df4d5e667358</t>
  </si>
  <si>
    <t xml:space="preserve">15b58430-7bd4-4c6c-967e-514538c85b8d</t>
  </si>
  <si>
    <t xml:space="preserve">9dc481e4-e4cd-4cb1-a03e-d539f774e958</t>
  </si>
  <si>
    <t xml:space="preserve">ec4a104f-eab5-4a06-bd0a-e1c34d888718</t>
  </si>
  <si>
    <t xml:space="preserve">7c02a013-712f-4588-bfd8-247078e0f4d8</t>
  </si>
  <si>
    <t xml:space="preserve">28b0681a-8e83-4997-be31-65e5a0a1a81f</t>
  </si>
  <si>
    <t xml:space="preserve">5411a599-120a-4a1e-8916-85d43841da24</t>
  </si>
  <si>
    <t xml:space="preserve">d4256abf-9f73-4373-b1c0-a9532663ba58</t>
  </si>
  <si>
    <t xml:space="preserve">7a65d41a-561b-4090-bd81-13672abce16f</t>
  </si>
  <si>
    <t xml:space="preserve">4b51a9d0-4100-49c1-8d47-ec47eb51c58a</t>
  </si>
  <si>
    <t xml:space="preserve">78a0fa8b-3e30-45c2-ad50-290c3b608c84</t>
  </si>
  <si>
    <t xml:space="preserve">27db07bb-7d5b-4e63-8f16-401781188148</t>
  </si>
  <si>
    <t xml:space="preserve">18452b50-8c57-41d2-bbdd-37996c455771</t>
  </si>
  <si>
    <t xml:space="preserve">061c7a46-3728-48fa-8240-7a8841e6ca6f</t>
  </si>
  <si>
    <t xml:space="preserve">3cea246d-706f-4280-ac52-3c7590e8fa7f</t>
  </si>
  <si>
    <t xml:space="preserve">d60f27da-703f-4c04-bad4-7e978a375205</t>
  </si>
  <si>
    <t xml:space="preserve">f2cdedb9-7723-4308-b2ef-ad20c93018af</t>
  </si>
  <si>
    <t xml:space="preserve">62ebd5d6-153a-463d-88c0-9fee5658d316</t>
  </si>
  <si>
    <t xml:space="preserve">0e8f17d0-3e52-4f6f-bef9-60f6007a7aab</t>
  </si>
  <si>
    <t xml:space="preserve">d78a3d22-4bed-4ad3-8a9c-1cc4645188d0</t>
  </si>
  <si>
    <t xml:space="preserve">f3841066-b23d-4c7a-94bd-791c55bd3e0f</t>
  </si>
  <si>
    <t xml:space="preserve">3cee5838-69ba-44f9-bc30-84f82bff2dd9</t>
  </si>
  <si>
    <t xml:space="preserve">a274b5ea-20b3-4216-b3bd-94ac589f1eaf</t>
  </si>
  <si>
    <t xml:space="preserve">b4604f84-4a09-412e-86ed-078533d9da5d</t>
  </si>
  <si>
    <t xml:space="preserve">cbaca555-e09c-4dc6-bdc3-60e6f8a784f9</t>
  </si>
  <si>
    <t xml:space="preserve">55d3e6b8-8b05-4ba4-b2f2-be761c3541aa</t>
  </si>
  <si>
    <t xml:space="preserve">Acetyl chloride</t>
  </si>
  <si>
    <t xml:space="preserve">3d36c0c1-aff6-4ec3-ba35-18831b9ef85e</t>
  </si>
  <si>
    <t xml:space="preserve">ec693fa1-9718-437a-8604-e916ff9d7b62</t>
  </si>
  <si>
    <t xml:space="preserve">d1528862-956f-4441-b2ac-cce8ae963805</t>
  </si>
  <si>
    <t xml:space="preserve">65bafee0-9f42-4788-af33-4df48d0e7f65</t>
  </si>
  <si>
    <t xml:space="preserve">3410aa09-a803-4bdc-8f10-f03f1760851a</t>
  </si>
  <si>
    <t xml:space="preserve">Acidity, unspecified</t>
  </si>
  <si>
    <t xml:space="preserve">645f66af-4b28-4b61-82fb-f30012cab42f</t>
  </si>
  <si>
    <t xml:space="preserve">372dc06d-0cc9-4f85-9e00-9d452f2d3c7a</t>
  </si>
  <si>
    <t xml:space="preserve">ce6e5657-5e48-472d-b67e-fab246234be6</t>
  </si>
  <si>
    <t xml:space="preserve">b37294bd-947d-4f35-b9e6-3eb259c05ff5</t>
  </si>
  <si>
    <t xml:space="preserve">233ed5ca-7df0-4cf6-9271-21459ecd5c23</t>
  </si>
  <si>
    <t xml:space="preserve">Acrylate, ion</t>
  </si>
  <si>
    <t xml:space="preserve">d18ec0cf-b4d2-43e6-abe2-19170a40659a</t>
  </si>
  <si>
    <t xml:space="preserve">6446e9ba-9cdd-410e-aae3-41d71d971750</t>
  </si>
  <si>
    <t xml:space="preserve">eabb67d6-08cc-4c6e-ad95-6509e778730a</t>
  </si>
  <si>
    <t xml:space="preserve">37f69770-85d0-4af3-a612-41e9d314f5bb</t>
  </si>
  <si>
    <t xml:space="preserve">ec9b8886-22ef-452b-9347-88dd1ab3a6a5</t>
  </si>
  <si>
    <t xml:space="preserve">58c3cf9c-f673-4897-9429-672bbb211e81</t>
  </si>
  <si>
    <t xml:space="preserve">06c8168d-a28d-4e23-9505-a0fb462f9367</t>
  </si>
  <si>
    <t xml:space="preserve">14059c6a-2b32-4818-a9dc-93b8f21df2b3</t>
  </si>
  <si>
    <t xml:space="preserve">2c5362e9-ff22-46b4-9dad-3c765df0ac3f</t>
  </si>
  <si>
    <t xml:space="preserve">0f8120d4-3365-4301-871c-b5d9716b008e</t>
  </si>
  <si>
    <t xml:space="preserve">d0bb3bc2-13e8-422e-acf0-ee5cc1e5e7be</t>
  </si>
  <si>
    <t xml:space="preserve">34550110-0552-46d2-b07d-6b9599892278</t>
  </si>
  <si>
    <t xml:space="preserve">073e0dba-bc0b-4c76-89e2-2988f2b49459</t>
  </si>
  <si>
    <t xml:space="preserve">928873e6-c391-447e-b503-fbeae3211df1</t>
  </si>
  <si>
    <t xml:space="preserve">921ddc9c-6898-4ad0-a00d-7c9add941c85</t>
  </si>
  <si>
    <t xml:space="preserve">Allyl chloride</t>
  </si>
  <si>
    <t xml:space="preserve">2e0c9efa-d55c-49db-8be3-0376d5921ff4</t>
  </si>
  <si>
    <t xml:space="preserve">01056d4b-f9b0-4dfc-b8d9-8407c8376efb</t>
  </si>
  <si>
    <t xml:space="preserve">0ace7678-a181-48e8-8728-d912a8b56c57</t>
  </si>
  <si>
    <t xml:space="preserve">97e498ec-f323-4ec6-bcc0-d8a4c853bae3</t>
  </si>
  <si>
    <t xml:space="preserve">7880e65c-0321-4295-ba55-3186ad36e489</t>
  </si>
  <si>
    <t xml:space="preserve">7b192eb2-644e-544a-9299-4a79cb4dd479</t>
  </si>
  <si>
    <t xml:space="preserve">Aluminium hydroxide</t>
  </si>
  <si>
    <t xml:space="preserve">395386b2-5696-4288-b076-adbdf2038dd3</t>
  </si>
  <si>
    <t xml:space="preserve">1d090e68-dd03-478b-82d4-09695ffc939a</t>
  </si>
  <si>
    <t xml:space="preserve">58a92690-aa80-4d3c-9443-9b48daa2daa4</t>
  </si>
  <si>
    <t xml:space="preserve">a3102816-c649-4240-b0d1-0e60b08371ec</t>
  </si>
  <si>
    <t xml:space="preserve">bd601c88-f05e-436a-b4ab-5b3d4fb29882</t>
  </si>
  <si>
    <t xml:space="preserve">8570c45a-8c78-4709-9b8f-fb88314d9e9d</t>
  </si>
  <si>
    <t xml:space="preserve">Ammonium sulfate</t>
  </si>
  <si>
    <t xml:space="preserve">736f52e8-9703-4076-8909-7ae80a7f8005</t>
  </si>
  <si>
    <t xml:space="preserve">Ammonium, ion</t>
  </si>
  <si>
    <t xml:space="preserve">130cedc6-f6ed-4f1b-bd1e-881177f79e74</t>
  </si>
  <si>
    <t xml:space="preserve">bc069d24-fbbd-4c05-8b6e-4089dc8249ae</t>
  </si>
  <si>
    <t xml:space="preserve">13331e67-6006-48c4-bdb4-340c12010036</t>
  </si>
  <si>
    <t xml:space="preserve">fb005c47-7b90-41f3-a5ca-f0eb11db354a</t>
  </si>
  <si>
    <t xml:space="preserve">044b9b1d-0406-4da9-bc8a-f180176e7ed9</t>
  </si>
  <si>
    <t xml:space="preserve">007de693-1d9e-40a5-a8b4-3d11bce8be9a</t>
  </si>
  <si>
    <t xml:space="preserve">129c8923-0927-4aef-bdac-7373b2898606</t>
  </si>
  <si>
    <t xml:space="preserve">ca389e38-d086-4527-914c-9c09ea14ae4d</t>
  </si>
  <si>
    <t xml:space="preserve">09f735ea-0a87-4e19-a660-d044db3a7118</t>
  </si>
  <si>
    <t xml:space="preserve">a93b1c8a-f6f3-4cfa-b83d-a655ff57ef6e</t>
  </si>
  <si>
    <t xml:space="preserve">9af49586-3387-4fe6-874c-f67d9fe87bd3</t>
  </si>
  <si>
    <t xml:space="preserve">b4c2f1fd-079a-4afc-8acb-67d1c4465c00</t>
  </si>
  <si>
    <t xml:space="preserve">aa87ecd1-b103-4f43-b8dc-d44785c43fd4</t>
  </si>
  <si>
    <t xml:space="preserve">d30c7d00-977b-44f7-bab1-eb11c2a5c589</t>
  </si>
  <si>
    <t xml:space="preserve">5df5cb9f-812c-4ce8-ab1c-df6ab4d31900</t>
  </si>
  <si>
    <t xml:space="preserve">83cf77ca-867b-4eef-b0f0-78d71b3d91d5</t>
  </si>
  <si>
    <t xml:space="preserve">7805afa2-d93b-40bb-b841-325b98aec824</t>
  </si>
  <si>
    <t xml:space="preserve">34b96163-a3df-4bc1-8224-e2a9fe01b23f</t>
  </si>
  <si>
    <t xml:space="preserve">b2dc8668-86de-4207-b20e-dc81dea63c98</t>
  </si>
  <si>
    <t xml:space="preserve">799f84ba-279d-422e-9b81-ff6f8e6214ed</t>
  </si>
  <si>
    <t xml:space="preserve">Antimony-122</t>
  </si>
  <si>
    <t xml:space="preserve">f6d61373-a3bc-41c8-9867-eefcd1eea3d6</t>
  </si>
  <si>
    <t xml:space="preserve">4944a14b-bbca-4a94-9a77-73f6832b9625</t>
  </si>
  <si>
    <t xml:space="preserve">ad1ed615-e2cf-49e3-bd34-4589b4583222</t>
  </si>
  <si>
    <t xml:space="preserve">84e56689-d3d4-4f9b-831d-e4e83046ce2c</t>
  </si>
  <si>
    <t xml:space="preserve">f9055607-c571-4903-85a8-7c20e3790c43</t>
  </si>
  <si>
    <t xml:space="preserve">0e066010-5511-4ce5-b7ff-446e58417a65</t>
  </si>
  <si>
    <t xml:space="preserve">232b8aaa-06a6-4940-b725-46470bc82864</t>
  </si>
  <si>
    <t xml:space="preserve">077b92b0-0610-48ba-9ff8-55c13e98364b</t>
  </si>
  <si>
    <t xml:space="preserve">64f81516-52e1-4ce6-a22c-84d3f7cc9a53</t>
  </si>
  <si>
    <t xml:space="preserve">a9141288-0e08-4e15-92c7-3617251c64aa</t>
  </si>
  <si>
    <t xml:space="preserve">16ff2790-3c88-4761-bb09-b91d981d2c30</t>
  </si>
  <si>
    <t xml:space="preserve">6a05e007-ce7e-4dd3-8cb7-54585031b8b5</t>
  </si>
  <si>
    <t xml:space="preserve">01f511e2-7030-45f0-abb7-c24a4fae698b</t>
  </si>
  <si>
    <t xml:space="preserve">fa194dc5-ad5d-4c1e-a8f4-9fedba38fe8d</t>
  </si>
  <si>
    <t xml:space="preserve">1f607ae2-b42d-4411-90b8-e9bbac66a554</t>
  </si>
  <si>
    <t xml:space="preserve">Arsenic, ion</t>
  </si>
  <si>
    <t xml:space="preserve">e60edb16-3c74-415b-9aff-a22a6f49fecb</t>
  </si>
  <si>
    <t xml:space="preserve">d70b4182-d633-4178-84c0-8854f5f6594b</t>
  </si>
  <si>
    <t xml:space="preserve">8c8ffaa5-84ed-4668-ba7d-80fd0f47013f</t>
  </si>
  <si>
    <t xml:space="preserve">e1bd008f-c3c2-47f1-ab60-35e1a842acc0</t>
  </si>
  <si>
    <t xml:space="preserve">e04d6f3d-1cb2-4ab1-aef9-fd0221028fe2</t>
  </si>
  <si>
    <t xml:space="preserve">fed759dd-dac7-4d8a-abd1-886fd858b654</t>
  </si>
  <si>
    <t xml:space="preserve">57c27ba7-a61a-4932-8cd5-095c88ff0245</t>
  </si>
  <si>
    <t xml:space="preserve">BOD5, Biological Oxygen Demand</t>
  </si>
  <si>
    <t xml:space="preserve">aedea697-930a-4a0e-9e4f-b9c369aa9a33</t>
  </si>
  <si>
    <t xml:space="preserve">f012d2d5-ebb4-4531-8285-0b98af3dcbd4</t>
  </si>
  <si>
    <t xml:space="preserve">70d467b6-115e-43c5-add2-441de9411348</t>
  </si>
  <si>
    <t xml:space="preserve">91955aba-6ebc-4413-9342-f0298860b4aa</t>
  </si>
  <si>
    <t xml:space="preserve">9c8ad71b-7d45-46f9-85eb-ae0fcb0eeeab</t>
  </si>
  <si>
    <t xml:space="preserve">Barite</t>
  </si>
  <si>
    <t xml:space="preserve">c975a4d6-eb2f-4607-9ddd-27577a37e3ba</t>
  </si>
  <si>
    <t xml:space="preserve">60ea7a31-8f27-46af-bfe5-66417f00088b</t>
  </si>
  <si>
    <t xml:space="preserve">e54cd899-0a5e-46b6-a43d-d555ac0af682</t>
  </si>
  <si>
    <t xml:space="preserve">17a7db69-d874-4ecd-af5d-48c98def445f</t>
  </si>
  <si>
    <t xml:space="preserve">d68f41b3-6887-49a8-8efa-96812f8ec9f6</t>
  </si>
  <si>
    <t xml:space="preserve">3184c902-c587-4fd7-bd89-769d3cf30072</t>
  </si>
  <si>
    <t xml:space="preserve">95ad40ec-c34b-49fc-a7dc-0e13172ac105</t>
  </si>
  <si>
    <t xml:space="preserve">2c872773-0a29-4831-93b9-d49b116fa7d5</t>
  </si>
  <si>
    <t xml:space="preserve">0e1c17ae-8144-4714-a7cd-786a5480f423</t>
  </si>
  <si>
    <t xml:space="preserve">2bf2965d-d5ce-5e65-ad9d-b0b636c70b20</t>
  </si>
  <si>
    <t xml:space="preserve">Barium sulfide</t>
  </si>
  <si>
    <t xml:space="preserve">18c5396a-1034-4226-a6f3-04c9963f8595</t>
  </si>
  <si>
    <t xml:space="preserve">eeb6beba-20d3-4edc-b356-be730db4aadb</t>
  </si>
  <si>
    <t xml:space="preserve">9126f418-0dec-4f1d-ac58-573cfa544ed0</t>
  </si>
  <si>
    <t xml:space="preserve">08439a5d-5036-4e9f-89df-08239a6dbc33</t>
  </si>
  <si>
    <t xml:space="preserve">36c37c87-0dbf-4e30-83e9-288825e113b2</t>
  </si>
  <si>
    <t xml:space="preserve">029af65d-7b19-4189-9c92-81fc03909665</t>
  </si>
  <si>
    <t xml:space="preserve">9288c80d-c5b0-485d-9b12-1f4122363db4</t>
  </si>
  <si>
    <t xml:space="preserve">ad3f2ad1-7386-4725-9b33-57392b5c22ac</t>
  </si>
  <si>
    <t xml:space="preserve">529aa6a5-092a-4b55-8e09-c56393808b5c</t>
  </si>
  <si>
    <t xml:space="preserve">174d35ab-9974-4e6c-bbaf-180f4ccc36bf</t>
  </si>
  <si>
    <t xml:space="preserve">324c68b1-5c09-4080-bb88-dd8b6c0f796d</t>
  </si>
  <si>
    <t xml:space="preserve">8205df0a-7e09-4b14-9391-1b149368fcf5</t>
  </si>
  <si>
    <t xml:space="preserve">cb29369f-6e3a-42b2-868c-1da562585995</t>
  </si>
  <si>
    <t xml:space="preserve">9c8a834a-23d4-54e6-9ecf-2855d468f208</t>
  </si>
  <si>
    <t xml:space="preserve">bbd89c3f-b232-49aa-8ce7-45758afe4479</t>
  </si>
  <si>
    <t xml:space="preserve">b2d24aee-5630-424a-be81-5b17b8db395a</t>
  </si>
  <si>
    <t xml:space="preserve">19108dfd-9b70-4fca-bac5-d523f8b5d3c0</t>
  </si>
  <si>
    <t xml:space="preserve">a1891db2-db98-45fc-ae0e-b3d3c17850c5</t>
  </si>
  <si>
    <t xml:space="preserve">31ba993d-f8aa-44c0-bae1-b6c2081144f6</t>
  </si>
  <si>
    <t xml:space="preserve">fb413172-7a53-458d-8bda-3a68d75f3421</t>
  </si>
  <si>
    <t xml:space="preserve">Benzene, chloro-</t>
  </si>
  <si>
    <t xml:space="preserve">3e757249-9471-4e91-94e1-27346cbc7b82</t>
  </si>
  <si>
    <t xml:space="preserve">57f4185b-38de-46af-a759-9333e0ba29c5</t>
  </si>
  <si>
    <t xml:space="preserve">e38eb567-b080-4f80-894c-f6984eec5119</t>
  </si>
  <si>
    <t xml:space="preserve">7f886a09-50b2-49c1-8fdf-d330c90556a1</t>
  </si>
  <si>
    <t xml:space="preserve">1f455f6d-473e-4a50-af39-26dde8cd6479</t>
  </si>
  <si>
    <t xml:space="preserve">4c94ff32-5e02-45c1-8bb0-bfd82bfa078f</t>
  </si>
  <si>
    <t xml:space="preserve">a5634f8a-d2f3-4e9a-8ee5-6f11234b9b1e</t>
  </si>
  <si>
    <t xml:space="preserve">4abbbc48-a8d0-4c3a-9dea-4e67f1505230</t>
  </si>
  <si>
    <t xml:space="preserve">3dd549fd-825c-4ceb-a5f9-2988d322dc5d</t>
  </si>
  <si>
    <t xml:space="preserve">5debbf40-9fc7-4115-b276-9dcae25f4cdd</t>
  </si>
  <si>
    <t xml:space="preserve">d02904aa-dc1a-43f2-86ce-b41aa9cab47c</t>
  </si>
  <si>
    <t xml:space="preserve">10df31ce-d6ad-42b6-8fb2-9dfdb588e9ec</t>
  </si>
  <si>
    <t xml:space="preserve">e36fb756-d9a7-4b07-a6cb-a1d204b4c350</t>
  </si>
  <si>
    <t xml:space="preserve">0017ce28-9f7a-404b-ad55-d3f43ad13cae</t>
  </si>
  <si>
    <t xml:space="preserve">6d69a034-5e39-4181-a1e8-00932c086908</t>
  </si>
  <si>
    <t xml:space="preserve">e0d8e366-5778-4dc2-aefd-2eb2e40f4066</t>
  </si>
  <si>
    <t xml:space="preserve">a2bdcca0-8d6b-4dd3-af0e-df1e2bc99107</t>
  </si>
  <si>
    <t xml:space="preserve">cf2cfb56-f662-45cc-b124-3917573c37c0</t>
  </si>
  <si>
    <t xml:space="preserve">785e9314-ccf6-4229-98c5-37881d624fc9</t>
  </si>
  <si>
    <t xml:space="preserve">b7d33401-f34b-4571-a10d-82f7b38b32ea</t>
  </si>
  <si>
    <t xml:space="preserve">Benzyl alcohol</t>
  </si>
  <si>
    <t xml:space="preserve">f1f38546-77eb-41ae-8810-bfcf66aa6a18</t>
  </si>
  <si>
    <t xml:space="preserve">7c73768b-438b-4374-a4c1-486d35b4cb76</t>
  </si>
  <si>
    <t xml:space="preserve">096bf756-c3fa-4470-9059-ac1b059081e0</t>
  </si>
  <si>
    <t xml:space="preserve">5934e254-ca2a-4cd8-92fa-3c9bbf1779ec</t>
  </si>
  <si>
    <t xml:space="preserve">fa89c354-2263-4ed2-ac56-99946be5c665</t>
  </si>
  <si>
    <t xml:space="preserve">24e0a9cb-a789-46e2-a25c-0278a90d67e5</t>
  </si>
  <si>
    <t xml:space="preserve">7672267f-4541-4c9a-9ca0-ec2f41b95cbc</t>
  </si>
  <si>
    <t xml:space="preserve">276e755c-ed57-466a-b555-4658c791f385</t>
  </si>
  <si>
    <t xml:space="preserve">8d0ca1a5-6a40-4eda-861a-a0fccdc81b19</t>
  </si>
  <si>
    <t xml:space="preserve">26e10723-d896-54ec-ab5b-5a4804d2f9ba</t>
  </si>
  <si>
    <t xml:space="preserve">Bicarbonate, ion</t>
  </si>
  <si>
    <t xml:space="preserve">0bb38d46-04e7-52f2-99de-5861a8220a49</t>
  </si>
  <si>
    <t xml:space="preserve">Bisphenol A</t>
  </si>
  <si>
    <t xml:space="preserve">cb7e3e15-ab58-4ef4-8cd0-361511d3b5fe</t>
  </si>
  <si>
    <t xml:space="preserve">Borate</t>
  </si>
  <si>
    <t xml:space="preserve">75b31763-0b3b-449f-84b8-12c6ada70903</t>
  </si>
  <si>
    <t xml:space="preserve">2ce73c7e-01b7-4fc0-a995-0e3785d5277d</t>
  </si>
  <si>
    <t xml:space="preserve">0a11b30c-b502-414a-8b73-31375233cc17</t>
  </si>
  <si>
    <t xml:space="preserve">d493b514-f36d-482f-a978-63b5a1889bc2</t>
  </si>
  <si>
    <t xml:space="preserve">242b4a08-f6ff-496d-ae0f-bf8f8bc77692</t>
  </si>
  <si>
    <t xml:space="preserve">061d04a0-af1d-4884-bdd3-997b6cd5550f</t>
  </si>
  <si>
    <t xml:space="preserve">5baed830-f676-4031-a036-8a9599bd7237</t>
  </si>
  <si>
    <t xml:space="preserve">94e22edc-fe4b-4bab-9a09-a081595389cc</t>
  </si>
  <si>
    <t xml:space="preserve">4a15cd40-96e6-4912-8298-c0fa8f9e2aee</t>
  </si>
  <si>
    <t xml:space="preserve">dccaaabc-673d-40bb-a030-1fd0543a3a2a</t>
  </si>
  <si>
    <t xml:space="preserve">4ba71de1-43c2-42fe-b477-93423ad2213c</t>
  </si>
  <si>
    <t xml:space="preserve">965244c8-43ad-4629-91df-43c845d391e5</t>
  </si>
  <si>
    <t xml:space="preserve">cfd4f0cb-8f13-4d7b-a3a7-ea454aa7643a</t>
  </si>
  <si>
    <t xml:space="preserve">60b42f10-f538-4d77-ad4a-e83282f929e8</t>
  </si>
  <si>
    <t xml:space="preserve">847e2add-25db-48d1-bb50-6411e82a94c5</t>
  </si>
  <si>
    <t xml:space="preserve">Bromate</t>
  </si>
  <si>
    <t xml:space="preserve">fc1e35a8-88d4-4baf-a41a-563af2af9174</t>
  </si>
  <si>
    <t xml:space="preserve">5a04372c-ac1c-45a8-b386-b0fa174c09da</t>
  </si>
  <si>
    <t xml:space="preserve">d1fd0de4-afa8-4385-b91b-023493b68782</t>
  </si>
  <si>
    <t xml:space="preserve">506fe866-1081-4152-a19d-b50825f99d83</t>
  </si>
  <si>
    <t xml:space="preserve">4e18ab09-6c53-4b79-8cd1-3ad13e41d975</t>
  </si>
  <si>
    <t xml:space="preserve">Bromide</t>
  </si>
  <si>
    <t xml:space="preserve">bdd362be-db9c-4232-90e7-c11dee030e82</t>
  </si>
  <si>
    <t xml:space="preserve">1a6a1429-fd97-48cb-b7b7-3433f2fb16f9</t>
  </si>
  <si>
    <t xml:space="preserve">e29dddef-173f-4a4b-8265-b3d1703bc204</t>
  </si>
  <si>
    <t xml:space="preserve">72b26150-457e-47b6-a77c-987c2e76f704</t>
  </si>
  <si>
    <t xml:space="preserve">b311427f-0de3-4190-84a5-05c8460c62d1</t>
  </si>
  <si>
    <t xml:space="preserve">20bc9500-2e2f-4cba-9332-8ea17d362aba</t>
  </si>
  <si>
    <t xml:space="preserve">b2208d0f-61a7-4813-9861-af03bf496a05</t>
  </si>
  <si>
    <t xml:space="preserve">bac53020-1fed-4119-9242-33e4a2597560</t>
  </si>
  <si>
    <t xml:space="preserve">b935e766-fece-4a4f-8f60-b735ea7b214d</t>
  </si>
  <si>
    <t xml:space="preserve">f918799d-98d3-5d5d-b02f-480b340d038c</t>
  </si>
  <si>
    <t xml:space="preserve">370bbcdd-6395-4af8-b049-fc5f7339a437</t>
  </si>
  <si>
    <t xml:space="preserve">35ef9eb3-94a1-461d-bba6-db939f22e0be</t>
  </si>
  <si>
    <t xml:space="preserve">e756c84e-65d1-487b-aa76-91c9c8adff16</t>
  </si>
  <si>
    <t xml:space="preserve">370e587f-58ad-4bc7-ad35-9605b6dcd138</t>
  </si>
  <si>
    <t xml:space="preserve">20c6c6d7-904c-4d33-923e-80e8ae7ee199</t>
  </si>
  <si>
    <t xml:space="preserve">f6e3ce3b-ce57-4313-ac88-59a8361925cf</t>
  </si>
  <si>
    <t xml:space="preserve">b50d8d03-7e88-4b29-9d10-67bbe01bdbc6</t>
  </si>
  <si>
    <t xml:space="preserve">8b36dc51-b9d4-4141-96d9-9183f6198a20</t>
  </si>
  <si>
    <t xml:space="preserve">1f96681c-1f2c-433e-8c60-45b66dc3ec01</t>
  </si>
  <si>
    <t xml:space="preserve">c4c2bc7a-c7c2-4ace-9d25-152b25cb1a07</t>
  </si>
  <si>
    <t xml:space="preserve">6ce302db-96b8-4a21-9237-050ecde39aee</t>
  </si>
  <si>
    <t xml:space="preserve">700969dc-4def-4093-98a0-adbb65771fcd</t>
  </si>
  <si>
    <t xml:space="preserve">7bbbbe10-92d9-4760-99ac-a9c6bd0985f2</t>
  </si>
  <si>
    <t xml:space="preserve">8a3e8643-00f3-4a90-8ed3-a9561debcf05</t>
  </si>
  <si>
    <t xml:space="preserve">eba895b4-a7a4-4b63-bd95-0239b3db7730</t>
  </si>
  <si>
    <t xml:space="preserve">487b617a-40fc-4968-bfac-91cbe400f163</t>
  </si>
  <si>
    <t xml:space="preserve">7198aaf8-0acc-428d-8da0-558911e24f95</t>
  </si>
  <si>
    <t xml:space="preserve">5bb486eb-29db-4b80-bb79-c7023c0d5756</t>
  </si>
  <si>
    <t xml:space="preserve">251ad87f-5bfb-4eb5-8a00-5050e1782263</t>
  </si>
  <si>
    <t xml:space="preserve">189372b3-0e83-4ee0-bf62-b65925068657</t>
  </si>
  <si>
    <t xml:space="preserve">90a31971-00a7-4493-a920-6df37926a047</t>
  </si>
  <si>
    <t xml:space="preserve">681a6b38-cc7c-4968-aedc-80ce8033a101</t>
  </si>
  <si>
    <t xml:space="preserve">9c2e78e0-38d7-4eb7-a40f-31c7308b1dd6</t>
  </si>
  <si>
    <t xml:space="preserve">be10dd54-eb4d-48ae-9e14-7d79ce8b170d</t>
  </si>
  <si>
    <t xml:space="preserve">COD, Chemical Oxygen Demand</t>
  </si>
  <si>
    <t xml:space="preserve">a8fea8cf-9b09-49fc-aa58-5a732494a2a0</t>
  </si>
  <si>
    <t xml:space="preserve">ec76fb5c-b402-416b-825c-53e074fe7525</t>
  </si>
  <si>
    <t xml:space="preserve">fc0b5c85-3b49-42c2-a3fd-db7e57b696e3</t>
  </si>
  <si>
    <t xml:space="preserve">961ccd56-2eee-4f57-bb18-fc4362b49000</t>
  </si>
  <si>
    <t xml:space="preserve">3937f5a5-b4a4-434d-9fc3-1d29064fc3f8</t>
  </si>
  <si>
    <t xml:space="preserve">Cadmium, ion</t>
  </si>
  <si>
    <t xml:space="preserve">4ce23896-a82f-49f1-a8e3-8848734805a3</t>
  </si>
  <si>
    <t xml:space="preserve">62fcd384-906d-474f-a84b-9f944b78f804</t>
  </si>
  <si>
    <t xml:space="preserve">af83b42f-a4e6-4457-be74-46a87798f82a</t>
  </si>
  <si>
    <t xml:space="preserve">2712fe5f-0d3c-4c8e-8bc4-26c604413849</t>
  </si>
  <si>
    <t xml:space="preserve">66c00128-8ffd-43c2-9933-e1a9866d2b60</t>
  </si>
  <si>
    <t xml:space="preserve">Cadmium-109</t>
  </si>
  <si>
    <t xml:space="preserve">5e07e604-b797-4718-9dc3-be6f4f3319e4</t>
  </si>
  <si>
    <t xml:space="preserve">392a6b72-ff68-44ab-9d43-84295ddc307b</t>
  </si>
  <si>
    <t xml:space="preserve">1c321b9e-b832-4107-ada7-ef31cd78ceac</t>
  </si>
  <si>
    <t xml:space="preserve">86ca2828-78b4-40f2-ad29-b80c4fd7a7d3</t>
  </si>
  <si>
    <t xml:space="preserve">1d0f4392-8c91-4d01-8a5d-f8fe1f5b05c9</t>
  </si>
  <si>
    <t xml:space="preserve">Calcium, ion</t>
  </si>
  <si>
    <t xml:space="preserve">ae28c923-a4a3-4f00-b862-1ae6e748efb9</t>
  </si>
  <si>
    <t xml:space="preserve">55bf893f-0d89-429c-be59-2f99b33ddb11</t>
  </si>
  <si>
    <t xml:space="preserve">ac066c02-b403-407b-a1f0-b29ad0f8188f</t>
  </si>
  <si>
    <t xml:space="preserve">08151735-9d1b-4b1c-a8b1-f341ade54f2f</t>
  </si>
  <si>
    <t xml:space="preserve">ea348137-f175-4ec7-a6a8-a4854260659a</t>
  </si>
  <si>
    <t xml:space="preserve">aba012db-c837-4d42-8679-4436e19a5944</t>
  </si>
  <si>
    <t xml:space="preserve">c8ab38a2-3cb8-4d6f-82cb-4a8f9b17709a</t>
  </si>
  <si>
    <t xml:space="preserve">85e6e865-0116-406a-b60d-4e88e2cf8c26</t>
  </si>
  <si>
    <t xml:space="preserve">36b303da-afe4-449b-92ac-b16226cbadd5</t>
  </si>
  <si>
    <t xml:space="preserve">9c8c0e5d-5315-44b9-81e6-e447e5cb869c</t>
  </si>
  <si>
    <t xml:space="preserve">38574d8f-e0f9-4a7c-8edc-70193e608c57</t>
  </si>
  <si>
    <t xml:space="preserve">6fae9979-43ec-4675-8714-671731b4e283</t>
  </si>
  <si>
    <t xml:space="preserve">03606bd1-8f71-4667-9b93-4f5e3b28249e</t>
  </si>
  <si>
    <t xml:space="preserve">df5f3f08-b71d-4816-b861-59604c1e6f11</t>
  </si>
  <si>
    <t xml:space="preserve">ba9971e7-1210-4215-ae3a-5c67e0949848</t>
  </si>
  <si>
    <t xml:space="preserve">c18f9e43-e4ad-4b3a-8ed8-638fe8015425</t>
  </si>
  <si>
    <t xml:space="preserve">a4403b63-270d-4995-a249-8e31763ce5d7</t>
  </si>
  <si>
    <t xml:space="preserve">Carbonate</t>
  </si>
  <si>
    <t xml:space="preserve">f4268d83-c423-4369-b9f1-34736ca4e983</t>
  </si>
  <si>
    <t xml:space="preserve">0d213eaa-6dec-4669-b75e-4afeb06ac31d</t>
  </si>
  <si>
    <t xml:space="preserve">2c931139-2463-4abd-9dc0-3523477499db</t>
  </si>
  <si>
    <t xml:space="preserve">4ccf69ef-e377-4cac-b188-5c9c58cefa56</t>
  </si>
  <si>
    <t xml:space="preserve">81170b91-3f8b-425d-b927-ac6b6466b689</t>
  </si>
  <si>
    <t xml:space="preserve">Carboxylic acids, unspecified</t>
  </si>
  <si>
    <t xml:space="preserve">d7e798b0-18c9-495e-a590-e3fc7d5491ba</t>
  </si>
  <si>
    <t xml:space="preserve">5bf42116-d991-4688-bf12-e3a6d9330b68</t>
  </si>
  <si>
    <t xml:space="preserve">ad66ad26-6fee-4457-b99b-ad8476062ca1</t>
  </si>
  <si>
    <t xml:space="preserve">017be306-b88a-4d3a-a906-b8734b72b6fb</t>
  </si>
  <si>
    <t xml:space="preserve">f25e1900-11a4-4a01-b01b-f8f69d2d321e</t>
  </si>
  <si>
    <t xml:space="preserve">f220167e-b2ed-4013-b17b-9582bde678fc</t>
  </si>
  <si>
    <t xml:space="preserve">7847f01b-edfa-4957-85f5-78983331b4bb</t>
  </si>
  <si>
    <t xml:space="preserve">af99ce19-4a31-4c6f-b050-491e2b6f1ad1</t>
  </si>
  <si>
    <t xml:space="preserve">c1666cdb-dfd8-4060-9e2a-3ded00878a2d</t>
  </si>
  <si>
    <t xml:space="preserve">fbd71c32-a7ce-4e35-a0c0-b52f2b84a772</t>
  </si>
  <si>
    <t xml:space="preserve">031a15fd-8cd2-49f5-ada6-526313c6e457</t>
  </si>
  <si>
    <t xml:space="preserve">851041af-3457-4462-96c0-3ba64f8e112d</t>
  </si>
  <si>
    <t xml:space="preserve">6f020607-b818-408d-a4b0-2c6465a6826d</t>
  </si>
  <si>
    <t xml:space="preserve">36a50e5a-1e00-4935-aa35-2a331d9a4045</t>
  </si>
  <si>
    <t xml:space="preserve">a5e13836-93f3-4a63-8e5e-944ac627bced</t>
  </si>
  <si>
    <t xml:space="preserve">2267ffd7-fe74-441e-873b-dd66c26a5e9f</t>
  </si>
  <si>
    <t xml:space="preserve">e189eb4e-0f6a-4054-aaf8-47df28c87ec4</t>
  </si>
  <si>
    <t xml:space="preserve">96f0a692-ddb9-4a4c-8236-7c943929653d</t>
  </si>
  <si>
    <t xml:space="preserve">59570d74-fac9-446d-88a7-5c5b0a6139a7</t>
  </si>
  <si>
    <t xml:space="preserve">e651d762-8bf6-45a3-ba3c-33e1539f714f</t>
  </si>
  <si>
    <t xml:space="preserve">3860fbca-8a2b-4297-803b-55ee227cab79</t>
  </si>
  <si>
    <t xml:space="preserve">5e09ac47-20a5-46d5-a360-60586cf30478</t>
  </si>
  <si>
    <t xml:space="preserve">fe9552bd-49c9-4e37-8c13-eeee4ddb8e34</t>
  </si>
  <si>
    <t xml:space="preserve">9d9246d4-0ce3-4b47-8491-cf62e562ad38</t>
  </si>
  <si>
    <t xml:space="preserve">d690e120-d392-4145-909f-5c3c3c705b69</t>
  </si>
  <si>
    <t xml:space="preserve">Cesium-136</t>
  </si>
  <si>
    <t xml:space="preserve">f577fd0b-1d06-40cb-9c9f-682d12b9515f</t>
  </si>
  <si>
    <t xml:space="preserve">632fa42c-5c55-471a-a7cb-9cc1256f4e87</t>
  </si>
  <si>
    <t xml:space="preserve">fd000a8d-2e90-4042-b148-cfb6bdfbbff5</t>
  </si>
  <si>
    <t xml:space="preserve">f522291f-df84-496b-90c9-433bc6a66a5b</t>
  </si>
  <si>
    <t xml:space="preserve">0c5de0d2-eb1e-4afe-a8de-b600d899516f</t>
  </si>
  <si>
    <t xml:space="preserve">6fccbcea-27bd-4368-8db2-7ce5aa3b0c80</t>
  </si>
  <si>
    <t xml:space="preserve">0097bf60-3729-40b6-94d0-06bd6146cfc2</t>
  </si>
  <si>
    <t xml:space="preserve">42901ad7-4be5-47d9-82cd-380ca34281c1</t>
  </si>
  <si>
    <t xml:space="preserve">8bbe0b4c-5c9c-4959-a878-572f680e428d</t>
  </si>
  <si>
    <t xml:space="preserve">cc83ea17-d066-4751-b8e6-659f68771ade</t>
  </si>
  <si>
    <t xml:space="preserve">890c5bad-2446-483f-bc18-e8e514d866f2</t>
  </si>
  <si>
    <t xml:space="preserve">82fa5668-89f9-491a-ad61-67ec56d2e744</t>
  </si>
  <si>
    <t xml:space="preserve">398ff31a-d870-4542-8ce0-9fea0e7d8110</t>
  </si>
  <si>
    <t xml:space="preserve">60823a33-948a-4d5f-a07a-b9085202935d</t>
  </si>
  <si>
    <t xml:space="preserve">b12d380e-4a5a-40a7-89da-76a6c3b97bd2</t>
  </si>
  <si>
    <t xml:space="preserve">Chlorate</t>
  </si>
  <si>
    <t xml:space="preserve">2f34359c-ba87-42d9-8be4-4f38b6d5af37</t>
  </si>
  <si>
    <t xml:space="preserve">064ac501-cea3-42fc-918c-6b17c113a764</t>
  </si>
  <si>
    <t xml:space="preserve">25131632-4b24-4625-8940-60d00385dad5</t>
  </si>
  <si>
    <t xml:space="preserve">024e919d-91ee-47c7-9f0b-ebe851cc61fb</t>
  </si>
  <si>
    <t xml:space="preserve">85bec19f-c785-4364-8ef6-472b8e9dd90e</t>
  </si>
  <si>
    <t xml:space="preserve">ea70cc93-c68c-4228-8b8e-1b189b4c705c</t>
  </si>
  <si>
    <t xml:space="preserve">97818104-9cc2-4323-97d5-c896ce171f86</t>
  </si>
  <si>
    <t xml:space="preserve">5e050fab-1837-4c42-b597-ed2f376f768f</t>
  </si>
  <si>
    <t xml:space="preserve">6d25e386-4ef9-4d40-85c6-e694f523a4da</t>
  </si>
  <si>
    <t xml:space="preserve">c4e01cfb-2f50-52d5-8177-1518ad8b7bea</t>
  </si>
  <si>
    <t xml:space="preserve">Chloride, ion</t>
  </si>
  <si>
    <t xml:space="preserve">bd7b7cdb-34ff-422c-b994-6f0fe77a901f</t>
  </si>
  <si>
    <t xml:space="preserve">Chlorides, unspecified</t>
  </si>
  <si>
    <t xml:space="preserve">e12889f1-01f0-4e2f-8ec7-247350cfff75</t>
  </si>
  <si>
    <t xml:space="preserve">f3cc1709-0e3c-4598-8ac9-825f969bf919</t>
  </si>
  <si>
    <t xml:space="preserve">6b9753b0-7284-4dd1-891b-01ba9f3fe5f7</t>
  </si>
  <si>
    <t xml:space="preserve">0561e8f7-bb2b-45b7-b4ab-e750f6842981</t>
  </si>
  <si>
    <t xml:space="preserve">f6f5933a-5119-41aa-a5ec-7919706c59f2</t>
  </si>
  <si>
    <t xml:space="preserve">d17f1c53-ff95-4005-9f1b-131ca9791cdb</t>
  </si>
  <si>
    <t xml:space="preserve">38f4e3d4-1c23-4af8-a2af-7d897083ccb7</t>
  </si>
  <si>
    <t xml:space="preserve">fc4ff051-df48-4071-9f34-2242d9110ef0</t>
  </si>
  <si>
    <t xml:space="preserve">ce312691-69ee-4cdb-9bd6-f717955b94b8</t>
  </si>
  <si>
    <t xml:space="preserve">e8641a14-fd07-4090-8daf-2cce2a557a81</t>
  </si>
  <si>
    <t xml:space="preserve">327212ad-eac9-49f2-afc3-26520e60c951</t>
  </si>
  <si>
    <t xml:space="preserve">f2127292-61a1-43a3-bae2-fab282d5e941</t>
  </si>
  <si>
    <t xml:space="preserve">8b9be7e6-c6c3-42d2-a92d-24e584b23ea7</t>
  </si>
  <si>
    <t xml:space="preserve">a0a9fc24-9752-434a-b115-96d161bf5059</t>
  </si>
  <si>
    <t xml:space="preserve">c8bd2194-b2fc-47c3-bd0b-3341e4b23970</t>
  </si>
  <si>
    <t xml:space="preserve">fa0d6d19-f82c-4e51-bfad-43a187f6662b</t>
  </si>
  <si>
    <t xml:space="preserve">Chloroacetyl chloride</t>
  </si>
  <si>
    <t xml:space="preserve">4f5e79fc-b595-4b7e-8133-c2febbf75107</t>
  </si>
  <si>
    <t xml:space="preserve">21501e81-6395-4404-9cd6-001c6a686fd1</t>
  </si>
  <si>
    <t xml:space="preserve">bcbf2ad9-c338-4e11-be56-9e07113dafb3</t>
  </si>
  <si>
    <t xml:space="preserve">dcfaa97f-8eb6-4aa4-822f-2b0dc3e89df9</t>
  </si>
  <si>
    <t xml:space="preserve">cbe3d924-dd94-4208-bdbc-9aed29bbc770</t>
  </si>
  <si>
    <t xml:space="preserve">4f7ebc48-dbe2-4dd9-be92-e81f22520694</t>
  </si>
  <si>
    <t xml:space="preserve">d08cd491-53a2-4b2c-a385-08c76cf09e6b</t>
  </si>
  <si>
    <t xml:space="preserve">ec2c6f72-1ca3-428b-90e5-e9feb4b58381</t>
  </si>
  <si>
    <t xml:space="preserve">3d5051b0-08d6-40ef-8d0c-de90edb39c39</t>
  </si>
  <si>
    <t xml:space="preserve">6eb5976c-c1e1-4e3e-a362-a46054941573</t>
  </si>
  <si>
    <t xml:space="preserve">ae521be9-6534-4962-9183-3d36c4c74201</t>
  </si>
  <si>
    <t xml:space="preserve">d9de01f7-815c-4946-b10f-02972805260a</t>
  </si>
  <si>
    <t xml:space="preserve">85727faa-6607-4834-a34c-45a742a24c29</t>
  </si>
  <si>
    <t xml:space="preserve">26202571-16f9-48c3-bf4d-e9c189f43b2c</t>
  </si>
  <si>
    <t xml:space="preserve">e6a2b657-56ef-48b2-a62c-03d1980bc3f1</t>
  </si>
  <si>
    <t xml:space="preserve">88170f48-29c2-4dcf-9042-8b9d6efb088c</t>
  </si>
  <si>
    <t xml:space="preserve">20a718fc-d376-4ca0-a7d5-a45026c936ab</t>
  </si>
  <si>
    <t xml:space="preserve">0098b967-2131-43d2-b684-254583fbadc7</t>
  </si>
  <si>
    <t xml:space="preserve">46f9fcc3-e595-4252-897e-0e5a997333f0</t>
  </si>
  <si>
    <t xml:space="preserve">9bbae55a-35de-4eff-a219-814a9fec5ac2</t>
  </si>
  <si>
    <t xml:space="preserve">ef475b50-9cd0-4e7c-9c59-07868fe16e91</t>
  </si>
  <si>
    <t xml:space="preserve">81b3321a-c9d8-4104-a974-5460f1bc5029</t>
  </si>
  <si>
    <t xml:space="preserve">8216fc31-15a1-4d33-858f-e09650b14c63</t>
  </si>
  <si>
    <t xml:space="preserve">a9ec0c9b-982a-4329-99ae-dab1f9fb62d3</t>
  </si>
  <si>
    <t xml:space="preserve">1c87de06-e58f-4684-a54c-d29f1a251a87</t>
  </si>
  <si>
    <t xml:space="preserve">Chromium, ion</t>
  </si>
  <si>
    <t xml:space="preserve">d9c23a8d-e7bf-4f70-8d22-b9ad8a653204</t>
  </si>
  <si>
    <t xml:space="preserve">d98f0ec0-bf19-4c90-a457-a8593dec497f</t>
  </si>
  <si>
    <t xml:space="preserve">e34d3da4-a3d5-41be-84b5-458afe32c990</t>
  </si>
  <si>
    <t xml:space="preserve">30f484ee-dec4-47ae-8e92-d00d4b93fe05</t>
  </si>
  <si>
    <t xml:space="preserve">a1a91001-5a20-42d4-b146-21fb2850f0b1</t>
  </si>
  <si>
    <t xml:space="preserve">0539c713-83e6-49d1-8738-1ba43e8bc2f8</t>
  </si>
  <si>
    <t xml:space="preserve">2c86a9d8-2cd6-409a-8e5c-86fc3b52bf97</t>
  </si>
  <si>
    <t xml:space="preserve">7529a948-b5ac-4eb9-8349-2a3677b8fe14</t>
  </si>
  <si>
    <t xml:space="preserve">45f68c2b-742e-4d50-ad67-77ca7278db75</t>
  </si>
  <si>
    <t xml:space="preserve">531c5bca-0304-4c3f-a058-c60371df26fb</t>
  </si>
  <si>
    <t xml:space="preserve">f0d1c319-249f-4a89-b0e7-3a5a90a54036</t>
  </si>
  <si>
    <t xml:space="preserve">1e904267-caa3-40e6-a3a0-fc104489770b</t>
  </si>
  <si>
    <t xml:space="preserve">caf066cf-40ce-47a8-ba4c-969fcd6019c7</t>
  </si>
  <si>
    <t xml:space="preserve">d4291dd5-dae8-47fa-bf06-466fcecbc210</t>
  </si>
  <si>
    <t xml:space="preserve">33627701-feca-434d-a192-674a450eaaf7</t>
  </si>
  <si>
    <t xml:space="preserve">9264841b-f371-46e6-8a99-6cdfe2831c77</t>
  </si>
  <si>
    <t xml:space="preserve">2c668435-93b1-4a68-8b7c-f32f65615d37</t>
  </si>
  <si>
    <t xml:space="preserve">71ddd53a-4720-49b5-86c9-9ab899365630</t>
  </si>
  <si>
    <t xml:space="preserve">de30c59a-c312-4a4e-8025-df5aa48c83e3</t>
  </si>
  <si>
    <t xml:space="preserve">5967eadd-dc30-43a2-b195-edcc48350447</t>
  </si>
  <si>
    <t xml:space="preserve">c05a4d81-570d-4393-8dc7-f0fdf06094a0</t>
  </si>
  <si>
    <t xml:space="preserve">4bd82b24-9226-4ee0-a812-a3b9247334f3</t>
  </si>
  <si>
    <t xml:space="preserve">7ad30e1c-f353-41c9-b61e-48fb5a07acef</t>
  </si>
  <si>
    <t xml:space="preserve">f7fc4f19-e01f-4909-aab5-f7612354e7a0</t>
  </si>
  <si>
    <t xml:space="preserve">4a838a42-fa78-4b0a-92f9-588a3660809b</t>
  </si>
  <si>
    <t xml:space="preserve">9d9bcab1-3c01-4e4b-a876-9b15c623735c</t>
  </si>
  <si>
    <t xml:space="preserve">14cf8478-945a-47c6-91b2-f1f8293549b2</t>
  </si>
  <si>
    <t xml:space="preserve">83fa5f74-baa4-46d3-a8b4-ada4379b70a3</t>
  </si>
  <si>
    <t xml:space="preserve">0fc1db69-f50d-4a88-b9d8-1446e691063c</t>
  </si>
  <si>
    <t xml:space="preserve">8d8e393e-39c4-44e1-b424-8eeefcd33560</t>
  </si>
  <si>
    <t xml:space="preserve">c3b659e5-35f1-408c-8cb5-b5f9b295c76e</t>
  </si>
  <si>
    <t xml:space="preserve">Copper, ion</t>
  </si>
  <si>
    <t xml:space="preserve">40229ebf-9346-4f20-910a-f8ea3bd88d44</t>
  </si>
  <si>
    <t xml:space="preserve">d8f9ccf6-fd32-4348-83c0-1cee724af9ae</t>
  </si>
  <si>
    <t xml:space="preserve">6d9550e2-e670-44c1-bad8-c0c4975ffca7</t>
  </si>
  <si>
    <t xml:space="preserve">615b1460-6860-4cf6-8678-ad92c03c5e8b</t>
  </si>
  <si>
    <t xml:space="preserve">4b4530b5-89d5-4127-b8a5-96fc50972e26</t>
  </si>
  <si>
    <t xml:space="preserve">Cu-HDO</t>
  </si>
  <si>
    <t xml:space="preserve">10ee0828-0340-4fe0-a3df-a9f3a8c6d939</t>
  </si>
  <si>
    <t xml:space="preserve">36bc473e-7f7c-4447-967d-18af3d5220bc</t>
  </si>
  <si>
    <t xml:space="preserve">a90f1d06-243f-4d12-8779-50fbf8d4ad5b</t>
  </si>
  <si>
    <t xml:space="preserve">5cf55e96-d9dc-4b84-9c7e-a4b8ade70bf4</t>
  </si>
  <si>
    <t xml:space="preserve">7a3b6567-5f36-4142-b390-15fbf940e206</t>
  </si>
  <si>
    <t xml:space="preserve">03964ba4-c637-480e-af78-6bb46e9dac37</t>
  </si>
  <si>
    <t xml:space="preserve">a8ed3760-106f-40e2-8a34-6b710a4c9090</t>
  </si>
  <si>
    <t xml:space="preserve">1ef5e6f5-06fb-41af-9f73-af85a3f0220d</t>
  </si>
  <si>
    <t xml:space="preserve">7f2b6da3-7046-4d25-b648-c449126dc511</t>
  </si>
  <si>
    <t xml:space="preserve">89ee008f-477e-4580-bd8e-8bf50fc9e080</t>
  </si>
  <si>
    <t xml:space="preserve">904cd2c2-71ba-4fe5-b073-24a42301c94c</t>
  </si>
  <si>
    <t xml:space="preserve">80e632a0-29e1-4032-b410-e707d0b3519b</t>
  </si>
  <si>
    <t xml:space="preserve">1febb3ea-a4ee-4b7d-a6e7-0c4b6da28188</t>
  </si>
  <si>
    <t xml:space="preserve">c9e29113-8f61-41bb-8bc1-b49c6f152fd9</t>
  </si>
  <si>
    <t xml:space="preserve">c4d10bd2-09da-4082-8cb3-022c92c53221</t>
  </si>
  <si>
    <t xml:space="preserve">e3dabe3a-e385-496d-8c84-288d45356c79</t>
  </si>
  <si>
    <t xml:space="preserve">fb96e4da-d810-45a0-8b8a-c8f7bb17df38</t>
  </si>
  <si>
    <t xml:space="preserve">eef42847-3015-4f62-97d1-83ea112707f3</t>
  </si>
  <si>
    <t xml:space="preserve">1fd12487-3082-4e34-b211-8ba77d1f51f6</t>
  </si>
  <si>
    <t xml:space="preserve">53a12896-8a5b-40b6-81ff-24379f17a050</t>
  </si>
  <si>
    <t xml:space="preserve">73eed463-4986-4d81-8bae-60dae5be49d0</t>
  </si>
  <si>
    <t xml:space="preserve">DOC, Dissolved Organic Carbon</t>
  </si>
  <si>
    <t xml:space="preserve">725c7923-0ed8-43e5-b485-fad7e34bef08</t>
  </si>
  <si>
    <t xml:space="preserve">72f14baf-d36c-4f8e-8c17-5304a995f00a</t>
  </si>
  <si>
    <t xml:space="preserve">960c0f37-f34c-4fc1-b77c-22d8b35fd8d5</t>
  </si>
  <si>
    <t xml:space="preserve">79607917-9e12-4292-b289-21ff2b36e04b</t>
  </si>
  <si>
    <t xml:space="preserve">185d4f1e-6d28-551b-8951-672805c4d8e5</t>
  </si>
  <si>
    <t xml:space="preserve">Decanoic acid</t>
  </si>
  <si>
    <t xml:space="preserve">904546ce-acb5-4cc3-9dda-950c7dc54328</t>
  </si>
  <si>
    <t xml:space="preserve">251b1db4-29e6-4312-bc30-ef7ae34aaaa3</t>
  </si>
  <si>
    <t xml:space="preserve">ae7a3110-d355-4c01-8a92-02616b28ee29</t>
  </si>
  <si>
    <t xml:space="preserve">16176f2c-6c9e-447b-99fb-e2f1d651c849</t>
  </si>
  <si>
    <t xml:space="preserve">40cb6ea0-d72a-47aa-b186-0c05891187e0</t>
  </si>
  <si>
    <t xml:space="preserve">5ff293fa-85f0-4d44-b63b-00f651316fad</t>
  </si>
  <si>
    <t xml:space="preserve">9b84ef84-a567-48de-8dd5-24726bc6688d</t>
  </si>
  <si>
    <t xml:space="preserve">Dibutyltin</t>
  </si>
  <si>
    <t xml:space="preserve">e555f589-ec29-468d-a35d-346dc45cdd84</t>
  </si>
  <si>
    <t xml:space="preserve">5c7c5065-a636-4367-bf0a-8552609ffec7</t>
  </si>
  <si>
    <t xml:space="preserve">d22d803d-a281-4821-8a6c-e79b75641eae</t>
  </si>
  <si>
    <t xml:space="preserve">bb472a88-f118-4e3c-9305-3f206aaa8a41</t>
  </si>
  <si>
    <t xml:space="preserve">ff5b7e31-3118-40f5-9b82-f65018442d77</t>
  </si>
  <si>
    <t xml:space="preserve">Dichromate</t>
  </si>
  <si>
    <t xml:space="preserve">b6ecaa32-6ab5-4060-b641-45a2bf7beded</t>
  </si>
  <si>
    <t xml:space="preserve">1ad3b0dc-fce4-416b-9851-f29d12cce55a</t>
  </si>
  <si>
    <t xml:space="preserve">d26099e9-c6bc-4d7f-a0bd-29c884965ba5</t>
  </si>
  <si>
    <t xml:space="preserve">3b8a6f65-384b-4086-a817-b0c77555b78a</t>
  </si>
  <si>
    <t xml:space="preserve">e898ea74-a3a1-5b26-a61e-384bffaf2bd6</t>
  </si>
  <si>
    <t xml:space="preserve">Diethanolamine</t>
  </si>
  <si>
    <t xml:space="preserve">6febab32-a2a8-475e-811f-89912f921dd2</t>
  </si>
  <si>
    <t xml:space="preserve">bd1ea45b-ac3c-4f6d-8383-a48339227ee2</t>
  </si>
  <si>
    <t xml:space="preserve">56467370-dc88-4b7a-8287-d0b660e65856</t>
  </si>
  <si>
    <t xml:space="preserve">66611217-6711-4b3a-8966-4ab2b7107ca6</t>
  </si>
  <si>
    <t xml:space="preserve">7e241410-2dec-4320-baf0-cebc3b52e2ca</t>
  </si>
  <si>
    <t xml:space="preserve">8f371d76-4cd1-4670-83c4-ae2b3b3355c6</t>
  </si>
  <si>
    <t xml:space="preserve">cd6866e7-6710-49cf-a2ea-d9be8950af14</t>
  </si>
  <si>
    <t xml:space="preserve">11b6407e-a10b-477f-8dfd-53cb425f62b0</t>
  </si>
  <si>
    <t xml:space="preserve">992bd199-894d-4be6-9837-d85e8e5b3f45</t>
  </si>
  <si>
    <t xml:space="preserve">ecc90a90-aec5-4ffc-88ba-e29a3e9884ac</t>
  </si>
  <si>
    <t xml:space="preserve">7d58b774-db61-4a8f-9072-d051c494a64f</t>
  </si>
  <si>
    <t xml:space="preserve">Diisobutyl ketone</t>
  </si>
  <si>
    <t xml:space="preserve">35753afa-ced2-42df-9f8b-5624920361a2</t>
  </si>
  <si>
    <t xml:space="preserve">15c4b0d9-9004-4444-98f7-a0275a793673</t>
  </si>
  <si>
    <t xml:space="preserve">e9514abc-d441-49cb-84f6-0815ffa693fc</t>
  </si>
  <si>
    <t xml:space="preserve">dbe2e16b-e0f9-4743-914c-50c8b11682c8</t>
  </si>
  <si>
    <t xml:space="preserve">fa68e7a6-a70c-4ed7-814c-b388273eefe2</t>
  </si>
  <si>
    <t xml:space="preserve">8fc441e0-0d97-46b9-b84b-ed2689d9014a</t>
  </si>
  <si>
    <t xml:space="preserve">c0969c6f-87db-4d7f-b0dd-02cc23566325</t>
  </si>
  <si>
    <t xml:space="preserve">6ced5488-3363-42ec-b832-f035744056e2</t>
  </si>
  <si>
    <t xml:space="preserve">2a613b0f-cc83-4039-aebb-1e95810ec106</t>
  </si>
  <si>
    <t xml:space="preserve">66c985be-8604-48ec-92e1-4e172128dc11</t>
  </si>
  <si>
    <t xml:space="preserve">d49e5257-e655-4e9f-adbc-b8763137b76c</t>
  </si>
  <si>
    <t xml:space="preserve">2649e223-09c0-5ced-9604-6cd6332e7cf9</t>
  </si>
  <si>
    <t xml:space="preserve">Dimethyl hexanediol</t>
  </si>
  <si>
    <t xml:space="preserve">95a9f739-736a-57fe-b592-dfb52251ef1e</t>
  </si>
  <si>
    <t xml:space="preserve">Dimethyl hexynediol</t>
  </si>
  <si>
    <t xml:space="preserve">1ae07e12-290e-4ee2-a032-d3075e161c53</t>
  </si>
  <si>
    <t xml:space="preserve">aec25913-c64b-4046-8ac9-a48587771b0d</t>
  </si>
  <si>
    <t xml:space="preserve">05909c8c-153e-4969-aaa8-e735054b8ee2</t>
  </si>
  <si>
    <t xml:space="preserve">d9977222-46f1-447f-8d65-f34f060b1087</t>
  </si>
  <si>
    <t xml:space="preserve">43398c2a-4ceb-4c7f-8ffc-37d2b78e22a3</t>
  </si>
  <si>
    <t xml:space="preserve">4c8e3c03-0943-5ddd-aa22-c0314291fdf9</t>
  </si>
  <si>
    <t xml:space="preserve">4d479616-676f-4db1-8b3a-c14edbdbafc0</t>
  </si>
  <si>
    <t xml:space="preserve">cce10142-69c4-4a72-a010-ac6b6abad1d3</t>
  </si>
  <si>
    <t xml:space="preserve">d069e5a1-c3c0-4513-9fa5-ff3ebe687ea7</t>
  </si>
  <si>
    <t xml:space="preserve">d1d77d54-e19f-4c3d-8fdc-389f78e72515</t>
  </si>
  <si>
    <t xml:space="preserve">737c3221-1456-4c6b-8605-6ac00dc88b2e</t>
  </si>
  <si>
    <t xml:space="preserve">1d8560a8-23e0-57f0-ade2-69103c953de8</t>
  </si>
  <si>
    <t xml:space="preserve">Diphenylether-compound</t>
  </si>
  <si>
    <t xml:space="preserve">8892f038-c4cf-4166-adeb-df61c4e32af0</t>
  </si>
  <si>
    <t xml:space="preserve">Diphenyltin</t>
  </si>
  <si>
    <t xml:space="preserve">fef0090b-9f73-41a9-ab2d-1cccb266ce2f</t>
  </si>
  <si>
    <t xml:space="preserve">a5e23523-af52-4472-910d-d13ea022ceea</t>
  </si>
  <si>
    <t xml:space="preserve">cff14545-edc5-4302-97f4-9bdcd8d1800f</t>
  </si>
  <si>
    <t xml:space="preserve">f87e0478-9ba4-4d6b-a1ca-5667d07f3465</t>
  </si>
  <si>
    <t xml:space="preserve">101c756f-d7af-4c18-826f-2144b6a54f5f</t>
  </si>
  <si>
    <t xml:space="preserve">61505469-d82e-4f73-9ac6-bb6910038c26</t>
  </si>
  <si>
    <t xml:space="preserve">Discarded fish, demersal, to ocean</t>
  </si>
  <si>
    <t xml:space="preserve">68e3130c-7c4b-4825-a383-c54410568d5d</t>
  </si>
  <si>
    <t xml:space="preserve">Discarded fish, pelagic, to ocean</t>
  </si>
  <si>
    <t xml:space="preserve">0f333e4d-e5ad-49e8-b24f-875456125ad4</t>
  </si>
  <si>
    <t xml:space="preserve">Disinfectants, unspecified</t>
  </si>
  <si>
    <t xml:space="preserve">7ab739f8-8846-4b20-a36b-c35e27053073</t>
  </si>
  <si>
    <t xml:space="preserve">576d7e08-4dd0-473b-b62f-86cbfda51651</t>
  </si>
  <si>
    <t xml:space="preserve">eb71ce59-d412-4e1e-a496-06134cf9d3d3</t>
  </si>
  <si>
    <t xml:space="preserve">9da5c6d0-92f0-4a7c-933b-7e14d980975a</t>
  </si>
  <si>
    <t xml:space="preserve">54c743a4-5438-4f3c-8e84-89b3e6ec0cc0</t>
  </si>
  <si>
    <t xml:space="preserve">Dissolved solids</t>
  </si>
  <si>
    <t xml:space="preserve">bd254636-6538-4bcf-b0e5-62a2e8252b57</t>
  </si>
  <si>
    <t xml:space="preserve">901a459c-9a1c-46a0-a785-6ec01a33b04f</t>
  </si>
  <si>
    <t xml:space="preserve">cfecebe1-1e13-458d-85bc-d40a9f934927</t>
  </si>
  <si>
    <t xml:space="preserve">5ce634de-b810-4533-9efb-719c38fe7c09</t>
  </si>
  <si>
    <t xml:space="preserve">eba1a8ae-fb73-52f4-b1b5-fb28dccd826d</t>
  </si>
  <si>
    <t xml:space="preserve">Dodecanol</t>
  </si>
  <si>
    <t xml:space="preserve">36609913-7c42-457a-89cc-00e2d9f0f867</t>
  </si>
  <si>
    <t xml:space="preserve">3ff3231e-3c38-5a47-a6fd-821d11c599e0</t>
  </si>
  <si>
    <t xml:space="preserve">1247aa8b-3a24-552a-bddf-bb578e5d2dc5</t>
  </si>
  <si>
    <t xml:space="preserve">f84a6dac-bc6e-4efc-bdb0-a0f2a0231d0f</t>
  </si>
  <si>
    <t xml:space="preserve">fc121a47-0538-406f-a335-edd1aac9fae6</t>
  </si>
  <si>
    <t xml:space="preserve">fad455a8-a20f-4b6e-8192-0bec95252876</t>
  </si>
  <si>
    <t xml:space="preserve">9b77be37-3f9d-4ecf-b7b1-86e8390bcf2e</t>
  </si>
  <si>
    <t xml:space="preserve">c8e5538f-17a1-4f62-aa64-39a91adb5cd3</t>
  </si>
  <si>
    <t xml:space="preserve">12c12a5e-847f-4a94-be3b-21f14ff429fe</t>
  </si>
  <si>
    <t xml:space="preserve">2e1ac281-307a-409d-9b75-abd4db38a1e0</t>
  </si>
  <si>
    <t xml:space="preserve">6292cdc2-9abd-4a50-8a0b-43471e07b369</t>
  </si>
  <si>
    <t xml:space="preserve">250dd08a-ee61-4a2b-86f8-b21e9ebe6ed9</t>
  </si>
  <si>
    <t xml:space="preserve">deb80fa5-4d0a-427e-9526-443f88d17b53</t>
  </si>
  <si>
    <t xml:space="preserve">b7720f05-761d-4aa1-a672-4f6bd28a0369</t>
  </si>
  <si>
    <t xml:space="preserve">Ethane, hexachloro-</t>
  </si>
  <si>
    <t xml:space="preserve">a081288c-e279-4af3-9319-8b6fd878a9e4</t>
  </si>
  <si>
    <t xml:space="preserve">917f39ec-2757-4eb6-85cd-8576c3e727cc</t>
  </si>
  <si>
    <t xml:space="preserve">708085b8-37a1-4116-aab9-229cfef519a0</t>
  </si>
  <si>
    <t xml:space="preserve">a9362d7a-627f-414b-96c2-e61e56c77fb8</t>
  </si>
  <si>
    <t xml:space="preserve">8ee2ff7f-e7f6-4156-9cc2-84700d1ec7f3</t>
  </si>
  <si>
    <t xml:space="preserve">af6a28b7-4842-41f2-b8bf-346409c16d33</t>
  </si>
  <si>
    <t xml:space="preserve">ccc02a20-bda2-4862-bb95-2da1db7ad49e</t>
  </si>
  <si>
    <t xml:space="preserve">42ebce6e-222e-442b-be25-3d8f711ce5cf</t>
  </si>
  <si>
    <t xml:space="preserve">fdb29dc7-261d-4f8f-8e7d-c73899480bf8</t>
  </si>
  <si>
    <t xml:space="preserve">e468ca97-9888-46ec-9b2e-3e25b0d55549</t>
  </si>
  <si>
    <t xml:space="preserve">7dd7bc0f-dff1-4564-8b74-eb40ca335b8f</t>
  </si>
  <si>
    <t xml:space="preserve">fc55a3d9-170e-4fe3-9be8-ddb4cc3b90fc</t>
  </si>
  <si>
    <t xml:space="preserve">fe8f6da1-2dc8-4df8-8aea-d0675be0dfcf</t>
  </si>
  <si>
    <t xml:space="preserve">f3a3227c-39f4-4383-8007-8b3b0c33467a</t>
  </si>
  <si>
    <t xml:space="preserve">3bd4b93d-298c-4e3f-88bb-864569350e60</t>
  </si>
  <si>
    <t xml:space="preserve">95589041-7176-4e15-9578-fa6a4066955f</t>
  </si>
  <si>
    <t xml:space="preserve">e67ada08-e113-4e05-b0a4-029a72e199a0</t>
  </si>
  <si>
    <t xml:space="preserve">cfe43cd8-3356-4d29-bb02-5b9c9ede0aec</t>
  </si>
  <si>
    <t xml:space="preserve">d3f2bf47-65db-4bc7-8334-eb5107e7585a</t>
  </si>
  <si>
    <t xml:space="preserve">f8d3477c-7a39-4a51-9c16-a2ee5ae6a5d7</t>
  </si>
  <si>
    <t xml:space="preserve">0015315d-a2b8-4b72-8e60-0d34a72e6de8</t>
  </si>
  <si>
    <t xml:space="preserve">6592e729-c2a4-4d33-86ca-5b86cdf7cdc7</t>
  </si>
  <si>
    <t xml:space="preserve">a74ded48-233e-4bd2-9406-a36d8e623489</t>
  </si>
  <si>
    <t xml:space="preserve">4b0d68e7-37bc-4184-93b5-91b70c62e585</t>
  </si>
  <si>
    <t xml:space="preserve">014bd81b-88c7-4a81-b872-201dcbfb8bbf</t>
  </si>
  <si>
    <t xml:space="preserve">c46a1f56-c012-4ee9-ae49-48641d0cdbf5</t>
  </si>
  <si>
    <t xml:space="preserve">9586cdf1-31b4-4c3a-97ce-197d8335ebd2</t>
  </si>
  <si>
    <t xml:space="preserve">c4bc70e8-d445-4ca4-bc89-fc93819791e3</t>
  </si>
  <si>
    <t xml:space="preserve">3801ac00-aef4-4224-8d04-9d6734794719</t>
  </si>
  <si>
    <t xml:space="preserve">a212914e-f8ba-49eb-9ceb-63e286053f2d</t>
  </si>
  <si>
    <t xml:space="preserve">e732d6dc-d502-4e03-8a5e-6c2644136b5f</t>
  </si>
  <si>
    <t xml:space="preserve">2d8f3c1b-8965-4f5c-9d66-72148d9af9ba</t>
  </si>
  <si>
    <t xml:space="preserve">63fad899-6b8a-484d-bc90-481a58310070</t>
  </si>
  <si>
    <t xml:space="preserve">81946844-b1a4-487d-8712-c97c8402baf6</t>
  </si>
  <si>
    <t xml:space="preserve">edd13644-5212-4e83-9fee-9358521a6b42</t>
  </si>
  <si>
    <t xml:space="preserve">43a7aa3a-a34d-467a-943f-4a263ebe8df3</t>
  </si>
  <si>
    <t xml:space="preserve">d0800bcc-833f-4a75-b289-e5cadbd50552</t>
  </si>
  <si>
    <t xml:space="preserve">b43924b1-3715-48b2-aa20-78f67b3f6e0e</t>
  </si>
  <si>
    <t xml:space="preserve">848c080f-be82-441d-9474-a53226288309</t>
  </si>
  <si>
    <t xml:space="preserve">2e2a9226-1d5a-4adf-aa0f-6a4b9499e8d7</t>
  </si>
  <si>
    <t xml:space="preserve">a0f10b49-f9e6-4195-95af-bbc1ba417944</t>
  </si>
  <si>
    <t xml:space="preserve">ab79f4bd-b0cd-40f3-b3e1-20bf24802730</t>
  </si>
  <si>
    <t xml:space="preserve">e5d3a0ba-404d-4aff-98ce-30bbf6474436</t>
  </si>
  <si>
    <t xml:space="preserve">d627e8fd-3663-4aa6-b9de-e926003700dd</t>
  </si>
  <si>
    <t xml:space="preserve">6ba443e3-9361-47c9-a2cd-c9f4957217b7</t>
  </si>
  <si>
    <t xml:space="preserve">0650f48f-c6c9-44ae-ac49-c3bae05220c3</t>
  </si>
  <si>
    <t xml:space="preserve">7d516937-c4b6-4a10-bfd3-83c48802008c</t>
  </si>
  <si>
    <t xml:space="preserve">2e2c0b46-41cf-4be8-9a92-246aecc58608</t>
  </si>
  <si>
    <t xml:space="preserve">8e159def-c94d-4400-bde2-9b936315d183</t>
  </si>
  <si>
    <t xml:space="preserve">6192f17c-9390-4381-9e58-99e384428da5</t>
  </si>
  <si>
    <t xml:space="preserve">b608516c-d577-4957-bcaa-851c7377ada8</t>
  </si>
  <si>
    <t xml:space="preserve">f466775b-d475-4f5d-8b5a-0248c6b94449</t>
  </si>
  <si>
    <t xml:space="preserve">db5aeca7-a390-4f6e-ad8b-9b4deeba5fae</t>
  </si>
  <si>
    <t xml:space="preserve">b350979f-1ec0-4f66-8f30-c0a216ae5455</t>
  </si>
  <si>
    <t xml:space="preserve">17bd5f8c-bd48-4cfc-80c0-1aa251f4bf43</t>
  </si>
  <si>
    <t xml:space="preserve">8e037b16-1a38-4220-996e-9f11e89ff194</t>
  </si>
  <si>
    <t xml:space="preserve">876e49fb-b3d6-48ca-8acc-473f8ee05aad</t>
  </si>
  <si>
    <t xml:space="preserve">Fluoboric acid</t>
  </si>
  <si>
    <t xml:space="preserve">c0b35c79-b073-40b6-931b-dfac9703acae</t>
  </si>
  <si>
    <t xml:space="preserve">969e148a-eeb1-4d37-b388-8cee13212281</t>
  </si>
  <si>
    <t xml:space="preserve">88eaa159-4194-49eb-9905-9b937e644fb8</t>
  </si>
  <si>
    <t xml:space="preserve">19b0229f-7cda-4154-baee-c1b1efef532a</t>
  </si>
  <si>
    <t xml:space="preserve">796d4439-8221-41ad-8732-19033339e66e</t>
  </si>
  <si>
    <t xml:space="preserve">e145d4fa-5ac7-4435-8f4d-de807fbe1a31</t>
  </si>
  <si>
    <t xml:space="preserve">b84e31d0-cf7b-4c3f-bc8a-3cc93bdb30d9</t>
  </si>
  <si>
    <t xml:space="preserve">7ae3e6e8-75e6-4566-b18f-6d848086c4e5</t>
  </si>
  <si>
    <t xml:space="preserve">c796eed5-8e5d-43bb-8dd9-feaae3e90511</t>
  </si>
  <si>
    <t xml:space="preserve">00d2fef1-e4d4-4a16-8e81-b8cc514e4c25</t>
  </si>
  <si>
    <t xml:space="preserve">96b0e9d0-5bfc-4113-ac30-c9b8a310b534</t>
  </si>
  <si>
    <t xml:space="preserve">8d61ea5d-fbc7-48e6-aaf1-c0cefd0d6f79</t>
  </si>
  <si>
    <t xml:space="preserve">b7ec5791-9d07-4ee1-ad72-4ebdaf7ffdcc</t>
  </si>
  <si>
    <t xml:space="preserve">7fb8e798-1c30-4bfb-ba1a-66602300cd1b</t>
  </si>
  <si>
    <t xml:space="preserve">8bd0fbe9-8a4f-4367-bf7e-5cc52bc80185</t>
  </si>
  <si>
    <t xml:space="preserve">2061c1e1-6a81-47ad-8a1d-81dd30783f2c</t>
  </si>
  <si>
    <t xml:space="preserve">8550871d-518d-4031-b924-9fe0f56a84d6</t>
  </si>
  <si>
    <t xml:space="preserve">dda7146e-2494-4214-9ce4-cbdef097b024</t>
  </si>
  <si>
    <t xml:space="preserve">cc62a17a-3209-4f53-af36-b28d60fa1741</t>
  </si>
  <si>
    <t xml:space="preserve">1ed87d8c-afc2-47f1-af5a-df78ed6bad83</t>
  </si>
  <si>
    <t xml:space="preserve">66729b69-c76f-43b2-bd9a-4a03c4983afd</t>
  </si>
  <si>
    <t xml:space="preserve">ee602d07-f56e-4f9a-9362-c3dbd45897c0</t>
  </si>
  <si>
    <t xml:space="preserve">adf3c3e9-c6b7-42bc-b114-112f050e44fd</t>
  </si>
  <si>
    <t xml:space="preserve">8c1489f3-f3cc-4c8d-a15e-6a5f91cf8abb</t>
  </si>
  <si>
    <t xml:space="preserve">01174955-d4f9-4825-9188-791b79abc8e1</t>
  </si>
  <si>
    <t xml:space="preserve">f127acc1-4904-448c-9b46-e0c4d2da8bda</t>
  </si>
  <si>
    <t xml:space="preserve">15bdfe3d-58b7-4cf3-a8db-0b16a8b9949b</t>
  </si>
  <si>
    <t xml:space="preserve">Formate</t>
  </si>
  <si>
    <t xml:space="preserve">fc59a5a4-2297-4457-a9e0-482ba0eed18a</t>
  </si>
  <si>
    <t xml:space="preserve">10ee01aa-ebd3-4232-bdbd-50a32218b70f</t>
  </si>
  <si>
    <t xml:space="preserve">42411268-27a7-4276-9896-e47900fa0606</t>
  </si>
  <si>
    <t xml:space="preserve">c1ed95a3-cf8a-4ab4-a687-e98b95301adc</t>
  </si>
  <si>
    <t xml:space="preserve">8a785cc5-93c6-47f3-a1ff-b2d37ef5b8a5</t>
  </si>
  <si>
    <t xml:space="preserve">abaa29b9-41e6-46ed-9f88-806bd93ca915</t>
  </si>
  <si>
    <t xml:space="preserve">23dedce6-fc17-4ae8-9b91-6c0dca431adc</t>
  </si>
  <si>
    <t xml:space="preserve">3a285c11-632b-4106-8e15-3ac4a0da78de</t>
  </si>
  <si>
    <t xml:space="preserve">97f92a10-ea74-463f-a9d7-3c852b6aab4c</t>
  </si>
  <si>
    <t xml:space="preserve">8bdedc25-af46-4c46-9b3a-670d0c177d8f</t>
  </si>
  <si>
    <t xml:space="preserve">Fresh water (obsolete)</t>
  </si>
  <si>
    <t xml:space="preserve">20f74678-e826-4a98-a625-5b3e7bc7b9c1</t>
  </si>
  <si>
    <t xml:space="preserve">68ab2496-c441-4102-a3fa-0d71a24106ab</t>
  </si>
  <si>
    <t xml:space="preserve">79c4520a-47b1-4ec1-a1e5-b52114b0dce6</t>
  </si>
  <si>
    <t xml:space="preserve">c7842230-e5ef-4ca8-9cb1-244dee3fe548</t>
  </si>
  <si>
    <t xml:space="preserve">6185fd6b-02a7-4db5-a5dd-f4b7445f9ce5</t>
  </si>
  <si>
    <t xml:space="preserve">c082af51-1644-52fc-b49d-5b6c65eb1865</t>
  </si>
  <si>
    <t xml:space="preserve">Glucose</t>
  </si>
  <si>
    <t xml:space="preserve">4c6fd60b-f60f-46b6-b2b7-3885dac5785d</t>
  </si>
  <si>
    <t xml:space="preserve">Glutaraldehyde</t>
  </si>
  <si>
    <t xml:space="preserve">b6edb30e-cdf4-48ab-95d5-4f52de17f68e</t>
  </si>
  <si>
    <t xml:space="preserve">2f1d0962-be5d-4e6d-9c9b-0846722d9c65</t>
  </si>
  <si>
    <t xml:space="preserve">d1bddd52-ca19-4731-91ab-a2b6f38d3f1e</t>
  </si>
  <si>
    <t xml:space="preserve">8a4f6db6-dfe0-4247-8b0b-142ed2b7aab6</t>
  </si>
  <si>
    <t xml:space="preserve">17955b10-4c04-4fff-91e7-cf89ef1a7cca</t>
  </si>
  <si>
    <t xml:space="preserve">e157e3dd-88b9-4256-ab2e-ff82e7b8d088</t>
  </si>
  <si>
    <t xml:space="preserve">d2d93101-7555-4c77-b4b8-ddac7f6eba50</t>
  </si>
  <si>
    <t xml:space="preserve">811220d4-55e0-441f-8185-59e51207a79d</t>
  </si>
  <si>
    <t xml:space="preserve">0486ee88-c74a-479e-aa6f-2fbc4a96378d</t>
  </si>
  <si>
    <t xml:space="preserve">09f25c1d-3f19-428a-9167-cbd2d8857490</t>
  </si>
  <si>
    <t xml:space="preserve">c09f409d-a35b-435e-974b-ae527b8546d5</t>
  </si>
  <si>
    <t xml:space="preserve">123b7b5a-cfc3-4dba-a14c-8481d3543f43</t>
  </si>
  <si>
    <t xml:space="preserve">3d3321d4-8082-4e31-a4be-6c9789f8701d</t>
  </si>
  <si>
    <t xml:space="preserve">dca43ede-b779-47a7-b2e7-cb4e7b12c3da</t>
  </si>
  <si>
    <t xml:space="preserve">a649f89b-2e2a-48e9-9677-b85b4cbcc30c</t>
  </si>
  <si>
    <t xml:space="preserve">152e5a83-96e8-4f54-af42-4f0925a771ac</t>
  </si>
  <si>
    <t xml:space="preserve">9b83f2bb-7d61-4e55-b37a-443f164c5f30</t>
  </si>
  <si>
    <t xml:space="preserve">f40495b0-c9ac-44fb-81c7-84975030845d</t>
  </si>
  <si>
    <t xml:space="preserve">77380aa2-c1c3-4027-8f3e-6f667e9bc909</t>
  </si>
  <si>
    <t xml:space="preserve">752a43f7-3ae7-471e-b479-9bb0ac8e97c9</t>
  </si>
  <si>
    <t xml:space="preserve">9ffcc5df-8eb2-43f1-9915-b1cdcb853162</t>
  </si>
  <si>
    <t xml:space="preserve">4b1af256-23b8-4e53-8148-cf52040f5ad7</t>
  </si>
  <si>
    <t xml:space="preserve">02381700-f27e-4ffa-b58f-e7309ad7f9e7</t>
  </si>
  <si>
    <t xml:space="preserve">388fecc6-1313-40db-a8c5-b3c028d4445b</t>
  </si>
  <si>
    <t xml:space="preserve">8f62b772-7c20-4b8f-9bf8-5c02509a45a2</t>
  </si>
  <si>
    <t xml:space="preserve">e55802e0-4678-42df-978e-e18aa552c33e</t>
  </si>
  <si>
    <t xml:space="preserve">856f0506-79b3-42c1-8faa-3e9f8699c28d</t>
  </si>
  <si>
    <t xml:space="preserve">f50e961a-3089-437f-af3c-1099a8a3e1ed</t>
  </si>
  <si>
    <t xml:space="preserve">Hydrazine</t>
  </si>
  <si>
    <t xml:space="preserve">141996d0-f260-4ef3-ad9a-809c54690595</t>
  </si>
  <si>
    <t xml:space="preserve">d0e162d5-40b4-4310-a45b-52d0a4f0ef52</t>
  </si>
  <si>
    <t xml:space="preserve">47703131-d6ba-4e54-a25e-26f6fd9ddc1c</t>
  </si>
  <si>
    <t xml:space="preserve">3c9f4830-91f4-4a22-bd83-c9439b41106c</t>
  </si>
  <si>
    <t xml:space="preserve">bdc5534e-85e0-4b6c-bd84-80e50e831190</t>
  </si>
  <si>
    <t xml:space="preserve">7a7054c4-bc1e-4ae2-a31e-b7752bdbeb75</t>
  </si>
  <si>
    <t xml:space="preserve">faf05b06-da29-4af5-aa37-cfa4b802a297</t>
  </si>
  <si>
    <t xml:space="preserve">b902d333-ded6-4c87-be52-8fc03fe6dfd4</t>
  </si>
  <si>
    <t xml:space="preserve">acd68ded-df6f-4a5f-b95d-bbbf2567c735</t>
  </si>
  <si>
    <t xml:space="preserve">0db53406-fb79-497d-a9e7-fc2c8d425b81</t>
  </si>
  <si>
    <t xml:space="preserve">651bd1c1-458e-4585-94e1-46409196de89</t>
  </si>
  <si>
    <t xml:space="preserve">b066708e-5bab-45ee-9244-e1be2fa5b5f3</t>
  </si>
  <si>
    <t xml:space="preserve">19b55ff9-4964-45d1-95b6-e24d7f4ffbd3</t>
  </si>
  <si>
    <t xml:space="preserve">ef7bc7b8-f85b-4687-9cb1-eb60384650fa</t>
  </si>
  <si>
    <t xml:space="preserve">b50cbca2-b548-44e2-8acd-afa34d55e055</t>
  </si>
  <si>
    <t xml:space="preserve">e945c333-2e8f-4b70-a53e-77f01fa443bd</t>
  </si>
  <si>
    <t xml:space="preserve">67799e83-54c8-4c89-90dc-1a7fa7780d2b</t>
  </si>
  <si>
    <t xml:space="preserve">c308f812-7e5a-483a-ac1f-1f5742a53784</t>
  </si>
  <si>
    <t xml:space="preserve">04abe114-7939-4935-9281-49e5d89cc1bc</t>
  </si>
  <si>
    <t xml:space="preserve">9d508263-9cfd-444a-b1de-73f2bcf39c02</t>
  </si>
  <si>
    <t xml:space="preserve">5e08c84c-69a2-4f0b-b3b3-6b7f0925712b</t>
  </si>
  <si>
    <t xml:space="preserve">049a1473-3a62-4121-982b-5d15d0f2c683</t>
  </si>
  <si>
    <t xml:space="preserve">49c42751-1b0b-4ab1-8e70-032e991ce6fd</t>
  </si>
  <si>
    <t xml:space="preserve">e620a933-c348-4e7e-8893-ab0a0f681c7e</t>
  </si>
  <si>
    <t xml:space="preserve">7dd051f1-c653-44d9-90e4-828f144253c3</t>
  </si>
  <si>
    <t xml:space="preserve">8812d43d-8302-4adc-95da-8338976e56a6</t>
  </si>
  <si>
    <t xml:space="preserve">Hydrogen carbonate</t>
  </si>
  <si>
    <t xml:space="preserve">9fea3fb1-f305-408d-8549-d008533800e3</t>
  </si>
  <si>
    <t xml:space="preserve">67eab677-a799-4515-aba8-c470d2dba37d</t>
  </si>
  <si>
    <t xml:space="preserve">77aa43c5-76c6-4465-b0b4-f00d4d14c377</t>
  </si>
  <si>
    <t xml:space="preserve">98313bb5-3f35-4e11-bf3e-03ad2dae591b</t>
  </si>
  <si>
    <t xml:space="preserve">c7be600c-e8ef-4e50-b092-1f9a3aa47706</t>
  </si>
  <si>
    <t xml:space="preserve">db945649-d0d5-4818-ab81-dc8579469a05</t>
  </si>
  <si>
    <t xml:space="preserve">554be2fb-9bb9-46c6-a4df-46df0d53cb65</t>
  </si>
  <si>
    <t xml:space="preserve">2cfea267-9965-411e-9381-4d32835b4ffe</t>
  </si>
  <si>
    <t xml:space="preserve">50790dc4-dd52-4811-b124-d9e9c920cd70</t>
  </si>
  <si>
    <t xml:space="preserve">42d33bc4-cdea-4b1d-896c-090e792183be</t>
  </si>
  <si>
    <t xml:space="preserve">848a6c6a-76b7-42ad-90ce-ad2494fd5bd3</t>
  </si>
  <si>
    <t xml:space="preserve">902b7ebc-68a8-4dd3-b67a-6087db8c0971</t>
  </si>
  <si>
    <t xml:space="preserve">58fabee9-b4b6-48ee-857a-e16ed31bb354</t>
  </si>
  <si>
    <t xml:space="preserve">134ec0d7-3701-473c-a1a1-1982fd48ef4d</t>
  </si>
  <si>
    <t xml:space="preserve">9be02ae0-3170-4544-8665-f03a1b43f2bd</t>
  </si>
  <si>
    <t xml:space="preserve">013a65bf-5b9e-4621-bd60-14909fd4cbc6</t>
  </si>
  <si>
    <t xml:space="preserve">Hydroxide</t>
  </si>
  <si>
    <t xml:space="preserve">9e87035c-4f81-4314-8e01-e4fd04a12e7c</t>
  </si>
  <si>
    <t xml:space="preserve">8f6f8a9b-a240-4f27-82e8-99340be4918f</t>
  </si>
  <si>
    <t xml:space="preserve">0ec59d21-92c1-492e-8e1e-f0f33f94f1b5</t>
  </si>
  <si>
    <t xml:space="preserve">d9224532-4d6d-4400-8a78-83fca1649548</t>
  </si>
  <si>
    <t xml:space="preserve">1aa7eec2-1079-4792-825c-364a7bde9921</t>
  </si>
  <si>
    <t xml:space="preserve">Hypochlorite</t>
  </si>
  <si>
    <t xml:space="preserve">73f834fe-b8e1-4600-933b-364668952321</t>
  </si>
  <si>
    <t xml:space="preserve">d4f02ee2-ecb5-4572-91c8-c20cd2abb2c3</t>
  </si>
  <si>
    <t xml:space="preserve">84f7125c-2ada-4bb1-abc6-554c40d1eeed</t>
  </si>
  <si>
    <t xml:space="preserve">57f006f6-e406-404f-8afe-2eb891f713ad</t>
  </si>
  <si>
    <t xml:space="preserve">b5a65bff-51e0-40e4-b50e-36d07a87919a</t>
  </si>
  <si>
    <t xml:space="preserve">0b29cbc1-607c-4919-a6a6-802a3840ff4b</t>
  </si>
  <si>
    <t xml:space="preserve">1cde30ef-8a5b-46eb-9e7a-22a532fd6d2e</t>
  </si>
  <si>
    <t xml:space="preserve">387d26ab-2af6-4f26-acf5-9f674f977896</t>
  </si>
  <si>
    <t xml:space="preserve">6296baee-87bd-4e6e-bd20-c1578b7a7247</t>
  </si>
  <si>
    <t xml:space="preserve">623ae1fb-a694-4327-9c6f-4ea35c536100</t>
  </si>
  <si>
    <t xml:space="preserve">e1615e9d-73cb-416e-9c46-f7f1822e3232</t>
  </si>
  <si>
    <t xml:space="preserve">2635ffda-08c1-4069-b130-25f11c3db05d</t>
  </si>
  <si>
    <t xml:space="preserve">03a1f7e6-f18b-4d49-b40b-5f52d1d9fb5c</t>
  </si>
  <si>
    <t xml:space="preserve">d7853477-ebdb-4339-aecf-c1837f963bed</t>
  </si>
  <si>
    <t xml:space="preserve">2ef56ffc-fa69-4b57-a936-3d588923ea8b</t>
  </si>
  <si>
    <t xml:space="preserve">b5fae91e-cff0-4513-a997-cdb6922f1ab4</t>
  </si>
  <si>
    <t xml:space="preserve">4b09c2cb-937f-43a5-a3f8-b20ff8f047d3</t>
  </si>
  <si>
    <t xml:space="preserve">e6360e00-79a2-455e-ac9d-2e3159736771</t>
  </si>
  <si>
    <t xml:space="preserve">ddc51f31-6807-4e02-9fab-490f3357abbf</t>
  </si>
  <si>
    <t xml:space="preserve">f51ec3db-deb0-4766-9b33-6991155b0251</t>
  </si>
  <si>
    <t xml:space="preserve">08c3135c-9ac5-472b-9a0e-04f2f85099bb</t>
  </si>
  <si>
    <t xml:space="preserve">27f767b3-3ab6-41bd-9c5f-524104b23dce</t>
  </si>
  <si>
    <t xml:space="preserve">9e689d4d-35b4-4c1c-b61f-2d915695bd2a</t>
  </si>
  <si>
    <t xml:space="preserve">777160e1-99a9-4a03-b189-8c1af57ee560</t>
  </si>
  <si>
    <t xml:space="preserve">eea0ae1c-7a64-481c-a24d-fb6a3b8c5290</t>
  </si>
  <si>
    <t xml:space="preserve">0b28fc38-9334-42a9-bac1-a04c2832e79d</t>
  </si>
  <si>
    <t xml:space="preserve">897ec6a5-af78-453f-abdf-32233d0a30bf</t>
  </si>
  <si>
    <t xml:space="preserve">ab9fef9d-1b47-4d79-a28a-0132dfa18020</t>
  </si>
  <si>
    <t xml:space="preserve">618c3a74-5b36-4d8a-b94f-26b8270448f8</t>
  </si>
  <si>
    <t xml:space="preserve">4bcc53d8-d8ff-4cb1-bf38-e823d46618ed</t>
  </si>
  <si>
    <t xml:space="preserve">90149757-18a8-470e-b01a-4699b2d40e9f</t>
  </si>
  <si>
    <t xml:space="preserve">332a3e5f-39c6-4336-9064-13276942fbba</t>
  </si>
  <si>
    <t xml:space="preserve">c708b024-c922-4c43-8a49-81c472c48f75</t>
  </si>
  <si>
    <t xml:space="preserve">cf4eaf0f-9f17-4a0f-b42d-bb068c73c706</t>
  </si>
  <si>
    <t xml:space="preserve">e3043a7f-5347-4c7b-89ee-93f11b2f6d9b</t>
  </si>
  <si>
    <t xml:space="preserve">33fd8342-58e7-45c9-ad92-0951c002c403</t>
  </si>
  <si>
    <t xml:space="preserve">Iron, ion</t>
  </si>
  <si>
    <t xml:space="preserve">9b6d6f07-ebc6-447d-a3c0-f2017d77d852</t>
  </si>
  <si>
    <t xml:space="preserve">2c9a7182-37c8-4777-a37a-9a007c3edb2f</t>
  </si>
  <si>
    <t xml:space="preserve">7c335b9c-a403-47a8-bb6d-2e7d3c3a230e</t>
  </si>
  <si>
    <t xml:space="preserve">de444dc0-5964-4501-8367-50ba53bfc6b9</t>
  </si>
  <si>
    <t xml:space="preserve">282d4a11-f053-47cf-89a4-aafa3184d61d</t>
  </si>
  <si>
    <t xml:space="preserve">6e21027e-bc01-497d-a93a-677ac5a23b31</t>
  </si>
  <si>
    <t xml:space="preserve">885c00c7-2c39-40d7-b4cb-d658038ee40a</t>
  </si>
  <si>
    <t xml:space="preserve">e43640a9-526c-42bd-86e5-4425c9e239ed</t>
  </si>
  <si>
    <t xml:space="preserve">b25f5005-10df-4c06-ae4c-ddad7bc04e7e</t>
  </si>
  <si>
    <t xml:space="preserve">c4a7e193-1d48-4da4-a696-777b3e15944d</t>
  </si>
  <si>
    <t xml:space="preserve">cf8e8ae6-d6ea-4e8f-912d-5445e45e2f8d</t>
  </si>
  <si>
    <t xml:space="preserve">aab8f6d7-c672-425c-8637-1f1e1402a1db</t>
  </si>
  <si>
    <t xml:space="preserve">2b178c09-89d4-49be-afbb-ec21bc158d9c</t>
  </si>
  <si>
    <t xml:space="preserve">83142883-f04b-4724-ad8b-9528983c6511</t>
  </si>
  <si>
    <t xml:space="preserve">b8c4cd64-27cd-43ca-ac5e-011ebdbee7ec</t>
  </si>
  <si>
    <t xml:space="preserve">429b04bf-fbdb-4416-b5b8-aa2d0e202a98</t>
  </si>
  <si>
    <t xml:space="preserve">30614997-3952-4e2a-bde2-4bce2cada098</t>
  </si>
  <si>
    <t xml:space="preserve">ae0d3325-09c1-45ad-90d0-a9b2097b707d</t>
  </si>
  <si>
    <t xml:space="preserve">4f46f2a8-545c-44d8-a40d-3e49571dcd51</t>
  </si>
  <si>
    <t xml:space="preserve">94413eda-8562-4a3e-9ab7-92dfb5554cb2</t>
  </si>
  <si>
    <t xml:space="preserve">2169a4c1-3198-48ed-92f4-4fa22ed44739</t>
  </si>
  <si>
    <t xml:space="preserve">2d97af62-5de1-4105-8e35-23604c1e9a3e</t>
  </si>
  <si>
    <t xml:space="preserve">602604be-f24c-41f0-8d02-f05d0e005fb0</t>
  </si>
  <si>
    <t xml:space="preserve">8c12756d-7419-4926-8aaa-d84900407527</t>
  </si>
  <si>
    <t xml:space="preserve">780e4e14-bd5b-408c-8304-0db2033561a7</t>
  </si>
  <si>
    <t xml:space="preserve">cf7738ce-05a3-4fee-af0c-37386e0c28e3</t>
  </si>
  <si>
    <t xml:space="preserve">a39f2c87-b661-4f04-827d-2326c51fcf10</t>
  </si>
  <si>
    <t xml:space="preserve">7fdb9a7d-34b2-4427-9692-f69206e67250</t>
  </si>
  <si>
    <t xml:space="preserve">0217e70b-e467-4ec6-8800-09d011b7e689</t>
  </si>
  <si>
    <t xml:space="preserve">90a39372-8b3f-4c99-acfd-6ea211791714</t>
  </si>
  <si>
    <t xml:space="preserve">41e246e0-9011-4749-8eb0-8b4e31ed1ec2</t>
  </si>
  <si>
    <t xml:space="preserve">4dc5b593-5953-57de-b908-c3c34a558f40</t>
  </si>
  <si>
    <t xml:space="preserve">c864aa15-0abc-41ad-9889-348106e485d8</t>
  </si>
  <si>
    <t xml:space="preserve">0ff15165-d761-48c9-9814-2d1dcdd56857</t>
  </si>
  <si>
    <t xml:space="preserve">e9e856c2-868e-435e-8425-8df1c9297cfc</t>
  </si>
  <si>
    <t xml:space="preserve">b3ebdcc3-c588-4997-95d2-9785b26b34e1</t>
  </si>
  <si>
    <t xml:space="preserve">31c4d160-b21e-41b3-b9c1-3d7a72377653</t>
  </si>
  <si>
    <t xml:space="preserve">85365e41-8102-4f9b-afb7-d7d7e6e07249</t>
  </si>
  <si>
    <t xml:space="preserve">0b316831-20fd-4f73-bfcf-c19e3485fc1f</t>
  </si>
  <si>
    <t xml:space="preserve">8844a749-f21f-4968-bff9-c4d970efe790</t>
  </si>
  <si>
    <t xml:space="preserve">6b000ac5-e791-4ca8-ad17-a72d2ca6eca7</t>
  </si>
  <si>
    <t xml:space="preserve">2cfc5ba4-3db2-4193-9e81-b61e75ba1706</t>
  </si>
  <si>
    <t xml:space="preserve">4569494e-085e-413a-8fef-63a3c419e0cf</t>
  </si>
  <si>
    <t xml:space="preserve">09cf7c11-0269-4fc1-a5f3-47121a7882d3</t>
  </si>
  <si>
    <t xml:space="preserve">Lithium, ion</t>
  </si>
  <si>
    <t xml:space="preserve">c44b0e3b-e65e-4276-aa1f-3db768757b66</t>
  </si>
  <si>
    <t xml:space="preserve">cf88e72e-13bc-416c-ac41-7d4b24bda86a</t>
  </si>
  <si>
    <t xml:space="preserve">e98084d6-88a2-48cf-9ad5-6462fe9cf857</t>
  </si>
  <si>
    <t xml:space="preserve">eb2bfdf1-1881-40e8-bebb-d674b2a79149</t>
  </si>
  <si>
    <t xml:space="preserve">081ea9c3-9cbe-41d7-a962-840833ba98db</t>
  </si>
  <si>
    <t xml:space="preserve">fc3c75dc-e39c-463b-8b26-96cfc0ed4b47</t>
  </si>
  <si>
    <t xml:space="preserve">d48e95bf-3ea9-4a35-a791-d0984dcb539e</t>
  </si>
  <si>
    <t xml:space="preserve">7edf2b3a-762e-40ce-85e3-6716d8222e47</t>
  </si>
  <si>
    <t xml:space="preserve">24acc516-974c-4ff3-b7e1-5950b8d37206</t>
  </si>
  <si>
    <t xml:space="preserve">ce9fd912-233a-4807-a33e-0323b1e4a7a2</t>
  </si>
  <si>
    <t xml:space="preserve">1a217018-e3e5-499c-9eb5-5aacb9e6ae9a</t>
  </si>
  <si>
    <t xml:space="preserve">7bdab722-11d0-4c42-a099-6f9ed510a44a</t>
  </si>
  <si>
    <t xml:space="preserve">9783014c-4ec6-4c9c-84d7-d34c8b390a0b</t>
  </si>
  <si>
    <t xml:space="preserve">39ec593c-6c45-571f-8a6b-b76472bb4824</t>
  </si>
  <si>
    <t xml:space="preserve">Maleic anhydride</t>
  </si>
  <si>
    <t xml:space="preserve">44f28e11-061d-44fd-8f25-dc62a9f1fa57</t>
  </si>
  <si>
    <t xml:space="preserve">835d0907-a668-4d92-b6b6-7b56fa343713</t>
  </si>
  <si>
    <t xml:space="preserve">c91fd4bf-ed70-4e2f-a34f-159773f981b6</t>
  </si>
  <si>
    <t xml:space="preserve">f532985c-90b7-46fc-aac9-b039b40e22f1</t>
  </si>
  <si>
    <t xml:space="preserve">10cbd2f7-c41b-4bb4-b636-d8fc15cf0282</t>
  </si>
  <si>
    <t xml:space="preserve">dcf5005b-16a3-49ed-ae93-960a320f52db</t>
  </si>
  <si>
    <t xml:space="preserve">a04ea618-06a0-45b4-b116-a49603ba70ea</t>
  </si>
  <si>
    <t xml:space="preserve">147b91df-513b-4784-923a-180c2a5b1434</t>
  </si>
  <si>
    <t xml:space="preserve">9a12a4c4-c03e-43fb-a448-4d911f539e64</t>
  </si>
  <si>
    <t xml:space="preserve">729eac4f-0339-4d0f-8956-a71ebe20a527</t>
  </si>
  <si>
    <t xml:space="preserve">583eec00-1480-4cd7-8670-31eaf94053ad</t>
  </si>
  <si>
    <t xml:space="preserve">Manganese-55</t>
  </si>
  <si>
    <t xml:space="preserve">957d4d94-9f88-4f40-9755-cfc3918882bb</t>
  </si>
  <si>
    <t xml:space="preserve">6ed06a59-4fd1-422e-a397-4c3274596701</t>
  </si>
  <si>
    <t xml:space="preserve">32299af9-3432-470b-8f90-5d06df12b062</t>
  </si>
  <si>
    <t xml:space="preserve">06ee87f5-4946-4ecd-9615-b4723595fbaf</t>
  </si>
  <si>
    <t xml:space="preserve">e1aa92d7-9297-452e-ade0-e5e2acc52ad7</t>
  </si>
  <si>
    <t xml:space="preserve">40f89b03-64f8-466d-9480-bca47d8a435c</t>
  </si>
  <si>
    <t xml:space="preserve">fd61d155-3b34-46d5-8769-efb3e806f545</t>
  </si>
  <si>
    <t xml:space="preserve">66bfb434-78ab-4183-b1a7-7f87d08974fa</t>
  </si>
  <si>
    <t xml:space="preserve">9325957a-bee5-4f2d-8bd1-458729c5e49e</t>
  </si>
  <si>
    <t xml:space="preserve">a9dab180-06d5-417f-b1ca-8366ccd7a9df</t>
  </si>
  <si>
    <t xml:space="preserve">54cd1c73-b17c-4061-aa54-f67b198a059d</t>
  </si>
  <si>
    <t xml:space="preserve">0a7b2a91-5d35-400b-9a9e-30e195abfe73</t>
  </si>
  <si>
    <t xml:space="preserve">1b6a35b8-f6c8-404d-9c0e-e09b8fdb2d9e</t>
  </si>
  <si>
    <t xml:space="preserve">75c80de0-a0fa-45e2-9f7b-f6fa4e4431e1</t>
  </si>
  <si>
    <t xml:space="preserve">e42a8077-1363-40a9-a943-cfcf78e6b52e</t>
  </si>
  <si>
    <t xml:space="preserve">7ee2d61b-1f0d-4835-bd85-4a9e2e545000</t>
  </si>
  <si>
    <t xml:space="preserve">899759dd-b3e2-4611-b052-c8bdd74346bd</t>
  </si>
  <si>
    <t xml:space="preserve">d8fc7282-04be-4c6f-ba85-60b0444af8ae</t>
  </si>
  <si>
    <t xml:space="preserve">2460ff3a-b368-4224-9c0d-0900fd29608f</t>
  </si>
  <si>
    <t xml:space="preserve">cba21953-176c-445a-beb1-010509ab0feb</t>
  </si>
  <si>
    <t xml:space="preserve">669778e5-b6e1-4c0d-8500-864563a74110</t>
  </si>
  <si>
    <t xml:space="preserve">773583cc-a2f6-4912-87b5-0555aeb4e0fc</t>
  </si>
  <si>
    <t xml:space="preserve">4d93311d-5fc2-4f86-ab4f-b223ee9350e5</t>
  </si>
  <si>
    <t xml:space="preserve">9a366c85-61a0-48bd-8af0-a2a96b327bc1</t>
  </si>
  <si>
    <t xml:space="preserve">9dad0050-5f0b-40d8-9f8d-c23670596611</t>
  </si>
  <si>
    <t xml:space="preserve">5fb7cd0a-0c4c-43e2-8808-bf0102b93b49</t>
  </si>
  <si>
    <t xml:space="preserve">9d9e8c2a-645e-4a88-bfcf-3b100b09196b</t>
  </si>
  <si>
    <t xml:space="preserve">e1b4f61b-e191-4c48-852b-58b11b2245eb</t>
  </si>
  <si>
    <t xml:space="preserve">ee2c5c6c-ff01-4151-8332-d4bf1508c759</t>
  </si>
  <si>
    <t xml:space="preserve">a4789830-1a88-4685-abac-882046c10974</t>
  </si>
  <si>
    <t xml:space="preserve">839c3c22-3168-4736-a3f8-e9f772ef062f</t>
  </si>
  <si>
    <t xml:space="preserve">f3760828-91d3-4477-97fa-eaf4cd98dd43</t>
  </si>
  <si>
    <t xml:space="preserve">6a9c52f3-a397-43be-b1c8-b6c4a4a5df4c</t>
  </si>
  <si>
    <t xml:space="preserve">a4c2509a-20bb-439d-b993-1b19c4adcd33</t>
  </si>
  <si>
    <t xml:space="preserve">98b0b2a5-8c73-4cf0-be04-a6a4e8889bb1</t>
  </si>
  <si>
    <t xml:space="preserve">c2f5d202-daf5-4e73-87ec-2c4fc75b832c</t>
  </si>
  <si>
    <t xml:space="preserve">c76c611f-3653-46c0-a91a-ff8ba8bee15b</t>
  </si>
  <si>
    <t xml:space="preserve">6cdb9fc0-1865-4152-b05b-a60fd1f20a7e</t>
  </si>
  <si>
    <t xml:space="preserve">82df49c5-8ff3-4d99-abe9-7e5e917a0d13</t>
  </si>
  <si>
    <t xml:space="preserve">59e05e46-aeee-4b33-8878-746810c16cbf</t>
  </si>
  <si>
    <t xml:space="preserve">85fa4541-289d-4e24-9664-09efa68fe470</t>
  </si>
  <si>
    <t xml:space="preserve">96dba537-69a1-4aec-a754-c90d0ca48ccf</t>
  </si>
  <si>
    <t xml:space="preserve">3a53d5b5-bc5a-4c94-b507-f94169a58f23</t>
  </si>
  <si>
    <t xml:space="preserve">cf931265-6fad-44f1-a6ab-3c53dd21f9c3</t>
  </si>
  <si>
    <t xml:space="preserve">b1945566-c8ad-4d48-9135-c39eedde1e63</t>
  </si>
  <si>
    <t xml:space="preserve">d3ac53b1-17d5-40e7-b51d-422e16316404</t>
  </si>
  <si>
    <t xml:space="preserve">81057475-9f8a-47ff-8c0b-ce702467fa72</t>
  </si>
  <si>
    <t xml:space="preserve">059d4f43-8764-4b5e-95eb-c94df9913a55</t>
  </si>
  <si>
    <t xml:space="preserve">25577c13-5625-41cf-a921-9e82f81d2131</t>
  </si>
  <si>
    <t xml:space="preserve">931f666b-6665-48a5-8fb0-7beced65c144</t>
  </si>
  <si>
    <t xml:space="preserve">d5a6fcba-b958-4b06-b193-b712eeb65cf4</t>
  </si>
  <si>
    <t xml:space="preserve">811e5fae-807b-4ba1-8fbe-67e0b088c73c</t>
  </si>
  <si>
    <t xml:space="preserve">c1624070-6619-4143-b63e-1ec82d65ad23</t>
  </si>
  <si>
    <t xml:space="preserve">01e16652-6f42-42f4-a23d-d10f166aaec9</t>
  </si>
  <si>
    <t xml:space="preserve">a11b8022-1e48-4023-8985-58ec1ea62083</t>
  </si>
  <si>
    <t xml:space="preserve">af3b0f01-3f06-46c7-a3b7-66bfec083264</t>
  </si>
  <si>
    <t xml:space="preserve">c28194ca-3ebc-4f8b-a456-f133e8d0aaee</t>
  </si>
  <si>
    <t xml:space="preserve">c37f7b36-9883-4191-953f-03fd88762518</t>
  </si>
  <si>
    <t xml:space="preserve">Methyl pentane</t>
  </si>
  <si>
    <t xml:space="preserve">46b5bff3-38d3-417c-89c1-aa69cce3ab50</t>
  </si>
  <si>
    <t xml:space="preserve">9df20e91-df67-4d1e-9f8a-c9b725823de4</t>
  </si>
  <si>
    <t xml:space="preserve">3635d239-8c0f-4ebf-bc6c-07ca00bbc14c</t>
  </si>
  <si>
    <t xml:space="preserve">f7ea1420-3b1b-4bc8-9f9e-fdd15771c0d4</t>
  </si>
  <si>
    <t xml:space="preserve">00012c0a-9bff-4787-a7eb-56c3d2f43692</t>
  </si>
  <si>
    <t xml:space="preserve">05f078ed-c834-45e3-aea0-05609ca93b4c</t>
  </si>
  <si>
    <t xml:space="preserve">3822809c-cc03-469d-ac2a-9f85842f8440</t>
  </si>
  <si>
    <t xml:space="preserve">7d3f7498-3596-478a-9fa1-72201ef94082</t>
  </si>
  <si>
    <t xml:space="preserve">163926e2-b4cc-42bb-ba7d-401028140985</t>
  </si>
  <si>
    <t xml:space="preserve">442511cc-a98b-4242-9229-5736cb9a9399</t>
  </si>
  <si>
    <t xml:space="preserve">fdaaef05-0d10-4032-b2e7-85cae3c7bd5c</t>
  </si>
  <si>
    <t xml:space="preserve">171528d9-6a7b-41cb-8c4c-60d2ad0955a1</t>
  </si>
  <si>
    <t xml:space="preserve">Molybdenum-99</t>
  </si>
  <si>
    <t xml:space="preserve">396309cb-c6b2-4105-ab6a-a5a671f6edbf</t>
  </si>
  <si>
    <t xml:space="preserve">f8f82656-be38-4879-a28e-8d4c33d09f04</t>
  </si>
  <si>
    <t xml:space="preserve">a7ea85d9-b9d1-4054-ba58-4e6bf4d858d0</t>
  </si>
  <si>
    <t xml:space="preserve">51961868-5152-47af-8e3c-45f31dae6519</t>
  </si>
  <si>
    <t xml:space="preserve">dd038335-2e7d-405f-ab94-16231b804f8e</t>
  </si>
  <si>
    <t xml:space="preserve">Monobutyltin</t>
  </si>
  <si>
    <t xml:space="preserve">a1af6718-19fc-4727-b640-cda0ac7481fc</t>
  </si>
  <si>
    <t xml:space="preserve">48cb6314-1cbe-4ab1-9374-00720b682531</t>
  </si>
  <si>
    <t xml:space="preserve">944e2b6d-7a4e-4d37-875d-12e9ab746375</t>
  </si>
  <si>
    <t xml:space="preserve">aca00a43-1ff9-489e-8fc6-00d2551eece8</t>
  </si>
  <si>
    <t xml:space="preserve">60340c7f-e9ce-474f-ac08-a6d4d9f864fc</t>
  </si>
  <si>
    <t xml:space="preserve">071efe89-12e0-4ff8-80d1-4e6cf1e37233</t>
  </si>
  <si>
    <t xml:space="preserve">cff46201-bfb0-486c-8f70-277a413c58a1</t>
  </si>
  <si>
    <t xml:space="preserve">Monophenyltin</t>
  </si>
  <si>
    <t xml:space="preserve">6ed91be2-eb3f-4676-957c-60de03d8e536</t>
  </si>
  <si>
    <t xml:space="preserve">19084123-7b31-4054-9afe-adc0dd20192f</t>
  </si>
  <si>
    <t xml:space="preserve">78ed3462-c627-458e-889e-6b6a6dcdebeb</t>
  </si>
  <si>
    <t xml:space="preserve">65729ea1-eadb-4ca8-a573-1069a3d5f891</t>
  </si>
  <si>
    <t xml:space="preserve">7cc66f3a-9b59-4ad0-8181-3d2c5d690961</t>
  </si>
  <si>
    <t xml:space="preserve">2ec209eb-22f1-47ca-8d32-c11dc4a92d0d</t>
  </si>
  <si>
    <t xml:space="preserve">56815b4f-6138-4e0b-9fac-c94fd6b102b3</t>
  </si>
  <si>
    <t xml:space="preserve">e030108f-2125-4bcb-a73b-ad72130fcca3</t>
  </si>
  <si>
    <t xml:space="preserve">Nickel, ion</t>
  </si>
  <si>
    <t xml:space="preserve">9f69cb8e-51fe-447b-a1ac-4da74de8ebe4</t>
  </si>
  <si>
    <t xml:space="preserve">23cb10a4-6228-4ce4-9fb5-7043bc31faec</t>
  </si>
  <si>
    <t xml:space="preserve">9798359e-a3ee-4362-a038-23a188582c6e</t>
  </si>
  <si>
    <t xml:space="preserve">6ec6cdaa-5a01-46d4-b716-1905e56690ea</t>
  </si>
  <si>
    <t xml:space="preserve">c74226fa-4297-44ff-8caa-6b3cfd6dd67a</t>
  </si>
  <si>
    <t xml:space="preserve">06449f0f-08af-4ca6-8c23-afd06c887810</t>
  </si>
  <si>
    <t xml:space="preserve">b5a90600-3fe4-4d46-9e4a-2c9f4d87675c</t>
  </si>
  <si>
    <t xml:space="preserve">dec2d31c-00b1-454a-9b2a-37875c0af04a</t>
  </si>
  <si>
    <t xml:space="preserve">a53100b0-d453-4dad-b885-3728482d5c55</t>
  </si>
  <si>
    <t xml:space="preserve">b9291c72-4b1d-4275-8068-4c707dc3ce33</t>
  </si>
  <si>
    <t xml:space="preserve">b61057a3-a0bc-4158-882e-b819c4797419</t>
  </si>
  <si>
    <t xml:space="preserve">43c700bb-0b3b-4fb1-8bd1-3d1da82b6844</t>
  </si>
  <si>
    <t xml:space="preserve">7ce56135-2ca5-4fba-ad52-d62a34bfeb35</t>
  </si>
  <si>
    <t xml:space="preserve">5189de76-6bbb-44ba-8c42-5714f1b4371f</t>
  </si>
  <si>
    <t xml:space="preserve">9a98be81-7711-4a1b-adc0-8e65acf05d62</t>
  </si>
  <si>
    <t xml:space="preserve">Nitrite</t>
  </si>
  <si>
    <t xml:space="preserve">f5d022f1-c26d-4044-ac88-d7c5bbff83c4</t>
  </si>
  <si>
    <t xml:space="preserve">2f19a0af-a516-4f89-88ba-4c6b7cd52650</t>
  </si>
  <si>
    <t xml:space="preserve">0017271e-7df5-40bc-833a-36110c1fe5d5</t>
  </si>
  <si>
    <t xml:space="preserve">9f5bfac4-cbb6-4b38-afb9-cf563fc5ca15</t>
  </si>
  <si>
    <t xml:space="preserve">c778e59e-23d1-438c-bfb3-7321e019f1cf</t>
  </si>
  <si>
    <t xml:space="preserve">4c1f2242-8f97-4b1b-9511-af456caea4e6</t>
  </si>
  <si>
    <t xml:space="preserve">66eab6b4-6ba0-436f-ad18-331ec0ddca20</t>
  </si>
  <si>
    <t xml:space="preserve">ac84dcb0-8ff0-4aa5-a9c4-f6c5129f6f86</t>
  </si>
  <si>
    <t xml:space="preserve">183aa819-941d-48b4-9d47-7e725d1813bb</t>
  </si>
  <si>
    <t xml:space="preserve">0c150bb4-fd1a-43f8-b6c9-5dfda8dadb6c</t>
  </si>
  <si>
    <t xml:space="preserve">42eeb663-34dc-4394-8a07-e4d8e45a7e2d</t>
  </si>
  <si>
    <t xml:space="preserve">996829cc-2d40-418a-beda-7c50399952f9</t>
  </si>
  <si>
    <t xml:space="preserve">ae70ca6c-807a-482b-9ddc-e449b4893fe3</t>
  </si>
  <si>
    <t xml:space="preserve">dcfe0815-6fa3-4e1d-a55e-155b29904f1d</t>
  </si>
  <si>
    <t xml:space="preserve">b646bb3e-65e2-4f85-8376-9408e94e4b59</t>
  </si>
  <si>
    <t xml:space="preserve">Nitrogen, organic bound</t>
  </si>
  <si>
    <t xml:space="preserve">15cfc784-a719-4230-ad2e-f4104d56c427</t>
  </si>
  <si>
    <t xml:space="preserve">77c7dcf8-1d10-4725-9f8f-bcdccaed0836</t>
  </si>
  <si>
    <t xml:space="preserve">d43f7827-b47b-4652-8366-f370995fd206</t>
  </si>
  <si>
    <t xml:space="preserve">a703733d-fabc-487b-826a-06c11ac4c0c6</t>
  </si>
  <si>
    <t xml:space="preserve">ae8a126c-b807-4e88-88e8-e7f46d098301</t>
  </si>
  <si>
    <t xml:space="preserve">8244db98-b33f-4f4e-98e5-39dd130a1713</t>
  </si>
  <si>
    <t xml:space="preserve">68ba42b2-62fc-49c1-b9d6-e3bda8b179ec</t>
  </si>
  <si>
    <t xml:space="preserve">3ea439c3-64aa-4c90-a265-188350e7a4a6</t>
  </si>
  <si>
    <t xml:space="preserve">5d830756-4153-4cc9-ade4-69f8c19e150f</t>
  </si>
  <si>
    <t xml:space="preserve">82c27b2a-69a8-4b1e-ad4e-4de9475630c6</t>
  </si>
  <si>
    <t xml:space="preserve">6da0e891-3648-43a5-b0cf-f1872c57db8d</t>
  </si>
  <si>
    <t xml:space="preserve">9a891f6c-937c-4226-9702-4a552973ae3f</t>
  </si>
  <si>
    <t xml:space="preserve">c2fa3c88-ff02-5b95-8f4a-8fa1e5183873</t>
  </si>
  <si>
    <t xml:space="preserve">2cfcbe85-0dfd-4414-8683-ecc74392346c</t>
  </si>
  <si>
    <t xml:space="preserve">edef6579-93cd-4971-98ac-4241071af450</t>
  </si>
  <si>
    <t xml:space="preserve">300bed66-a3c8-46cf-92c2-92d28dff9f91</t>
  </si>
  <si>
    <t xml:space="preserve">16167d62-361c-4ed9-bfeb-3ad4545e794c</t>
  </si>
  <si>
    <t xml:space="preserve">f21b8022-f20d-4752-8cd6-728f56cf9c43</t>
  </si>
  <si>
    <t xml:space="preserve">55640730-a22e-4972-8709-f05c560b2d8b</t>
  </si>
  <si>
    <t xml:space="preserve">ef90b8a8-d053-4927-9efe-841d9e1f3a5e</t>
  </si>
  <si>
    <t xml:space="preserve">f8f45bf4-3126-41ac-918f-944a028c2ac8</t>
  </si>
  <si>
    <t xml:space="preserve">ff888538-eda9-4bf7-8612-a75acf1e85ac</t>
  </si>
  <si>
    <t xml:space="preserve">7d28533b-a7ad-4acc-914a-f534829b2e78</t>
  </si>
  <si>
    <t xml:space="preserve">13b07693-bf3c-4f08-8e21-a4a6b743106c</t>
  </si>
  <si>
    <t xml:space="preserve">23c39061-9fdb-4753-8aaa-893a8cad4a4e</t>
  </si>
  <si>
    <t xml:space="preserve">696e997b-bc1e-44c2-9145-e93163c97c61</t>
  </si>
  <si>
    <t xml:space="preserve">230c08c9-70b7-4d28-a649-f5f85fbc3162</t>
  </si>
  <si>
    <t xml:space="preserve">b0106679-8469-46f6-b989-559222745bd6</t>
  </si>
  <si>
    <t xml:space="preserve">92239067-b6f3-419f-b0ff-6ae67a804deb</t>
  </si>
  <si>
    <t xml:space="preserve">195e0a29-e62d-47fc-b1f6-7155939e2b25</t>
  </si>
  <si>
    <t xml:space="preserve">13fcf4c3-7800-5444-ba84-6d4b7e611ce6</t>
  </si>
  <si>
    <t xml:space="preserve">74f5020d-ee9e-400b-9e64-03dead9e4ffa</t>
  </si>
  <si>
    <t xml:space="preserve">Perchlorate, ion</t>
  </si>
  <si>
    <t xml:space="preserve">fa30d40e-91e8-4a8a-b9e1-f1a6b330a096</t>
  </si>
  <si>
    <t xml:space="preserve">de333139-a26f-42de-ba1b-c7c24c2964bc</t>
  </si>
  <si>
    <t xml:space="preserve">b59faa48-28a7-485e-b8c1-6284dff23282</t>
  </si>
  <si>
    <t xml:space="preserve">4f722a22-e077-4626-830a-c57d856decc0</t>
  </si>
  <si>
    <t xml:space="preserve">54759564-e002-427d-836f-ad2a84cb7417</t>
  </si>
  <si>
    <t xml:space="preserve">d42cf485-e4e1-4f13-8d6c-7d8b8a3903df</t>
  </si>
  <si>
    <t xml:space="preserve">28febdb5-59ae-41c3-8709-43edb165f74e</t>
  </si>
  <si>
    <t xml:space="preserve">479008ad-0dce-46d5-8ba2-972633689864</t>
  </si>
  <si>
    <t xml:space="preserve">a3436836-e2fe-4c30-b9a7-0098b489374f</t>
  </si>
  <si>
    <t xml:space="preserve">64836dd0-8b0f-41ba-a7d3-be54358fc4b3</t>
  </si>
  <si>
    <t xml:space="preserve">39153cb9-a8fe-4fc8-beef-1bf1edceb8e7</t>
  </si>
  <si>
    <t xml:space="preserve">329fc7d8-4011-4327-84e4-34ff76f0e42d</t>
  </si>
  <si>
    <t xml:space="preserve">Phosphate</t>
  </si>
  <si>
    <t xml:space="preserve">490b267b-f429-4d9a-ac79-224e37fb4d58</t>
  </si>
  <si>
    <t xml:space="preserve">3aaf9017-0d8a-42aa-9a60-cbc39e994e73</t>
  </si>
  <si>
    <t xml:space="preserve">1727b41d-377e-43cd-bc01-9eaba946eccb</t>
  </si>
  <si>
    <t xml:space="preserve">c8791f3c-3c4a-4278-91c0-483797d14da2</t>
  </si>
  <si>
    <t xml:space="preserve">cefa3637-739c-5e9f-99a6-2456e6a44772</t>
  </si>
  <si>
    <t xml:space="preserve">b1fca66f-8e83-469a-a7b5-018e14d5d545</t>
  </si>
  <si>
    <t xml:space="preserve">76b09afe-52b9-4ecc-b97a-00b49ad8ed1a</t>
  </si>
  <si>
    <t xml:space="preserve">62f3d964-9b53-4d01-9ee0-04112dcfc6d2</t>
  </si>
  <si>
    <t xml:space="preserve">b2631209-8374-431e-b7d5-56c96c6b6d79</t>
  </si>
  <si>
    <t xml:space="preserve">2d4b8ec1-8d53-4e62-8a11-ebc45909b02e</t>
  </si>
  <si>
    <t xml:space="preserve">140821a2-66bf-5600-9934-889cbf313c1e</t>
  </si>
  <si>
    <t xml:space="preserve">Phosphorus oxychloride</t>
  </si>
  <si>
    <t xml:space="preserve">d93300fd-ea6a-5e77-848c-520e1b144069</t>
  </si>
  <si>
    <t xml:space="preserve">Phosphorus pentachloride</t>
  </si>
  <si>
    <t xml:space="preserve">5cf4e418-9cd0-5139-bfc2-5d8a8ffda5ff</t>
  </si>
  <si>
    <t xml:space="preserve">37fdd960-4e85-47a1-9f27-098c412fc956</t>
  </si>
  <si>
    <t xml:space="preserve">Phthalate, butyl-benzyl-</t>
  </si>
  <si>
    <t xml:space="preserve">21707ec1-bc38-4b1c-ac8b-0a2b3f7d5ec9</t>
  </si>
  <si>
    <t xml:space="preserve">67abf374-4b8d-426b-8664-e4246535ba8b</t>
  </si>
  <si>
    <t xml:space="preserve">65a9697b-d317-4f0b-939a-6aa18ac6342f</t>
  </si>
  <si>
    <t xml:space="preserve">a9c187bb-8ff5-4e96-9a98-c5b744593932</t>
  </si>
  <si>
    <t xml:space="preserve">77241bc4-5911-40b8-927c-9bf5755c6634</t>
  </si>
  <si>
    <t xml:space="preserve">Phthalate, dibutyl-</t>
  </si>
  <si>
    <t xml:space="preserve">0eae6018-d930-452a-82a0-e4190dd09794</t>
  </si>
  <si>
    <t xml:space="preserve">f74f45cd-431c-48a5-b0f7-dc4632089fb4</t>
  </si>
  <si>
    <t xml:space="preserve">c10883f9-143d-4f6e-971f-a62174491d4d</t>
  </si>
  <si>
    <t xml:space="preserve">3563befa-20c2-4849-9597-b5ed2b5aaf41</t>
  </si>
  <si>
    <t xml:space="preserve">7829233b-ad9f-493d-97f5-735f5035cc71</t>
  </si>
  <si>
    <t xml:space="preserve">Phthalate, dimethyl-</t>
  </si>
  <si>
    <t xml:space="preserve">9abf6146-4e6a-4307-ba5e-0fb533746c8d</t>
  </si>
  <si>
    <t xml:space="preserve">88721eca-7e30-45a2-9fdb-3f15788c7bd0</t>
  </si>
  <si>
    <t xml:space="preserve">4a1542d8-5f0e-488e-90d1-658d40c41695</t>
  </si>
  <si>
    <t xml:space="preserve">5e3a522a-d959-4aac-9ff0-c1c09f4e645e</t>
  </si>
  <si>
    <t xml:space="preserve">c2109686-6a9f-40b7-bf55-55b967833e34</t>
  </si>
  <si>
    <t xml:space="preserve">Phthalate, dioctyl-</t>
  </si>
  <si>
    <t xml:space="preserve">1b454b03-a601-4d88-8c7c-21d971de9480</t>
  </si>
  <si>
    <t xml:space="preserve">bce93346-6a23-4531-981c-90ef717aabda</t>
  </si>
  <si>
    <t xml:space="preserve">c5a05d85-646d-4c61-860c-5558eb1990f4</t>
  </si>
  <si>
    <t xml:space="preserve">d86d9085-975a-4212-9553-8bde88eb3c9f</t>
  </si>
  <si>
    <t xml:space="preserve">0e2c8aa9-56be-4e7f-8f10-34f1baa70c0a</t>
  </si>
  <si>
    <t xml:space="preserve">ef049021-80ac-4f0f-aae8-eccf398a1af5</t>
  </si>
  <si>
    <t xml:space="preserve">2b185e1c-282d-40df-86c9-99de81830782</t>
  </si>
  <si>
    <t xml:space="preserve">b4b9964c-0ab6-4eae-a434-85d27f5ff3ae</t>
  </si>
  <si>
    <t xml:space="preserve">b9645eb8-07b6-420d-a0f8-939257a8e036</t>
  </si>
  <si>
    <t xml:space="preserve">90af03c6-a2a2-416e-ba17-88a7b7aedf7a</t>
  </si>
  <si>
    <t xml:space="preserve">7b8fc21a-ef18-4dfc-a261-ad68a2f1ebb5</t>
  </si>
  <si>
    <t xml:space="preserve">a3cfd5c8-d309-469c-aef6-21a0388902d6</t>
  </si>
  <si>
    <t xml:space="preserve">819b2984-a9f6-4086-922d-5aa0be96dfdb</t>
  </si>
  <si>
    <t xml:space="preserve">a9336e5c-85b9-4f12-b177-92b9bb5bdd35</t>
  </si>
  <si>
    <t xml:space="preserve">48725db0-ff99-4074-90a0-bb22165432bb</t>
  </si>
  <si>
    <t xml:space="preserve">020182dd-907f-4a99-b1f7-f28aae3d11ef</t>
  </si>
  <si>
    <t xml:space="preserve">c6976591-c1f2-4c53-b9ff-182db73f0a7f</t>
  </si>
  <si>
    <t xml:space="preserve">f81d8b52-b588-45d6-ba49-e7d53ade5bb5</t>
  </si>
  <si>
    <t xml:space="preserve">8bb37e69-9292-4af4-ba62-a55f00ac8f16</t>
  </si>
  <si>
    <t xml:space="preserve">fed18945-b0e0-47a4-8fa0-6bc99c3c512a</t>
  </si>
  <si>
    <t xml:space="preserve">c21a1397-82dc-427a-a6cb-c790ba2626f4</t>
  </si>
  <si>
    <t xml:space="preserve">a07b8a8c-8cab-4656-a82f-310e8069e323</t>
  </si>
  <si>
    <t xml:space="preserve">Potassium, ion</t>
  </si>
  <si>
    <t xml:space="preserve">b93fc4df-91b2-4ac4-a315-89147515ddfb</t>
  </si>
  <si>
    <t xml:space="preserve">297cc04f-e215-433c-ae3b-d1e34464c785</t>
  </si>
  <si>
    <t xml:space="preserve">1653bf60-f682-4088-b02d-6dc44eae2786</t>
  </si>
  <si>
    <t xml:space="preserve">130bbacf-e7c7-4ffd-b109-4d576f1d02c1</t>
  </si>
  <si>
    <t xml:space="preserve">f970ac84-3896-4168-a701-c73bf475edbb</t>
  </si>
  <si>
    <t xml:space="preserve">d566d1cb-8e97-40a2-84a1-98f558ecd941</t>
  </si>
  <si>
    <t xml:space="preserve">c52555d3-077e-4970-9089-f5d30ab1212e</t>
  </si>
  <si>
    <t xml:space="preserve">7a35cc5e-9093-4ef6-bf78-37221ebcb1bb</t>
  </si>
  <si>
    <t xml:space="preserve">9c26300a-06dd-4a68-a6d2-ce876dc07e14</t>
  </si>
  <si>
    <t xml:space="preserve">05d248c7-0159-49c6-88f8-bd4aa70f4894</t>
  </si>
  <si>
    <t xml:space="preserve">9033de29-de9e-44b5-aea0-c9edb9ca2dd4</t>
  </si>
  <si>
    <t xml:space="preserve">4d6a46d2-a935-4bdc-93ff-bc49d3ae10d5</t>
  </si>
  <si>
    <t xml:space="preserve">f13b60bd-4185-4a76-ba54-fc25ce180de4</t>
  </si>
  <si>
    <t xml:space="preserve">3653d86e-4a4d-49da-b0dd-ff346c54210d</t>
  </si>
  <si>
    <t xml:space="preserve">85500204-9d88-40ae-9f0b-3ceba0e7a74f</t>
  </si>
  <si>
    <t xml:space="preserve">099aeca3-9b1a-44be-9b67-7bb90dffe37c</t>
  </si>
  <si>
    <t xml:space="preserve">1f5c895e-f17c-4e2e-ba55-368273bdcf21</t>
  </si>
  <si>
    <t xml:space="preserve">3277a622-8234-4c73-ba22-526cf9a0fccc</t>
  </si>
  <si>
    <t xml:space="preserve">4d567c70-f938-4a8f-b2ad-10c0b8f1366c</t>
  </si>
  <si>
    <t xml:space="preserve">fd08307f-57b3-4fba-9b06-7fbe7024a636</t>
  </si>
  <si>
    <t xml:space="preserve">69c7318c-95eb-4d72-85f4-82e11e6df3a3</t>
  </si>
  <si>
    <t xml:space="preserve">b0cdbc78-e226-4e8b-97ff-3a557ab7ab55</t>
  </si>
  <si>
    <t xml:space="preserve">1469e83d-2ac9-4e64-84e0-cfe37c85fd9d</t>
  </si>
  <si>
    <t xml:space="preserve">94eb8352-8af0-4929-b883-864b27fcfc96</t>
  </si>
  <si>
    <t xml:space="preserve">c1e943d6-a301-431d-ab72-779b5589deaf</t>
  </si>
  <si>
    <t xml:space="preserve">9bebedc1-d722-4dcd-bf4a-0f25da82eaa6</t>
  </si>
  <si>
    <t xml:space="preserve">14a8c75b-9985-4009-bf45-dc6d3bb4e52e</t>
  </si>
  <si>
    <t xml:space="preserve">b9fa401a-d878-4369-a241-89ab0a32a33a</t>
  </si>
  <si>
    <t xml:space="preserve">5b6d2405-8e33-4edd-9f51-41cdf1935d66</t>
  </si>
  <si>
    <t xml:space="preserve">374b89b9-1abe-4557-aff3-fb772bffe01b</t>
  </si>
  <si>
    <t xml:space="preserve">2f2450fa-6720-4b59-9876-10a9ee843958</t>
  </si>
  <si>
    <t xml:space="preserve">c8de8312-39d5-4d3f-aba2-4daf8572738b</t>
  </si>
  <si>
    <t xml:space="preserve">b5f2d9eb-44b9-41ba-a948-e75b794e5b07</t>
  </si>
  <si>
    <t xml:space="preserve">b2a002a3-e8db-49b0-918d-6e2136653321</t>
  </si>
  <si>
    <t xml:space="preserve">813b3b1d-4b12-44cd-bbb9-5c384ba019d2</t>
  </si>
  <si>
    <t xml:space="preserve">5fa6e9b8-8314-4d9d-afaf-bc6ee580d76c</t>
  </si>
  <si>
    <t xml:space="preserve">738d4e72-bfb8-44ca-8d2d-3fd67fdbf59a</t>
  </si>
  <si>
    <t xml:space="preserve">e38bceb5-e847-472a-9ea9-1885d958a6b5</t>
  </si>
  <si>
    <t xml:space="preserve">c07b56e8-5bbe-45f3-8d79-46c7a29c0a42</t>
  </si>
  <si>
    <t xml:space="preserve">b1b1fd04-fad3-4e5d-a8ae-e15ff7fdcca5</t>
  </si>
  <si>
    <t xml:space="preserve">48fececf-9b55-408d-9782-72057c79effe</t>
  </si>
  <si>
    <t xml:space="preserve">769d4ef0-455c-42a8-9eea-92ede2690ad8</t>
  </si>
  <si>
    <t xml:space="preserve">d1954c78-79d4-494e-9a96-39e8c2215fc9</t>
  </si>
  <si>
    <t xml:space="preserve">f35c0ef5-ab68-4051-a390-695079108891</t>
  </si>
  <si>
    <t xml:space="preserve">34d04e86-d650-4f1e-96d5-7f09132fddcc</t>
  </si>
  <si>
    <t xml:space="preserve">d68ebacc-8799-48f8-aab6-d366b851690b</t>
  </si>
  <si>
    <t xml:space="preserve">1cd8762b-d985-4206-b57e-f321e9b52399</t>
  </si>
  <si>
    <t xml:space="preserve">d6ec8431-7ff8-4018-8574-00a03966c952</t>
  </si>
  <si>
    <t xml:space="preserve">63965114-82ca-4aea-be4d-19e8b6374040</t>
  </si>
  <si>
    <t xml:space="preserve">746ad09d-3f01-40ed-9802-cb274bd4fb40</t>
  </si>
  <si>
    <t xml:space="preserve">b397980f-62a4-4b0f-a05c-7c5c0e634aec</t>
  </si>
  <si>
    <t xml:space="preserve">d604b3dc-65ad-43a0-a6ef-2885719d65b6</t>
  </si>
  <si>
    <t xml:space="preserve">Radioactive species, Nuclides, unspecified</t>
  </si>
  <si>
    <t xml:space="preserve">7d52629e-a31d-4774-8cc9-3f60541a3c56</t>
  </si>
  <si>
    <t xml:space="preserve">2bbffe32-86bd-485c-95a2-844bbfd42840</t>
  </si>
  <si>
    <t xml:space="preserve">47a8b1b4-d9f3-4dee-b47a-dac7e75cccbc</t>
  </si>
  <si>
    <t xml:space="preserve">e8c62990-85c7-4f16-ab5f-76a5fc28a2a5</t>
  </si>
  <si>
    <t xml:space="preserve">2e704527-1e5f-49d0-a2e9-e6d10d52d6e4</t>
  </si>
  <si>
    <t xml:space="preserve">Radioactive species, alpha emitters</t>
  </si>
  <si>
    <t xml:space="preserve">da783fd2-b0db-47b0-abad-18a4f83c5994</t>
  </si>
  <si>
    <t xml:space="preserve">14e8ce09-acbd-4b33-abb8-e09416363971</t>
  </si>
  <si>
    <t xml:space="preserve">43b60c00-8156-49a1-9a9d-f68ccca0d000</t>
  </si>
  <si>
    <t xml:space="preserve">41608b3b-1057-4205-a0bc-0618e5af7e1b</t>
  </si>
  <si>
    <t xml:space="preserve">7a832300-1384-4b6b-aee0-598b30763d03</t>
  </si>
  <si>
    <t xml:space="preserve">Radioactive species, from fission and activation</t>
  </si>
  <si>
    <t xml:space="preserve">e9a2a465-ee3b-4edf-9933-80bbe0340f51</t>
  </si>
  <si>
    <t xml:space="preserve">cd13af82-bcbf-4c27-bbf5-f07ed38b6294</t>
  </si>
  <si>
    <t xml:space="preserve">71b8d07b-d181-43f1-b8a2-67d7404a66ad</t>
  </si>
  <si>
    <t xml:space="preserve">33fe9178-c7f7-4ebe-950a-8cbd1e799424</t>
  </si>
  <si>
    <t xml:space="preserve">9b20a822-25a5-4edf-8eff-a3bd963c9577</t>
  </si>
  <si>
    <t xml:space="preserve">Radium-224</t>
  </si>
  <si>
    <t xml:space="preserve">e91315c1-cae7-4ade-bc9a-595bfdca133f</t>
  </si>
  <si>
    <t xml:space="preserve">0a7de246-d762-4210-8656-56e1f26249b6</t>
  </si>
  <si>
    <t xml:space="preserve">8812d57e-ae84-497e-a778-e5c318120205</t>
  </si>
  <si>
    <t xml:space="preserve">de9eee06-aa4b-4842-a43f-70be12e969da</t>
  </si>
  <si>
    <t xml:space="preserve">788c0461-92d9-4a39-b89b-e3c42a5c68ae</t>
  </si>
  <si>
    <t xml:space="preserve">090cc44a-7ca1-46fc-98bf-5bc6f5afb0a6</t>
  </si>
  <si>
    <t xml:space="preserve">74a0aabb-e11b-4f3b-8921-45e447b33393</t>
  </si>
  <si>
    <t xml:space="preserve">15648250-4537-4960-a6dc-0802d39c26a7</t>
  </si>
  <si>
    <t xml:space="preserve">d65a94b4-0479-42cc-8274-2db66e1e6aeb</t>
  </si>
  <si>
    <t xml:space="preserve">fe807c9d-7e35-4500-9511-25b92cd6fe53</t>
  </si>
  <si>
    <t xml:space="preserve">d4bb55d3-8165-466b-b502-d4b25fae104b</t>
  </si>
  <si>
    <t xml:space="preserve">09257283-72d9-4d13-838b-ee7f28e6d146</t>
  </si>
  <si>
    <t xml:space="preserve">d2312bc4-af11-445f-aa07-20d95b2794bd</t>
  </si>
  <si>
    <t xml:space="preserve">4ea9bb4f-e4ab-45d7-beb5-dc07fc1c685a</t>
  </si>
  <si>
    <t xml:space="preserve">92fab0ed-7e96-4b70-8e97-e9738f8bcce6</t>
  </si>
  <si>
    <t xml:space="preserve">f49f7030-06a6-4340-a890-87d0e918acab</t>
  </si>
  <si>
    <t xml:space="preserve">ebc5f04e-ae40-49b1-b07b-495f67e26c28</t>
  </si>
  <si>
    <t xml:space="preserve">82bb882b-572f-4af0-b35b-4c846ee49dda</t>
  </si>
  <si>
    <t xml:space="preserve">c8b3b6da-32c8-44df-914d-50e2adfbe1e3</t>
  </si>
  <si>
    <t xml:space="preserve">6d1a5ae7-22cd-458c-a854-a5f2e7b2c00b</t>
  </si>
  <si>
    <t xml:space="preserve">9b24671c-b053-43aa-b93a-f2c16e251e63</t>
  </si>
  <si>
    <t xml:space="preserve">786831a1-b7e8-4b69-81a6-5bdfa552bd19</t>
  </si>
  <si>
    <t xml:space="preserve">40d16700-3130-41da-8e94-e1b127741f59</t>
  </si>
  <si>
    <t xml:space="preserve">958272cf-f09a-4941-9f99-199739645b93</t>
  </si>
  <si>
    <t xml:space="preserve">47367f49-cc19-46a1-9b51-c7ceed075bff</t>
  </si>
  <si>
    <t xml:space="preserve">79fe27fb-c2b4-4c50-8475-a9b2fdb53588</t>
  </si>
  <si>
    <t xml:space="preserve">d134df3d-b37d-4c58-9913-b1653cdca3cc</t>
  </si>
  <si>
    <t xml:space="preserve">7c471c87-3169-490c-8f01-ea99f9a22c6e</t>
  </si>
  <si>
    <t xml:space="preserve">639a5c44-7241-4254-ad70-65cd45a9db25</t>
  </si>
  <si>
    <t xml:space="preserve">91861063-1826-4860-9957-7c5bde5817a6</t>
  </si>
  <si>
    <t xml:space="preserve">Salt water (obsolete)</t>
  </si>
  <si>
    <t xml:space="preserve">0a6ae675-cdf2-475d-b4ef-486e78757d65</t>
  </si>
  <si>
    <t xml:space="preserve">f6266ac7-9608-47f2-bc91-3857eb366446</t>
  </si>
  <si>
    <t xml:space="preserve">3626a6e4-e594-44f2-b2cc-24ac1c9b6f07</t>
  </si>
  <si>
    <t xml:space="preserve">2f6bb945-2e93-4ea8-b3b6-7930c3680486</t>
  </si>
  <si>
    <t xml:space="preserve">bd534cc3-5ca2-4e0e-b24e-0f5924627d83</t>
  </si>
  <si>
    <t xml:space="preserve">1be475e0-ccef-4145-98e0-0d47c570a71b</t>
  </si>
  <si>
    <t xml:space="preserve">4d54a415-82d7-49ac-88e1-712bd0009363</t>
  </si>
  <si>
    <t xml:space="preserve">62cc5e18-da24-4fb7-9f7c-1601fedba341</t>
  </si>
  <si>
    <t xml:space="preserve">544dbea9-1d18-44ff-b92b-7866e3baa6dd</t>
  </si>
  <si>
    <t xml:space="preserve">6284e146-54b2-4067-a478-9b8ee24c6400</t>
  </si>
  <si>
    <t xml:space="preserve">fc91fc6f-596e-424a-9ee4-4432d718a66f</t>
  </si>
  <si>
    <t xml:space="preserve">ce88a9b6-0afa-4f68-9b32-8c3438bf4025</t>
  </si>
  <si>
    <t xml:space="preserve">5fefa2d0-133d-444f-b1fe-596d15f4673e</t>
  </si>
  <si>
    <t xml:space="preserve">fc2371dc-5bff-41f6-a155-697fbf727b56</t>
  </si>
  <si>
    <t xml:space="preserve">b8823bae-a149-44d7-825b-30708a97cb5f</t>
  </si>
  <si>
    <t xml:space="preserve">46190ab6-8a25-40e2-8be1-b5145fed2f25</t>
  </si>
  <si>
    <t xml:space="preserve">Silicon dioxide</t>
  </si>
  <si>
    <t xml:space="preserve">71cfe87c-ab80-421e-adba-afb7d5bd0861</t>
  </si>
  <si>
    <t xml:space="preserve">Silver, ion</t>
  </si>
  <si>
    <t xml:space="preserve">94426df9-63b1-4dc6-ad1b-3509e22f1154</t>
  </si>
  <si>
    <t xml:space="preserve">21c257b2-57ce-4a6e-b4bd-40f0f75f310f</t>
  </si>
  <si>
    <t xml:space="preserve">af9793ba-25a1-4928-a14a-4bcf7d5bd3f7</t>
  </si>
  <si>
    <t xml:space="preserve">6aa8673f-f7e3-4270-93dc-e97b745fced7</t>
  </si>
  <si>
    <t xml:space="preserve">2e7b6bd9-c3af-498f-8d33-b172fc82c688</t>
  </si>
  <si>
    <t xml:space="preserve">2a8ec77d-55f2-402a-bc5a-2e9162de2822</t>
  </si>
  <si>
    <t xml:space="preserve">0c1f1396-1b8f-4958-858c-1fde3a746125</t>
  </si>
  <si>
    <t xml:space="preserve">9f826bcb-5efc-4977-93f2-8415e3f957df</t>
  </si>
  <si>
    <t xml:space="preserve">3d73dd18-aec5-41a6-bc11-91a8aa9beb1d</t>
  </si>
  <si>
    <t xml:space="preserve">73a1b292-e31d-4100-a413-304795a3656f</t>
  </si>
  <si>
    <t xml:space="preserve">723f56f9-c68e-5692-a969-0fb2a70bce20</t>
  </si>
  <si>
    <t xml:space="preserve">7fdd39dc-4b73-4fa3-a28c-18f52ddce951</t>
  </si>
  <si>
    <t xml:space="preserve">3c2d03ee-5d0a-4866-b0de-5d4bd1823b1a</t>
  </si>
  <si>
    <t xml:space="preserve">a857022f-c251-4665-81fb-dce3346ac8e4</t>
  </si>
  <si>
    <t xml:space="preserve">5fcc7fe2-9834-4cc7-82d3-766d083f6235</t>
  </si>
  <si>
    <t xml:space="preserve">375f256f-393f-4c89-8db9-56260f7c8046</t>
  </si>
  <si>
    <t xml:space="preserve">b1cb0241-be95-4d53-88a7-8ffeaa1245f9</t>
  </si>
  <si>
    <t xml:space="preserve">77f8cc18-5765-4bbe-8661-1189693bfbe7</t>
  </si>
  <si>
    <t xml:space="preserve">5760329d-2fcb-4021-b9fa-878460c1c1f2</t>
  </si>
  <si>
    <t xml:space="preserve">8de41dc8-4edd-4183-9cf7-fffd7d38ee23</t>
  </si>
  <si>
    <t xml:space="preserve">f8ac9a93-5172-4349-bc59-01af13f7dbb6</t>
  </si>
  <si>
    <t xml:space="preserve">ee9fdd7c-5e29-4bdb-852a-3258f06ec2ab</t>
  </si>
  <si>
    <t xml:space="preserve">Sodium, ion</t>
  </si>
  <si>
    <t xml:space="preserve">fb83d61e-6fe3-4da7-8eb2-b0e2dc85a76d</t>
  </si>
  <si>
    <t xml:space="preserve">9310f497-3205-4717-aaa8-1a94c321f7d8</t>
  </si>
  <si>
    <t xml:space="preserve">1fc409bc-b8e7-48b2-92d5-2ced4aa7bae2</t>
  </si>
  <si>
    <t xml:space="preserve">5ac961f0-8e53-42ff-b13f-1a7fb9133868</t>
  </si>
  <si>
    <t xml:space="preserve">f9075059-92a7-4056-aece-d85a8bd6b2b9</t>
  </si>
  <si>
    <t xml:space="preserve">Sodium-24</t>
  </si>
  <si>
    <t xml:space="preserve">b1725012-49ad-4235-bdc7-4c6dbd49bc54</t>
  </si>
  <si>
    <t xml:space="preserve">0a2b3be6-e2b5-4878-a472-7deab6efc47d</t>
  </si>
  <si>
    <t xml:space="preserve">b696e904-e0a3-4e5a-bca7-500e6661e665</t>
  </si>
  <si>
    <t xml:space="preserve">5842fca1-f1ce-41c7-9191-ff0860343f7e</t>
  </si>
  <si>
    <t xml:space="preserve">ca53777e-d36e-4db0-95ce-009f1d8593b8</t>
  </si>
  <si>
    <t xml:space="preserve">Solids, inorganic</t>
  </si>
  <si>
    <t xml:space="preserve">86b8d6ec-2f99-4f25-a1aa-394807abdb90</t>
  </si>
  <si>
    <t xml:space="preserve">78ef06c6-9fd3-4237-b077-48c932547412</t>
  </si>
  <si>
    <t xml:space="preserve">ae0d4a92-45f4-4293-9fdd-2bbe078bc75f</t>
  </si>
  <si>
    <t xml:space="preserve">0b111253-26b5-4a03-97fb-ed7799c21797</t>
  </si>
  <si>
    <t xml:space="preserve">070f9c6e-584d-40ed-8b07-6b1f7f75dd3f</t>
  </si>
  <si>
    <t xml:space="preserve">8f1b69d9-fc00-4b46-99f9-7a57fd71dad2</t>
  </si>
  <si>
    <t xml:space="preserve">836493d4-5c50-4713-b2a8-7979b830c1a5</t>
  </si>
  <si>
    <t xml:space="preserve">4295ed5b-9824-4bbf-97a4-fc4cabd87f0d</t>
  </si>
  <si>
    <t xml:space="preserve">b26b758d-85cc-41b8-872c-3683caa638d1</t>
  </si>
  <si>
    <t xml:space="preserve">134ef10a-4423-4250-9331-08f654b0900d</t>
  </si>
  <si>
    <t xml:space="preserve">b06d062d-b979-415c-ab40-53b71298e3c7</t>
  </si>
  <si>
    <t xml:space="preserve">22a580a0-6674-4502-8a1c-b8ef9398a1db</t>
  </si>
  <si>
    <t xml:space="preserve">08b681c9-b5fc-46c8-beb5-5ee8bf31cef9</t>
  </si>
  <si>
    <t xml:space="preserve">0a75cbfb-253f-4378-874b-8fb1c9cfef60</t>
  </si>
  <si>
    <t xml:space="preserve">f819c350-4a6c-457d-938f-27e8d23850ad</t>
  </si>
  <si>
    <t xml:space="preserve">0f196b13-68bf-4deb-9fcd-ce7080618320</t>
  </si>
  <si>
    <t xml:space="preserve">48524bfc-be91-406e-986b-9550744e0360</t>
  </si>
  <si>
    <t xml:space="preserve">cebdf8ce-efe8-4218-a32c-612b14e352bb</t>
  </si>
  <si>
    <t xml:space="preserve">3cb1b212-68e7-4945-8a78-dfed2fa37fd2</t>
  </si>
  <si>
    <t xml:space="preserve">9f884326-b503-4451-9259-b52f3001bbb8</t>
  </si>
  <si>
    <t xml:space="preserve">581e3c82-2cae-4450-b490-c3216347cb07</t>
  </si>
  <si>
    <t xml:space="preserve">024b1a73-0cff-4b49-9e1e-7d75110f1e31</t>
  </si>
  <si>
    <t xml:space="preserve">d8c6318b-f01a-46a4-9345-9caa6b3a6ec2</t>
  </si>
  <si>
    <t xml:space="preserve">e4f58170-4339-44d0-bec7-bdf6445b45ee</t>
  </si>
  <si>
    <t xml:space="preserve">31eacbfc-683a-4d36-afc1-80dee42a3b94</t>
  </si>
  <si>
    <t xml:space="preserve">bfc0bf1c-e5e2-4702-a502-08c892031837</t>
  </si>
  <si>
    <t xml:space="preserve">5efff566-462f-4ded-b5b4-6761cf50c376</t>
  </si>
  <si>
    <t xml:space="preserve">37d35fd0-7f07-4b9b-92eb-de3c27050172</t>
  </si>
  <si>
    <t xml:space="preserve">28bca51a-6cc7-46af-961a-fd2b675a1376</t>
  </si>
  <si>
    <t xml:space="preserve">b8c794de-ac20-47f6-ae87-84d91e95da93</t>
  </si>
  <si>
    <t xml:space="preserve">Sulfate, ion</t>
  </si>
  <si>
    <t xml:space="preserve">f3e5bff4-5bdf-55d7-8dd9-3cac7b09e57f</t>
  </si>
  <si>
    <t xml:space="preserve">f7ef52c3-1fc7-4c2f-b002-83fab5a50a7f</t>
  </si>
  <si>
    <t xml:space="preserve">Sulfide</t>
  </si>
  <si>
    <t xml:space="preserve">33130fd7-3a99-437a-b179-33ea64ca1f9d</t>
  </si>
  <si>
    <t xml:space="preserve">4870313f-52a4-4c41-8a08-a25745f2fce9</t>
  </si>
  <si>
    <t xml:space="preserve">0e940fff-f3ba-41b4-a5c6-d53a88bfc707</t>
  </si>
  <si>
    <t xml:space="preserve">8af1b210-ae85-4b60-9644-d5d180075037</t>
  </si>
  <si>
    <t xml:space="preserve">e4d7a9e4-76d6-46f6-b91b-2be8460d248e</t>
  </si>
  <si>
    <t xml:space="preserve">Sulfite</t>
  </si>
  <si>
    <t xml:space="preserve">4d9a8916-fe62-41b4-bd1b-ebe113146387</t>
  </si>
  <si>
    <t xml:space="preserve">ebadae73-f4ff-4594-8241-0fafa5f972d2</t>
  </si>
  <si>
    <t xml:space="preserve">ad0ce2f1-e6ca-4ab4-a9e7-b9c0137a8e00</t>
  </si>
  <si>
    <t xml:space="preserve">24145938-f9e3-40ea-ab06-409187ca5d26</t>
  </si>
  <si>
    <t xml:space="preserve">c2cc0ba3-a0c4-4bb4-9b85-3ff9dae2061f</t>
  </si>
  <si>
    <t xml:space="preserve">8b31d489-c85c-4cd6-bd7b-fc5599acc168</t>
  </si>
  <si>
    <t xml:space="preserve">871b6f07-de14-48d4-b4aa-7745872c7e9a</t>
  </si>
  <si>
    <t xml:space="preserve">16d8a28a-bf21-46ff-ae18-6da39e53fa17</t>
  </si>
  <si>
    <t xml:space="preserve">5ac2254e-6b60-45f5-a700-6e0b93f411c8</t>
  </si>
  <si>
    <t xml:space="preserve">51c35cf0-3417-4d42-936f-9a6fd7a2638a</t>
  </si>
  <si>
    <t xml:space="preserve">Suspended solids, unspecified</t>
  </si>
  <si>
    <t xml:space="preserve">60ed557b-8f2f-4d88-8508-86e7d83aef74</t>
  </si>
  <si>
    <t xml:space="preserve">dc08e010-0bf9-4a36-a1dd-779684c84b3b</t>
  </si>
  <si>
    <t xml:space="preserve">3844f446-ded5-4727-8421-17a00ef4eba7</t>
  </si>
  <si>
    <t xml:space="preserve">693921ef-e02d-4072-add0-55aa4631b213</t>
  </si>
  <si>
    <t xml:space="preserve">73b225ab-ddc4-4a38-9ed0-ceedee987424</t>
  </si>
  <si>
    <t xml:space="preserve">TOC, Total Organic Carbon</t>
  </si>
  <si>
    <t xml:space="preserve">8734eb08-50cf-4f5a-8d1a-db76d38efe3c</t>
  </si>
  <si>
    <t xml:space="preserve">d1c0567e-ff1a-4cb7-a4f0-de28b2d99b63</t>
  </si>
  <si>
    <t xml:space="preserve">f65558fb-61a1-4e48-b4f2-60d62f14b085</t>
  </si>
  <si>
    <t xml:space="preserve">cec4a04d-562a-4a38-a98f-5fb3d07eea6b</t>
  </si>
  <si>
    <t xml:space="preserve">b1f2f5fb-9107-43ca-8066-9033d23f184c</t>
  </si>
  <si>
    <t xml:space="preserve">69349323-70b7-41d0-aeef-a29b49a89f85</t>
  </si>
  <si>
    <t xml:space="preserve">d651f8b6-28b4-44b1-9202-71f898a4ba06</t>
  </si>
  <si>
    <t xml:space="preserve">e698f4e1-012c-4a19-887e-9a154619f08d</t>
  </si>
  <si>
    <t xml:space="preserve">b358f425-ecda-41d2-ba94-e9f37d863c84</t>
  </si>
  <si>
    <t xml:space="preserve">bfdd1d3e-33dd-4aa0-b5fc-eeff8a2c72e2</t>
  </si>
  <si>
    <t xml:space="preserve">90bc11c3-61c6-47b4-8310-b4d2e50d03ba</t>
  </si>
  <si>
    <t xml:space="preserve">954f7083-c85d-428f-af32-177be2e25ac9</t>
  </si>
  <si>
    <t xml:space="preserve">Technetium-99m</t>
  </si>
  <si>
    <t xml:space="preserve">bd234138-8835-43c4-837b-4b8614bdfa69</t>
  </si>
  <si>
    <t xml:space="preserve">f6e3282a-7111-49ca-bdc4-854b4b884d92</t>
  </si>
  <si>
    <t xml:space="preserve">f09c1931-85fb-4f50-be9d-15d5c0f5e11e</t>
  </si>
  <si>
    <t xml:space="preserve">b5eb4783-f470-4bf5-800f-7e12ada63c1d</t>
  </si>
  <si>
    <t xml:space="preserve">2a46d676-6d14-4541-8cbf-e29d9996c76d</t>
  </si>
  <si>
    <t xml:space="preserve">865f863b-8d32-47fa-94db-ee56dc6bb923</t>
  </si>
  <si>
    <t xml:space="preserve">a4669a72-41dc-4874-9983-55e381c81e67</t>
  </si>
  <si>
    <t xml:space="preserve">de9ce04f-b751-484f-a8a2-740d98138bf6</t>
  </si>
  <si>
    <t xml:space="preserve">03bd55c6-c37d-4205-aaa2-3c1f3759a0cd</t>
  </si>
  <si>
    <t xml:space="preserve">2f36d881-55bd-44ed-a383-a97cd4c53b16</t>
  </si>
  <si>
    <t xml:space="preserve">e3de5903-aa75-4d7b-a804-2c75248b4c6d</t>
  </si>
  <si>
    <t xml:space="preserve">c3669e9f-cbb6-44cf-b6f8-b0779b92e2bd</t>
  </si>
  <si>
    <t xml:space="preserve">Tellurium-132</t>
  </si>
  <si>
    <t xml:space="preserve">fa66acff-55f2-4ca8-9392-4d436613b2fb</t>
  </si>
  <si>
    <t xml:space="preserve">e3446a6f-92f1-480f-915d-375a269009c1</t>
  </si>
  <si>
    <t xml:space="preserve">6d3849fb-dbf1-40cf-905e-ba11be1ba9f4</t>
  </si>
  <si>
    <t xml:space="preserve">fe3bd0b5-0401-48da-bcfd-23d5e462b940</t>
  </si>
  <si>
    <t xml:space="preserve">7da26881-518f-4b1b-87bf-7d1f633a7c1a</t>
  </si>
  <si>
    <t xml:space="preserve">7e9baf19-8fa4-49c6-a3c2-2e875217e60b</t>
  </si>
  <si>
    <t xml:space="preserve">7ae387da-8a0f-4931-97d4-49e93c0f5482</t>
  </si>
  <si>
    <t xml:space="preserve">d9008a06-991c-4acc-a33e-5483ffd2491e</t>
  </si>
  <si>
    <t xml:space="preserve">32fccda4-0d99-40ab-b65f-c7203080b62b</t>
  </si>
  <si>
    <t xml:space="preserve">0bd0f9e3-d311-4673-b431-d079399a7151</t>
  </si>
  <si>
    <t xml:space="preserve">Thiocyanate, ion</t>
  </si>
  <si>
    <t xml:space="preserve">c11c3c69-ec4d-47ee-8a57-a856c82ee3cb</t>
  </si>
  <si>
    <t xml:space="preserve">53225326-6737-4c40-86d4-87893525fd1a</t>
  </si>
  <si>
    <t xml:space="preserve">b3657137-08c4-4ee0-9817-567c47bf5e86</t>
  </si>
  <si>
    <t xml:space="preserve">cfa25cc2-6bfe-4b96-819f-cd15fd3859d1</t>
  </si>
  <si>
    <t xml:space="preserve">caae5c9b-66bf-4e1a-aa73-f84d11a41753</t>
  </si>
  <si>
    <t xml:space="preserve">75f898f6-1051-486f-bb82-af34e02a8f8b</t>
  </si>
  <si>
    <t xml:space="preserve">27d2b49d-9ecb-4b0a-80dc-9c6598464c6a</t>
  </si>
  <si>
    <t xml:space="preserve">714732d3-61e1-4bad-a4e3-a4f3573d8bc6</t>
  </si>
  <si>
    <t xml:space="preserve">4ed0d428-ca56-4356-accf-4e18d4ea1d77</t>
  </si>
  <si>
    <t xml:space="preserve">b75f79bc-df8b-4161-8091-b65bcd9a8ef8</t>
  </si>
  <si>
    <t xml:space="preserve">57100588-a02a-4cbd-bcc5-b7c264bf2a3e</t>
  </si>
  <si>
    <t xml:space="preserve">d8688397-6dfd-4144-8137-0130e62f9079</t>
  </si>
  <si>
    <t xml:space="preserve">9b2f96e6-564c-4fdb-ace4-077b2d2fd132</t>
  </si>
  <si>
    <t xml:space="preserve">5ccb5873-69d5-41fb-b527-282fb91c04a7</t>
  </si>
  <si>
    <t xml:space="preserve">ffbe8447-6d78-46dd-8378-47019a82ce82</t>
  </si>
  <si>
    <t xml:space="preserve">af45276a-d99a-4c0a-95a9-55689b785417</t>
  </si>
  <si>
    <t xml:space="preserve">852118b9-043d-4db7-8b71-e3670fb280d2</t>
  </si>
  <si>
    <t xml:space="preserve">edc41c91-7e10-41df-8c75-d4850a2e5eb9</t>
  </si>
  <si>
    <t xml:space="preserve">de22459f-2b91-43a1-8c53-c89ddbe2c64c</t>
  </si>
  <si>
    <t xml:space="preserve">3dee24fc-5892-4f6e-9996-28b5f36fd07a</t>
  </si>
  <si>
    <t xml:space="preserve">7ec73b1e-a2ac-40e0-83ee-422c4a7cbb78</t>
  </si>
  <si>
    <t xml:space="preserve">e4d0d0b9-a68d-4c1b-ad8f-77f18a767d0d</t>
  </si>
  <si>
    <t xml:space="preserve">409f6c8a-95df-4e86-8306-5439bd0643c8</t>
  </si>
  <si>
    <t xml:space="preserve">921762d7-dcd5-4419-8936-07358034702d</t>
  </si>
  <si>
    <t xml:space="preserve">f73177d8-5e57-4f0d-ba34-6889cfdfed40</t>
  </si>
  <si>
    <t xml:space="preserve">Tin, ion</t>
  </si>
  <si>
    <t xml:space="preserve">60a6702f-20ad-444f-a6df-f6374f1e3183</t>
  </si>
  <si>
    <t xml:space="preserve">2a992e5e-9f16-47b8-8bcb-733d00bed658</t>
  </si>
  <si>
    <t xml:space="preserve">3ddb2e36-bc1b-43a5-8ef4-cbcdbeeeea70</t>
  </si>
  <si>
    <t xml:space="preserve">d5c40848-fc29-47fa-90a4-46db64a45a4e</t>
  </si>
  <si>
    <t xml:space="preserve">e2380d91-f278-41ee-9926-15272a7d1443</t>
  </si>
  <si>
    <t xml:space="preserve">Titanium, ion</t>
  </si>
  <si>
    <t xml:space="preserve">2a46e7f4-c66c-43e5-8a8a-d119c4098aff</t>
  </si>
  <si>
    <t xml:space="preserve">2beb46d1-2d1d-48ca-bf95-f0668fed29bf</t>
  </si>
  <si>
    <t xml:space="preserve">ff36578b-f403-4656-b934-81d8d4e02dc8</t>
  </si>
  <si>
    <t xml:space="preserve">a4c31e2a-915e-4ab2-accd-d3ae93d2e01e</t>
  </si>
  <si>
    <t xml:space="preserve">e5d0d6ea-c681-4080-ab05-5d9522c79bd1</t>
  </si>
  <si>
    <t xml:space="preserve">3d69efc9-791c-4a6f-9d2b-8b04afae9536</t>
  </si>
  <si>
    <t xml:space="preserve">f2d5f01a-3e16-4a6c-a3dc-f6ee9a728957</t>
  </si>
  <si>
    <t xml:space="preserve">bb33742a-c5d5-4607-805f-13e4d3a155fd</t>
  </si>
  <si>
    <t xml:space="preserve">826c7733-9b0a-4ec5-9f35-32294f9138e3</t>
  </si>
  <si>
    <t xml:space="preserve">7fee540e-a611-40bf-beec-72a1b883c6d3</t>
  </si>
  <si>
    <t xml:space="preserve">7f6cdfb5-f4ec-458f-9e57-c7e6849cfe99</t>
  </si>
  <si>
    <t xml:space="preserve">404f6e56-ea30-47ec-9679-ec3955d287b3</t>
  </si>
  <si>
    <t xml:space="preserve">ea5789d9-c0f9-4aeb-9df9-0caaf211534b</t>
  </si>
  <si>
    <t xml:space="preserve">b1cbafef-4c5a-4b5f-9dfa-e49047f5f043</t>
  </si>
  <si>
    <t xml:space="preserve">2f885055-6517-4930-a649-dbf008f02910</t>
  </si>
  <si>
    <t xml:space="preserve">Tributyltin compounds</t>
  </si>
  <si>
    <t xml:space="preserve">ec758e92-f235-4372-85b6-40a212e6f86c</t>
  </si>
  <si>
    <t xml:space="preserve">f4498c00-c870-40fb-a2b3-49b6f522d324</t>
  </si>
  <si>
    <t xml:space="preserve">383f5952-45f7-4703-854e-41cd7f9cd8da</t>
  </si>
  <si>
    <t xml:space="preserve">4d8131df-07d8-475b-ae7c-8fe4b80fb8e0</t>
  </si>
  <si>
    <t xml:space="preserve">c40a3efb-7988-40f1-be9b-a1d8c9a4c5a0</t>
  </si>
  <si>
    <t xml:space="preserve">8b03ef98-860a-4870-a598-199cd9679f67</t>
  </si>
  <si>
    <t xml:space="preserve">7e8362c6-7627-4d9c-b035-38e02c3c1625</t>
  </si>
  <si>
    <t xml:space="preserve">8df6a0bc-e255-4091-b8d2-61fdda79fdd0</t>
  </si>
  <si>
    <t xml:space="preserve">21806f1e-a21a-43f7-82b1-00dd5c42fe3f</t>
  </si>
  <si>
    <t xml:space="preserve">a2dbe034-4c91-4cc6-9845-81d9698b9f2d</t>
  </si>
  <si>
    <t xml:space="preserve">Triethylene glycol</t>
  </si>
  <si>
    <t xml:space="preserve">1982d665-0aef-4909-876a-f0e6b74220b8</t>
  </si>
  <si>
    <t xml:space="preserve">4b22b04e-4cfa-4a8c-b1da-6cd436d03ef6</t>
  </si>
  <si>
    <t xml:space="preserve">4307f245-e0b9-4ad0-b951-85f4cf08393f</t>
  </si>
  <si>
    <t xml:space="preserve">58eea1e4-bf8e-409c-9d92-4b3d90d85ae0</t>
  </si>
  <si>
    <t xml:space="preserve">ef6afe08-6ffb-402f-bb61-6984d3f9a81a</t>
  </si>
  <si>
    <t xml:space="preserve">52a00fec-4289-485c-a56e-380de43e1b97</t>
  </si>
  <si>
    <t xml:space="preserve">80325322-b088-42a1-887e-613aa8de111b</t>
  </si>
  <si>
    <t xml:space="preserve">6eebb3c4-306f-4dc4-afb1-2c8fdf0c64ff</t>
  </si>
  <si>
    <t xml:space="preserve">93989f96-b679-44b6-8cd2-f768fa3d3152</t>
  </si>
  <si>
    <t xml:space="preserve">fb353f43-7c91-4877-999a-b40db6cb7a8e</t>
  </si>
  <si>
    <t xml:space="preserve">9ee52c9a-194b-476f-a0ff-0aba3759e2a0</t>
  </si>
  <si>
    <t xml:space="preserve">e2ee2329-8e3f-484a-a1a7-99316eb2762c</t>
  </si>
  <si>
    <t xml:space="preserve">Trioctyltin</t>
  </si>
  <si>
    <t xml:space="preserve">ad5a58d5-6ccd-4693-96f4-e56554a81269</t>
  </si>
  <si>
    <t xml:space="preserve">Triphenyltin</t>
  </si>
  <si>
    <t xml:space="preserve">3277c200-21e3-4b45-8dcc-97cdc2e4c245</t>
  </si>
  <si>
    <t xml:space="preserve">10319ea8-90db-4340-be33-b7182dca01db</t>
  </si>
  <si>
    <t xml:space="preserve">a431850e-e4d2-449e-b900-d44e948d489a</t>
  </si>
  <si>
    <t xml:space="preserve">7673fea9-b4ab-403e-b011-f1fb5a74ea2a</t>
  </si>
  <si>
    <t xml:space="preserve">1b7a743b-f3ab-4a26-9f83-7012ee6cc2f3</t>
  </si>
  <si>
    <t xml:space="preserve">354e2cd7-e68f-400a-a318-a33c33f9e83c</t>
  </si>
  <si>
    <t xml:space="preserve">3209b4a6-9e83-42f3-afad-39c62dc2d333</t>
  </si>
  <si>
    <t xml:space="preserve">d4e0a632-ee78-49c4-8547-ccee3e85c4cb</t>
  </si>
  <si>
    <t xml:space="preserve">8b2d16fd-5147-4382-afbc-3a7ed73a4f82</t>
  </si>
  <si>
    <t xml:space="preserve">1cb0b78b-6fd5-4193-8144-d47478920ced</t>
  </si>
  <si>
    <t xml:space="preserve">838c3d7c-6f9a-4f52-a867-4d5a15510ca6</t>
  </si>
  <si>
    <t xml:space="preserve">519cd5d5-19f5-4684-9b12-41a7a9f5645b</t>
  </si>
  <si>
    <t xml:space="preserve">28b4d99e-6111-4ef9-8c34-10f94fff9309</t>
  </si>
  <si>
    <t xml:space="preserve">4f1d83f7-671d-4865-b42a-e6f01661ec17</t>
  </si>
  <si>
    <t xml:space="preserve">1869fd74-ed68-4814-9596-12315b1e810d</t>
  </si>
  <si>
    <t xml:space="preserve">a48a7aca-da79-4d39-a40c-f7efa97d7444</t>
  </si>
  <si>
    <t xml:space="preserve">a5e0860b-7e2b-4870-ae00-0ed150fb8ae3</t>
  </si>
  <si>
    <t xml:space="preserve">78fd90f7-351f-4de0-a743-a0c69f53bba3</t>
  </si>
  <si>
    <t xml:space="preserve">a50b408b-d437-44f8-b1db-d75be4d3f22b</t>
  </si>
  <si>
    <t xml:space="preserve">4d466648-95dd-4866-97ad-6008746d32ab</t>
  </si>
  <si>
    <t xml:space="preserve">16cd83f0-c5c0-4b6f-8dd0-26d4e3b9a017</t>
  </si>
  <si>
    <t xml:space="preserve">707e1c56-a4ef-446a-b9cb-6fd7828b9f9f</t>
  </si>
  <si>
    <t xml:space="preserve">c407952d-43b2-49c4-a756-26e5e76bfbbf</t>
  </si>
  <si>
    <t xml:space="preserve">ab9983bf-92f0-4e39-81b2-09c874a002cc</t>
  </si>
  <si>
    <t xml:space="preserve">71d27d29-04f2-421a-981f-5c5c2b00486f</t>
  </si>
  <si>
    <t xml:space="preserve">ba401f02-e0d6-4629-804b-20e122115377</t>
  </si>
  <si>
    <t xml:space="preserve">Urea</t>
  </si>
  <si>
    <t xml:space="preserve">a88305cb-b50a-45fe-9646-f83fb2798b89</t>
  </si>
  <si>
    <t xml:space="preserve">67a1322b-6798-46a8-be95-03fe92d8e779</t>
  </si>
  <si>
    <t xml:space="preserve">493d1ae0-4f36-4279-9c5e-0c40fb029950</t>
  </si>
  <si>
    <t xml:space="preserve">87b5dd85-5e90-4720-8214-60f74775f59a</t>
  </si>
  <si>
    <t xml:space="preserve">8ab803d5-39b7-4fcc-9018-896720031143</t>
  </si>
  <si>
    <t xml:space="preserve">134c89a1-e244-4664-945c-5ebf5f394297</t>
  </si>
  <si>
    <t xml:space="preserve">113746e5-66a9-4d8c-b72b-4a99e7fcd052</t>
  </si>
  <si>
    <t xml:space="preserve">0b94989b-2551-4069-bb11-4f9f48988cad</t>
  </si>
  <si>
    <t xml:space="preserve">9ba627f4-3a6c-4dd6-8598-4e1639fbd85a</t>
  </si>
  <si>
    <t xml:space="preserve">ed1fd27e-014a-41cf-842f-7b2022b0be79</t>
  </si>
  <si>
    <t xml:space="preserve">Vanadium, ion</t>
  </si>
  <si>
    <t xml:space="preserve">41dbbe1f-06e1-4a34-8497-5986be8f9e51</t>
  </si>
  <si>
    <t xml:space="preserve">dbdc3ea8-cc2b-4dbe-82b9-e954e333281d</t>
  </si>
  <si>
    <t xml:space="preserve">a46a250e-297d-43e9-b1c4-052cdcfb79c5</t>
  </si>
  <si>
    <t xml:space="preserve">20839113-fbf2-4d2f-bab8-66861f86bc60</t>
  </si>
  <si>
    <t xml:space="preserve">51254820-3456-4373-b7b4-056cf7b16e01</t>
  </si>
  <si>
    <t xml:space="preserve">06d4812b-6937-4d64-8517-b69aabce3648</t>
  </si>
  <si>
    <t xml:space="preserve">4f0f15b3-b227-4cdc-b0b3-6412d55695d5</t>
  </si>
  <si>
    <t xml:space="preserve">db4566b1-bd88-427d-92da-2d25879063b9</t>
  </si>
  <si>
    <t xml:space="preserve">2404b41a-2eed-4e9d-8ab6-783946fdf5d6</t>
  </si>
  <si>
    <t xml:space="preserve">0e6cf9f9-44ff-4395-ad3b-36109a32e6eb</t>
  </si>
  <si>
    <t xml:space="preserve">0985a2b2-b411-4c95-a955-1aa5bb64bd08</t>
  </si>
  <si>
    <t xml:space="preserve">6d9e9a11-4d99-4489-a0ab-4cd1b6b8eaef</t>
  </si>
  <si>
    <t xml:space="preserve">29190509-6cc8-47e1-bc99-5ff994e39b74</t>
  </si>
  <si>
    <t xml:space="preserve">045f7de9-60d5-4916-a504-5a1002a6e97e</t>
  </si>
  <si>
    <t xml:space="preserve">8dc9b69a-4224-4588-be09-6dd1e52ba3f0</t>
  </si>
  <si>
    <t xml:space="preserve">Yttrium-90</t>
  </si>
  <si>
    <t xml:space="preserve">a4dad48e-2ce0-4ff0-a18d-8a01adb0eb7c</t>
  </si>
  <si>
    <t xml:space="preserve">38e5e4ff-5bf1-4337-a314-737bd7ce7cdb</t>
  </si>
  <si>
    <t xml:space="preserve">f7007d99-8704-476c-8c49-4e6dc18931a6</t>
  </si>
  <si>
    <t xml:space="preserve">973a9d4f-d754-4c6f-9da3-351c0981eeb3</t>
  </si>
  <si>
    <t xml:space="preserve">7e769b3e-03fb-4b53-be15-85a910dcfea9</t>
  </si>
  <si>
    <t xml:space="preserve">Zinc, ion</t>
  </si>
  <si>
    <t xml:space="preserve">bdce3a7c-e008-4391-be26-285f71a02453</t>
  </si>
  <si>
    <t xml:space="preserve">2195d86f-e4c8-4e86-9f18-b5b065b1df7e</t>
  </si>
  <si>
    <t xml:space="preserve">541b633c-17a3-4047-bce6-0c0e4fdb7c10</t>
  </si>
  <si>
    <t xml:space="preserve">2c7be02c-791f-4fef-b231-b90321bbeb30</t>
  </si>
  <si>
    <t xml:space="preserve">fd3fbe1e-b25a-463b-9e2e-56770a985b74</t>
  </si>
  <si>
    <t xml:space="preserve">01d052a5-9c4b-4c3a-8593-2e651c0a5bdf</t>
  </si>
  <si>
    <t xml:space="preserve">1eb118df-d768-4084-b843-a1a04628e837</t>
  </si>
  <si>
    <t xml:space="preserve">6fb4d755-f17a-4d1e-a5ce-aad7829ef61f</t>
  </si>
  <si>
    <t xml:space="preserve">58c8f0ec-455b-4bc1-b6fb-5d6976619b55</t>
  </si>
  <si>
    <t xml:space="preserve">701bb0ed-ad5e-4628-ac7d-99baa8c5d650</t>
  </si>
  <si>
    <t xml:space="preserve">ffd4940c-b652-4622-b7d0-d4d861b083c3</t>
  </si>
  <si>
    <t xml:space="preserve">aa7f8d81-9670-4a5c-af68-b50fbe247958</t>
  </si>
  <si>
    <t xml:space="preserve">8db2694c-9a3f-4f8d-a915-cd8a380f5394</t>
  </si>
  <si>
    <t xml:space="preserve">b71d0281-e4b2-4831-a2bd-aed221d2a15f</t>
  </si>
  <si>
    <t xml:space="preserve">1c3c6032-1ed1-4e75-a2a9-af67850222b4</t>
  </si>
  <si>
    <t xml:space="preserve">b793793a-fc48-409c-9d5a-441777c82ba5</t>
  </si>
  <si>
    <t xml:space="preserve">38439e6a-ce6d-40cc-b78d-97c09d87e7d7</t>
  </si>
  <si>
    <t xml:space="preserve">e40fb8b9-a290-44df-9d22-71a164f0c2d9</t>
  </si>
  <si>
    <t xml:space="preserve">feb813f2-ff76-4f52-a966-55297494de4a</t>
  </si>
  <si>
    <t xml:space="preserve">59af2a59-f4ed-43a0-b5ab-887de45b9571</t>
  </si>
  <si>
    <t xml:space="preserve">o-Dichlorobenzene</t>
  </si>
  <si>
    <t xml:space="preserve">34e58a19-2d02-4e10-bc24-22e4bc7702d6</t>
  </si>
  <si>
    <t xml:space="preserve">d0caddde-f101-4d86-9beb-d46d2d430eb0</t>
  </si>
  <si>
    <t xml:space="preserve">79b3f708-dd3f-4ccb-9121-a4cdd46e0dc4</t>
  </si>
  <si>
    <t xml:space="preserve">67070d27-426e-43e9-98e8-309952f78140</t>
  </si>
  <si>
    <t xml:space="preserve">6c0719de-1bd9-4ae5-a0c6-37a58bad4ba1</t>
  </si>
  <si>
    <t xml:space="preserve">5df11cc8-e2fc-4b82-832b-e593cca2a77f</t>
  </si>
  <si>
    <t xml:space="preserve">9e3b8604-439e-426d-86e9-b6b296ed8e74</t>
  </si>
  <si>
    <t xml:space="preserve">3189f4ab-348e-4207-be3d-59c2b6f8a63f</t>
  </si>
  <si>
    <t xml:space="preserve">1b279330-0469-4d04-9fe2-4e9a38011f0c</t>
  </si>
  <si>
    <t xml:space="preserve">0f3a98cd-b692-4801-86b5-b2222a953417</t>
  </si>
  <si>
    <t xml:space="preserve">a65308df-73ac-4aa8-88f0-319743a50293</t>
  </si>
  <si>
    <t xml:space="preserve">c5b4869c-f131-4a8c-911f-f252cafb2e30</t>
  </si>
  <si>
    <t xml:space="preserve">77fd3c56-5c3e-4070-93fa-de03fa455d47</t>
  </si>
  <si>
    <t xml:space="preserve">3d59d864-b6c3-4315-ab21-2c2ba2119ad1</t>
  </si>
  <si>
    <t xml:space="preserve">e9eb024b-6fba-4dce-b280-9415b2ba4695</t>
  </si>
  <si>
    <t xml:space="preserve">d0aaa60f-40d9-4c12-a486-954333aa549f</t>
  </si>
  <si>
    <t xml:space="preserve">cc415ec5-ef9b-4239-b423-32906818e457</t>
  </si>
  <si>
    <t xml:space="preserve">a66849fd-060a-40b5-bd9d-04caa632b75c</t>
  </si>
  <si>
    <t xml:space="preserve">365dffb2-9e7a-44fa-a512-8c851fc7094c</t>
  </si>
  <si>
    <t xml:space="preserve">id production factor</t>
  </si>
  <si>
    <t xml:space="preserve">final_demand</t>
  </si>
  <si>
    <t xml:space="preserve">cons_in</t>
  </si>
  <si>
    <t xml:space="preserve">trans_in</t>
  </si>
  <si>
    <t xml:space="preserve">goods_in ID</t>
  </si>
  <si>
    <t xml:space="preserve">act</t>
  </si>
  <si>
    <t xml:space="preserve">trans_out
(opt.)</t>
  </si>
  <si>
    <t xml:space="preserve">out ID</t>
  </si>
  <si>
    <t xml:space="preserve">order (opt.)</t>
  </si>
  <si>
    <t xml:space="preserve">Functional output (default=True)</t>
  </si>
  <si>
    <t xml:space="preserve">source</t>
  </si>
  <si>
    <t xml:space="preserve">uncertainty</t>
  </si>
  <si>
    <t xml:space="preserve">comment</t>
  </si>
  <si>
    <t xml:space="preserve">Aggrégation Recyc-Qc vers T2_SWOLF GLO</t>
  </si>
  <si>
    <t xml:space="preserve">PASSER DIRECTEMENT DE RECYC-QC À T25-.. </t>
  </si>
  <si>
    <t xml:space="preserve"> au final : modification de la gestion de la séquence permet les goods in goods in goods réutilisés à travers les étapes d'une même activité</t>
  </si>
  <si>
    <t xml:space="preserve">Pre_Screening_1 QC</t>
  </si>
  <si>
    <t xml:space="preserve">False</t>
  </si>
  <si>
    <t xml:space="preserve">TODO : s'assurer que overs_1, unders_1 contiennent les T25-1 à 13 encore :soient des goods_in_goods</t>
  </si>
  <si>
    <t xml:space="preserve">Pre_Screening_2 QC</t>
  </si>
  <si>
    <t xml:space="preserve">Mixing_before_activecomposting QC</t>
  </si>
  <si>
    <t xml:space="preserve">devrait être * ici! </t>
  </si>
  <si>
    <t xml:space="preserve">*</t>
  </si>
  <si>
    <t xml:space="preserve">Active_Composting QC</t>
  </si>
  <si>
    <t xml:space="preserve">ordre non défini : comment va-t-il gérer les doubles tr sur C in goods</t>
  </si>
  <si>
    <t xml:space="preserve">devrait (Absolument) être ok </t>
  </si>
  <si>
    <t xml:space="preserve">maj 14/01/2021 : si toute l'activité est à ordre 1 : "Technical and transfer coefficients must be applied sequentially, so they cannot be applied simultaneously at order(s): {1}"</t>
  </si>
  <si>
    <t xml:space="preserve">*ORDER 1 ET 2 MAIS RÉELLEMENT, MODÉLISATION FAITE POUR (À L'ORDRE 2) LE C TOTAL ET NON LE C TOTAL RESTANT. ORDRE 1 EST DONC OK MAIS ORDRE 2 : VOIR SI LA DIFFÉRENCE EST SIGNIFICATIVE.</t>
  </si>
  <si>
    <t xml:space="preserve">* TESTÉ AVEC : no order in tr + order = 1 in te. Order =1 in tr + order = 2 in te. Order = 1 et 2 in tr + order = 3 in te. </t>
  </si>
  <si>
    <t xml:space="preserve">Post_Screening QC</t>
  </si>
  <si>
    <t xml:space="preserve">Vacuum QC</t>
  </si>
  <si>
    <t xml:space="preserve">Substitution_of_fertilizers GLO</t>
  </si>
  <si>
    <t xml:space="preserve">determined flow ID (economic or elementary)</t>
  </si>
  <si>
    <t xml:space="preserve">determined flow property</t>
  </si>
  <si>
    <t xml:space="preserve">reference flow ID</t>
  </si>
  <si>
    <t xml:space="preserve">property [default = reference property]</t>
  </si>
  <si>
    <t xml:space="preserve">functional [default=False]</t>
  </si>
  <si>
    <t xml:space="preserve">order
[default=0]</t>
  </si>
  <si>
    <t xml:space="preserve">à valider (optionel?)</t>
  </si>
  <si>
    <t xml:space="preserve">Komilis et al, 2014</t>
  </si>
  <si>
    <t xml:space="preserve">Trommel, unit : kWh/kg</t>
  </si>
  <si>
    <t xml:space="preserve">ecoinvent</t>
  </si>
  <si>
    <t xml:space="preserve">unit / kg</t>
  </si>
  <si>
    <t xml:space="preserve">Tub grinder, unit : 10,2 kWh / t &amp; 0,13 L diesel / kWh / kg</t>
  </si>
  <si>
    <t xml:space="preserve">Hammermill, unit : kWh/kg</t>
  </si>
  <si>
    <t xml:space="preserve">FALSE</t>
  </si>
  <si>
    <t xml:space="preserve">Trommel, unit : KWh/kg</t>
  </si>
  <si>
    <t xml:space="preserve">4.575989e+06</t>
  </si>
  <si>
    <t xml:space="preserve">2.006333e+07</t>
  </si>
  <si>
    <t xml:space="preserve">V 2.0.0</t>
  </si>
  <si>
    <t xml:space="preserve">te can express a ratio based on other properties than the reference</t>
  </si>
  <si>
    <t xml:space="preserve">e.g.: inputs of water (the dependent flow) such that we have 4 (value) moles_H (dependent flow property) per moles_C (reference flow property) of methane emissions (reference flow)</t>
  </si>
  <si>
    <t xml:space="preserve">te of an activity can be ascribed an order of operation</t>
  </si>
  <si>
    <r>
      <rPr>
        <sz val="10"/>
        <rFont val="Arial"/>
        <family val="2"/>
        <charset val="1"/>
      </rPr>
      <t xml:space="preserve">e.g: first (order=0) transfer 90% of the C to emissions of xyz, then (</t>
    </r>
    <r>
      <rPr>
        <b val="true"/>
        <sz val="10"/>
        <rFont val="Arial"/>
        <family val="2"/>
        <charset val="1"/>
      </rPr>
      <t xml:space="preserve">order=1</t>
    </r>
    <r>
      <rPr>
        <sz val="10"/>
        <rFont val="Arial"/>
        <family val="2"/>
        <charset val="1"/>
      </rPr>
      <t xml:space="preserve">) calculate the inputs of water based on number of moles of C in emission xyz</t>
    </r>
  </si>
  <si>
    <t xml:space="preserve">tr trans_out specifies under what form a transferred cons ends up in the out flow</t>
  </si>
  <si>
    <r>
      <rPr>
        <sz val="10"/>
        <rFont val="Arial"/>
        <family val="2"/>
        <charset val="1"/>
      </rPr>
      <t xml:space="preserve">e.g.: transfer 90% of C (cons) to flue gas (outflow) under the form of CO2 (</t>
    </r>
    <r>
      <rPr>
        <b val="true"/>
        <sz val="10"/>
        <rFont val="Arial"/>
        <family val="2"/>
        <charset val="1"/>
      </rPr>
      <t xml:space="preserve">non_cons_out</t>
    </r>
    <r>
      <rPr>
        <sz val="10"/>
        <rFont val="Arial"/>
        <family val="2"/>
        <charset val="1"/>
      </rPr>
      <t xml:space="preserve">) in that flue gas</t>
    </r>
  </si>
  <si>
    <t xml:space="preserve">tr can be expressed differently depending on the source</t>
  </si>
  <si>
    <t xml:space="preserve">e.g.: transfer 90% of the C (transferred substance) that enters our process as leaves (source)</t>
  </si>
  <si>
    <t xml:space="preserve">drop use of uuids in defining process flows</t>
  </si>
  <si>
    <t xml:space="preserve">Option to define match between internal IDs and ecoinvent Ids in l_goods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</si>
</sst>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#,##0.0"/>
    <numFmt numFmtId="167" formatCode="0%"/>
    <numFmt numFmtId="168" formatCode="General"/>
    <numFmt numFmtId="169" formatCode="0.00%"/>
    <numFmt numFmtId="170" formatCode="#,##0.00"/>
    <numFmt numFmtId="171" formatCode="#,##0"/>
  </numFmts>
  <fonts count="17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FFFFFF"/>
      <name val="Calibri"/>
      <family val="2"/>
      <charset val="1"/>
    </font>
    <font>
      <sz val="12"/>
      <color rgb="FF000000"/>
      <name val="Helvetica Neue"/>
      <family val="2"/>
      <charset val="1"/>
    </font>
    <font>
      <sz val="11"/>
      <color rgb="FF000000"/>
      <name val="Helvetica Neue"/>
      <family val="2"/>
      <charset val="1"/>
    </font>
    <font>
      <sz val="12"/>
      <color rgb="FFFFFFFF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sz val="14"/>
      <color rgb="FF000000"/>
      <name val="Courier New"/>
      <family val="1"/>
      <charset val="1"/>
    </font>
    <font>
      <u val="single"/>
      <sz val="12"/>
      <color rgb="FF0563C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rgb="FF548235"/>
      <name val="Calibri"/>
      <family val="2"/>
      <charset val="1"/>
    </font>
    <font>
      <sz val="14"/>
      <color rgb="FF00564E"/>
      <name val="Calibri"/>
      <family val="2"/>
      <charset val="1"/>
    </font>
    <font>
      <sz val="10"/>
      <name val="Arial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203864"/>
        <bgColor rgb="FF333F50"/>
      </patternFill>
    </fill>
    <fill>
      <patternFill patternType="solid">
        <fgColor rgb="FFD6DCE5"/>
        <bgColor rgb="FFDAE3F3"/>
      </patternFill>
    </fill>
    <fill>
      <patternFill patternType="solid">
        <fgColor rgb="FFDAE3F3"/>
        <bgColor rgb="FFD6DCE5"/>
      </patternFill>
    </fill>
    <fill>
      <patternFill patternType="solid">
        <fgColor rgb="FFC55A11"/>
        <bgColor rgb="FFED7D31"/>
      </patternFill>
    </fill>
    <fill>
      <patternFill patternType="solid">
        <fgColor rgb="FF4472C4"/>
        <bgColor rgb="FF2F5597"/>
      </patternFill>
    </fill>
    <fill>
      <patternFill patternType="solid">
        <fgColor rgb="FF9DC3E6"/>
        <bgColor rgb="FFB4C7E7"/>
      </patternFill>
    </fill>
    <fill>
      <patternFill patternType="solid">
        <fgColor rgb="FFFFC000"/>
        <bgColor rgb="FFFF9900"/>
      </patternFill>
    </fill>
    <fill>
      <patternFill patternType="solid">
        <fgColor rgb="FF2F5597"/>
        <bgColor rgb="FF44546A"/>
      </patternFill>
    </fill>
    <fill>
      <patternFill patternType="solid">
        <fgColor rgb="FF222A35"/>
        <bgColor rgb="FF203864"/>
      </patternFill>
    </fill>
    <fill>
      <patternFill patternType="solid">
        <fgColor rgb="FF44546A"/>
        <bgColor rgb="FF535353"/>
      </patternFill>
    </fill>
    <fill>
      <patternFill patternType="solid">
        <fgColor rgb="FFFFF2CC"/>
        <bgColor rgb="FFFBE5D6"/>
      </patternFill>
    </fill>
    <fill>
      <patternFill patternType="solid">
        <fgColor rgb="FFFBE5D6"/>
        <bgColor rgb="FFFFF2CC"/>
      </patternFill>
    </fill>
    <fill>
      <patternFill patternType="solid">
        <fgColor rgb="FF385724"/>
        <bgColor rgb="FF535353"/>
      </patternFill>
    </fill>
    <fill>
      <patternFill patternType="solid">
        <fgColor rgb="FFB4C7E7"/>
        <bgColor rgb="FF9DC3E6"/>
      </patternFill>
    </fill>
    <fill>
      <patternFill patternType="solid">
        <fgColor rgb="FFED7D31"/>
        <bgColor rgb="FFFF8080"/>
      </patternFill>
    </fill>
    <fill>
      <patternFill patternType="solid">
        <fgColor rgb="FF333F50"/>
        <bgColor rgb="FF20386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535353"/>
      </left>
      <right style="thin">
        <color rgb="FF535353"/>
      </right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19" applyFont="true" applyBorder="true" applyAlignment="true" applyProtection="true">
      <alignment horizontal="left" vertical="center" textRotation="0" wrapText="false" indent="0" shrinkToFit="false" readingOrder="1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564E"/>
      <rgbColor rgb="FFB4C7E7"/>
      <rgbColor rgb="FF535353"/>
      <rgbColor rgb="FF9999FF"/>
      <rgbColor rgb="FF993366"/>
      <rgbColor rgb="FFFFF2CC"/>
      <rgbColor rgb="FFDAE3F3"/>
      <rgbColor rgb="FF660066"/>
      <rgbColor rgb="FFFF8080"/>
      <rgbColor rgb="FF0563C1"/>
      <rgbColor rgb="FFD6DCE5"/>
      <rgbColor rgb="FF000080"/>
      <rgbColor rgb="FFFF00FF"/>
      <rgbColor rgb="FFFFFF00"/>
      <rgbColor rgb="FF00FFFF"/>
      <rgbColor rgb="FF800080"/>
      <rgbColor rgb="FF800000"/>
      <rgbColor rgb="FF2F5597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BE5D6"/>
      <rgbColor rgb="FF4472C4"/>
      <rgbColor rgb="FF33CCCC"/>
      <rgbColor rgb="FF99CC00"/>
      <rgbColor rgb="FFFFC000"/>
      <rgbColor rgb="FFFF9900"/>
      <rgbColor rgb="FFED7D31"/>
      <rgbColor rgb="FF44546A"/>
      <rgbColor rgb="FF969696"/>
      <rgbColor rgb="FF203864"/>
      <rgbColor rgb="FF339966"/>
      <rgbColor rgb="FF003300"/>
      <rgbColor rgb="FF385724"/>
      <rgbColor rgb="FFC55A11"/>
      <rgbColor rgb="FF993366"/>
      <rgbColor rgb="FF333F50"/>
      <rgbColor rgb="FF222A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86" activePane="bottomLeft" state="frozen"/>
      <selection pane="topLeft" activeCell="A1" activeCellId="0" sqref="A1"/>
      <selection pane="bottomLeft" activeCell="E1" activeCellId="0" sqref="E1"/>
    </sheetView>
  </sheetViews>
  <sheetFormatPr defaultColWidth="8.62109375" defaultRowHeight="16" zeroHeight="false" outlineLevelRow="0" outlineLevelCol="0"/>
  <cols>
    <col collapsed="false" customWidth="true" hidden="false" outlineLevel="0" max="1" min="1" style="1" width="20.18"/>
    <col collapsed="false" customWidth="true" hidden="false" outlineLevel="0" max="2" min="2" style="1" width="18"/>
    <col collapsed="false" customWidth="true" hidden="false" outlineLevel="0" max="3" min="3" style="1" width="10.67"/>
    <col collapsed="false" customWidth="true" hidden="false" outlineLevel="0" max="4" min="4" style="1" width="14"/>
    <col collapsed="false" customWidth="true" hidden="false" outlineLevel="0" max="5" min="5" style="1" width="19.51"/>
    <col collapsed="false" customWidth="false" hidden="false" outlineLevel="0" max="1025" min="6" style="1" width="8.67"/>
  </cols>
  <sheetData>
    <row r="1" s="2" customFormat="true" ht="31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6.5" hidden="true" customHeight="true" outlineLevel="0" collapsed="false"/>
    <row r="3" customFormat="false" ht="16" hidden="false" customHeight="false" outlineLevel="0" collapsed="false">
      <c r="A3" s="3" t="s">
        <v>5</v>
      </c>
      <c r="B3" s="3" t="s">
        <v>5</v>
      </c>
      <c r="C3" s="1" t="s">
        <v>6</v>
      </c>
      <c r="D3" s="1" t="s">
        <v>7</v>
      </c>
    </row>
    <row r="4" customFormat="false" ht="16" hidden="false" customHeight="false" outlineLevel="0" collapsed="false">
      <c r="A4" s="3" t="s">
        <v>8</v>
      </c>
      <c r="B4" s="3" t="s">
        <v>9</v>
      </c>
      <c r="C4" s="1" t="s">
        <v>6</v>
      </c>
      <c r="D4" s="1" t="s">
        <v>7</v>
      </c>
      <c r="E4" s="1" t="n">
        <v>12.011</v>
      </c>
      <c r="T4" s="1" t="n">
        <v>1</v>
      </c>
    </row>
    <row r="5" customFormat="false" ht="16" hidden="false" customHeight="false" outlineLevel="0" collapsed="false">
      <c r="A5" s="3" t="s">
        <v>10</v>
      </c>
      <c r="B5" s="3" t="s">
        <v>11</v>
      </c>
      <c r="C5" s="1" t="s">
        <v>6</v>
      </c>
      <c r="D5" s="1" t="s">
        <v>7</v>
      </c>
      <c r="E5" s="1" t="n">
        <v>40.078</v>
      </c>
    </row>
    <row r="6" customFormat="false" ht="16" hidden="false" customHeight="false" outlineLevel="0" collapsed="false">
      <c r="A6" s="3" t="s">
        <v>12</v>
      </c>
      <c r="B6" s="3" t="s">
        <v>13</v>
      </c>
      <c r="C6" s="1" t="s">
        <v>6</v>
      </c>
      <c r="D6" s="1" t="s">
        <v>7</v>
      </c>
      <c r="E6" s="1" t="n">
        <v>35.453</v>
      </c>
    </row>
    <row r="7" customFormat="false" ht="16" hidden="false" customHeight="false" outlineLevel="0" collapsed="false">
      <c r="A7" s="3" t="s">
        <v>14</v>
      </c>
      <c r="B7" s="3" t="s">
        <v>15</v>
      </c>
      <c r="C7" s="1" t="s">
        <v>6</v>
      </c>
      <c r="D7" s="1" t="s">
        <v>7</v>
      </c>
      <c r="E7" s="1" t="n">
        <v>18.998</v>
      </c>
    </row>
    <row r="8" customFormat="false" ht="16" hidden="false" customHeight="false" outlineLevel="0" collapsed="false">
      <c r="A8" s="3" t="s">
        <v>16</v>
      </c>
      <c r="B8" s="3" t="s">
        <v>17</v>
      </c>
      <c r="C8" s="1" t="s">
        <v>6</v>
      </c>
      <c r="D8" s="1" t="s">
        <v>7</v>
      </c>
      <c r="E8" s="1" t="n">
        <v>1.007</v>
      </c>
    </row>
    <row r="9" customFormat="false" ht="16" hidden="false" customHeight="false" outlineLevel="0" collapsed="false">
      <c r="A9" s="3" t="s">
        <v>18</v>
      </c>
      <c r="B9" s="3" t="s">
        <v>19</v>
      </c>
      <c r="C9" s="1" t="s">
        <v>6</v>
      </c>
      <c r="D9" s="1" t="s">
        <v>7</v>
      </c>
      <c r="E9" s="1" t="n">
        <v>39.098</v>
      </c>
    </row>
    <row r="10" customFormat="false" ht="16" hidden="false" customHeight="false" outlineLevel="0" collapsed="false">
      <c r="A10" s="3" t="s">
        <v>20</v>
      </c>
      <c r="B10" s="3" t="s">
        <v>21</v>
      </c>
      <c r="C10" s="1" t="s">
        <v>6</v>
      </c>
      <c r="D10" s="1" t="s">
        <v>7</v>
      </c>
      <c r="E10" s="1" t="n">
        <v>14.007</v>
      </c>
    </row>
    <row r="11" customFormat="false" ht="16" hidden="false" customHeight="false" outlineLevel="0" collapsed="false">
      <c r="A11" s="3" t="s">
        <v>22</v>
      </c>
      <c r="B11" s="3" t="s">
        <v>23</v>
      </c>
      <c r="C11" s="1" t="s">
        <v>6</v>
      </c>
      <c r="D11" s="1" t="s">
        <v>7</v>
      </c>
      <c r="E11" s="1" t="n">
        <v>22.99</v>
      </c>
    </row>
    <row r="12" customFormat="false" ht="16" hidden="false" customHeight="false" outlineLevel="0" collapsed="false">
      <c r="A12" s="3" t="s">
        <v>24</v>
      </c>
      <c r="B12" s="3" t="s">
        <v>25</v>
      </c>
      <c r="C12" s="1" t="s">
        <v>6</v>
      </c>
      <c r="D12" s="1" t="s">
        <v>7</v>
      </c>
      <c r="E12" s="1" t="n">
        <v>15.999</v>
      </c>
    </row>
    <row r="13" customFormat="false" ht="16" hidden="false" customHeight="false" outlineLevel="0" collapsed="false">
      <c r="A13" s="3" t="s">
        <v>26</v>
      </c>
      <c r="B13" s="3" t="s">
        <v>27</v>
      </c>
      <c r="C13" s="1" t="s">
        <v>6</v>
      </c>
      <c r="D13" s="1" t="s">
        <v>7</v>
      </c>
      <c r="E13" s="1" t="n">
        <v>30.974</v>
      </c>
    </row>
    <row r="14" customFormat="false" ht="16" hidden="false" customHeight="false" outlineLevel="0" collapsed="false">
      <c r="A14" s="3" t="s">
        <v>28</v>
      </c>
      <c r="B14" s="3" t="s">
        <v>29</v>
      </c>
      <c r="C14" s="1" t="s">
        <v>6</v>
      </c>
      <c r="D14" s="1" t="s">
        <v>7</v>
      </c>
      <c r="E14" s="1" t="n">
        <v>32.065</v>
      </c>
    </row>
    <row r="15" customFormat="false" ht="16" hidden="false" customHeight="false" outlineLevel="0" collapsed="false">
      <c r="A15" s="3" t="s">
        <v>30</v>
      </c>
      <c r="B15" s="3" t="s">
        <v>31</v>
      </c>
      <c r="C15" s="1" t="s">
        <v>6</v>
      </c>
      <c r="D15" s="1" t="s">
        <v>7</v>
      </c>
      <c r="E15" s="1" t="n">
        <v>107.868</v>
      </c>
    </row>
    <row r="16" customFormat="false" ht="16" hidden="false" customHeight="false" outlineLevel="0" collapsed="false">
      <c r="A16" s="3" t="s">
        <v>32</v>
      </c>
      <c r="B16" s="3" t="s">
        <v>33</v>
      </c>
      <c r="C16" s="1" t="s">
        <v>6</v>
      </c>
      <c r="D16" s="1" t="s">
        <v>7</v>
      </c>
      <c r="E16" s="1" t="n">
        <v>26.982</v>
      </c>
    </row>
    <row r="17" customFormat="false" ht="16" hidden="false" customHeight="false" outlineLevel="0" collapsed="false">
      <c r="A17" s="3" t="s">
        <v>34</v>
      </c>
      <c r="B17" s="3" t="s">
        <v>35</v>
      </c>
      <c r="C17" s="1" t="s">
        <v>6</v>
      </c>
      <c r="D17" s="1" t="s">
        <v>7</v>
      </c>
      <c r="E17" s="1" t="n">
        <v>39.948</v>
      </c>
    </row>
    <row r="18" customFormat="false" ht="16" hidden="false" customHeight="false" outlineLevel="0" collapsed="false">
      <c r="A18" s="3" t="s">
        <v>36</v>
      </c>
      <c r="B18" s="3" t="s">
        <v>37</v>
      </c>
      <c r="C18" s="1" t="s">
        <v>6</v>
      </c>
      <c r="D18" s="1" t="s">
        <v>7</v>
      </c>
      <c r="E18" s="1" t="n">
        <v>74.922</v>
      </c>
    </row>
    <row r="19" customFormat="false" ht="16" hidden="false" customHeight="false" outlineLevel="0" collapsed="false">
      <c r="A19" s="3" t="s">
        <v>38</v>
      </c>
      <c r="B19" s="3" t="s">
        <v>39</v>
      </c>
      <c r="C19" s="1" t="s">
        <v>6</v>
      </c>
      <c r="D19" s="1" t="s">
        <v>7</v>
      </c>
      <c r="E19" s="1" t="n">
        <v>112.411</v>
      </c>
    </row>
    <row r="20" customFormat="false" ht="16" hidden="false" customHeight="false" outlineLevel="0" collapsed="false">
      <c r="A20" s="3" t="s">
        <v>40</v>
      </c>
      <c r="B20" s="3" t="s">
        <v>41</v>
      </c>
      <c r="C20" s="1" t="s">
        <v>6</v>
      </c>
      <c r="D20" s="1" t="s">
        <v>7</v>
      </c>
      <c r="E20" s="1" t="n">
        <v>58.933</v>
      </c>
    </row>
    <row r="21" customFormat="false" ht="16" hidden="false" customHeight="false" outlineLevel="0" collapsed="false">
      <c r="A21" s="3" t="s">
        <v>42</v>
      </c>
      <c r="B21" s="3" t="s">
        <v>43</v>
      </c>
      <c r="C21" s="1" t="s">
        <v>6</v>
      </c>
      <c r="D21" s="1" t="s">
        <v>7</v>
      </c>
      <c r="E21" s="1" t="n">
        <v>51.996</v>
      </c>
    </row>
    <row r="22" customFormat="false" ht="16" hidden="false" customHeight="false" outlineLevel="0" collapsed="false">
      <c r="A22" s="3" t="s">
        <v>44</v>
      </c>
      <c r="B22" s="3" t="s">
        <v>45</v>
      </c>
      <c r="C22" s="1" t="s">
        <v>6</v>
      </c>
      <c r="D22" s="1" t="s">
        <v>7</v>
      </c>
      <c r="E22" s="1" t="n">
        <v>63.546</v>
      </c>
    </row>
    <row r="23" customFormat="false" ht="16" hidden="false" customHeight="false" outlineLevel="0" collapsed="false">
      <c r="A23" s="3" t="s">
        <v>46</v>
      </c>
      <c r="B23" s="3" t="s">
        <v>47</v>
      </c>
      <c r="C23" s="1" t="s">
        <v>6</v>
      </c>
      <c r="D23" s="1" t="s">
        <v>7</v>
      </c>
      <c r="E23" s="1" t="n">
        <v>55.845</v>
      </c>
    </row>
    <row r="24" customFormat="false" ht="16" hidden="false" customHeight="false" outlineLevel="0" collapsed="false">
      <c r="A24" s="3" t="s">
        <v>48</v>
      </c>
      <c r="B24" s="3" t="s">
        <v>49</v>
      </c>
      <c r="C24" s="1" t="s">
        <v>6</v>
      </c>
      <c r="D24" s="1" t="s">
        <v>7</v>
      </c>
      <c r="E24" s="1" t="n">
        <v>200.59</v>
      </c>
    </row>
    <row r="25" customFormat="false" ht="16" hidden="false" customHeight="false" outlineLevel="0" collapsed="false">
      <c r="A25" s="3" t="s">
        <v>50</v>
      </c>
      <c r="B25" s="3" t="s">
        <v>51</v>
      </c>
      <c r="C25" s="1" t="s">
        <v>6</v>
      </c>
      <c r="D25" s="1" t="s">
        <v>7</v>
      </c>
      <c r="E25" s="1" t="n">
        <v>24.305</v>
      </c>
    </row>
    <row r="26" customFormat="false" ht="16" hidden="false" customHeight="false" outlineLevel="0" collapsed="false">
      <c r="A26" s="3" t="s">
        <v>52</v>
      </c>
      <c r="B26" s="3" t="s">
        <v>53</v>
      </c>
      <c r="C26" s="1" t="s">
        <v>6</v>
      </c>
      <c r="D26" s="1" t="s">
        <v>7</v>
      </c>
      <c r="E26" s="1" t="n">
        <v>54.938</v>
      </c>
    </row>
    <row r="27" customFormat="false" ht="16" hidden="false" customHeight="false" outlineLevel="0" collapsed="false">
      <c r="A27" s="3" t="s">
        <v>54</v>
      </c>
      <c r="B27" s="3" t="s">
        <v>55</v>
      </c>
      <c r="C27" s="1" t="s">
        <v>6</v>
      </c>
      <c r="D27" s="1" t="s">
        <v>7</v>
      </c>
      <c r="E27" s="1" t="n">
        <v>95.96</v>
      </c>
    </row>
    <row r="28" customFormat="false" ht="16" hidden="false" customHeight="false" outlineLevel="0" collapsed="false">
      <c r="A28" s="3" t="s">
        <v>56</v>
      </c>
      <c r="B28" s="3" t="s">
        <v>57</v>
      </c>
      <c r="C28" s="1" t="s">
        <v>6</v>
      </c>
      <c r="D28" s="1" t="s">
        <v>7</v>
      </c>
      <c r="E28" s="1" t="n">
        <v>58.693</v>
      </c>
    </row>
    <row r="29" customFormat="false" ht="16" hidden="false" customHeight="false" outlineLevel="0" collapsed="false">
      <c r="A29" s="3" t="s">
        <v>58</v>
      </c>
      <c r="B29" s="3" t="s">
        <v>59</v>
      </c>
      <c r="C29" s="1" t="s">
        <v>6</v>
      </c>
      <c r="D29" s="1" t="s">
        <v>7</v>
      </c>
      <c r="E29" s="1" t="n">
        <v>207.2</v>
      </c>
    </row>
    <row r="30" customFormat="false" ht="16" hidden="false" customHeight="false" outlineLevel="0" collapsed="false">
      <c r="A30" s="3" t="s">
        <v>60</v>
      </c>
      <c r="B30" s="3" t="s">
        <v>61</v>
      </c>
      <c r="C30" s="1" t="s">
        <v>6</v>
      </c>
      <c r="D30" s="1" t="s">
        <v>7</v>
      </c>
      <c r="E30" s="1" t="n">
        <v>65.38</v>
      </c>
    </row>
    <row r="31" customFormat="false" ht="16" hidden="false" customHeight="false" outlineLevel="0" collapsed="false">
      <c r="A31" s="3" t="s">
        <v>62</v>
      </c>
      <c r="B31" s="3" t="s">
        <v>63</v>
      </c>
      <c r="C31" s="1" t="s">
        <v>6</v>
      </c>
      <c r="D31" s="1" t="s">
        <v>7</v>
      </c>
      <c r="E31" s="1" t="n">
        <v>4.002</v>
      </c>
    </row>
    <row r="32" customFormat="false" ht="16" hidden="false" customHeight="false" outlineLevel="0" collapsed="false">
      <c r="A32" s="3" t="s">
        <v>64</v>
      </c>
      <c r="B32" s="3" t="s">
        <v>65</v>
      </c>
      <c r="C32" s="1" t="s">
        <v>6</v>
      </c>
      <c r="D32" s="1" t="s">
        <v>7</v>
      </c>
      <c r="E32" s="1" t="n">
        <v>6.941</v>
      </c>
    </row>
    <row r="33" customFormat="false" ht="16" hidden="false" customHeight="false" outlineLevel="0" collapsed="false">
      <c r="A33" s="3" t="s">
        <v>66</v>
      </c>
      <c r="B33" s="3" t="s">
        <v>67</v>
      </c>
      <c r="C33" s="1" t="s">
        <v>6</v>
      </c>
      <c r="D33" s="1" t="s">
        <v>7</v>
      </c>
      <c r="E33" s="1" t="n">
        <v>9.012</v>
      </c>
    </row>
    <row r="34" customFormat="false" ht="16" hidden="false" customHeight="false" outlineLevel="0" collapsed="false">
      <c r="A34" s="3" t="s">
        <v>68</v>
      </c>
      <c r="B34" s="3" t="s">
        <v>69</v>
      </c>
      <c r="C34" s="1" t="s">
        <v>6</v>
      </c>
      <c r="D34" s="1" t="s">
        <v>7</v>
      </c>
      <c r="E34" s="1" t="n">
        <v>10.811</v>
      </c>
    </row>
    <row r="35" customFormat="false" ht="16" hidden="false" customHeight="false" outlineLevel="0" collapsed="false">
      <c r="A35" s="3" t="s">
        <v>70</v>
      </c>
      <c r="B35" s="3" t="s">
        <v>71</v>
      </c>
      <c r="C35" s="1" t="s">
        <v>6</v>
      </c>
      <c r="D35" s="1" t="s">
        <v>7</v>
      </c>
      <c r="E35" s="1" t="n">
        <v>20.18</v>
      </c>
    </row>
    <row r="36" customFormat="false" ht="16" hidden="false" customHeight="false" outlineLevel="0" collapsed="false">
      <c r="A36" s="3" t="s">
        <v>72</v>
      </c>
      <c r="B36" s="3" t="s">
        <v>73</v>
      </c>
      <c r="C36" s="1" t="s">
        <v>6</v>
      </c>
      <c r="D36" s="1" t="s">
        <v>7</v>
      </c>
      <c r="E36" s="1" t="n">
        <v>28.086</v>
      </c>
    </row>
    <row r="37" customFormat="false" ht="16" hidden="false" customHeight="false" outlineLevel="0" collapsed="false">
      <c r="A37" s="3" t="s">
        <v>74</v>
      </c>
      <c r="B37" s="3" t="s">
        <v>75</v>
      </c>
      <c r="C37" s="1" t="s">
        <v>6</v>
      </c>
      <c r="D37" s="1" t="s">
        <v>7</v>
      </c>
      <c r="E37" s="1" t="n">
        <v>44.956</v>
      </c>
    </row>
    <row r="38" customFormat="false" ht="16" hidden="false" customHeight="false" outlineLevel="0" collapsed="false">
      <c r="A38" s="3" t="s">
        <v>76</v>
      </c>
      <c r="B38" s="3" t="s">
        <v>77</v>
      </c>
      <c r="C38" s="1" t="s">
        <v>6</v>
      </c>
      <c r="D38" s="1" t="s">
        <v>7</v>
      </c>
      <c r="E38" s="1" t="n">
        <v>47.867</v>
      </c>
    </row>
    <row r="39" customFormat="false" ht="16" hidden="false" customHeight="false" outlineLevel="0" collapsed="false">
      <c r="A39" s="3" t="s">
        <v>78</v>
      </c>
      <c r="B39" s="3" t="s">
        <v>79</v>
      </c>
      <c r="C39" s="1" t="s">
        <v>6</v>
      </c>
      <c r="D39" s="1" t="s">
        <v>7</v>
      </c>
      <c r="E39" s="1" t="n">
        <v>50.942</v>
      </c>
    </row>
    <row r="40" customFormat="false" ht="16" hidden="false" customHeight="false" outlineLevel="0" collapsed="false">
      <c r="A40" s="3" t="s">
        <v>80</v>
      </c>
      <c r="B40" s="3" t="s">
        <v>81</v>
      </c>
      <c r="C40" s="1" t="s">
        <v>6</v>
      </c>
      <c r="D40" s="1" t="s">
        <v>7</v>
      </c>
      <c r="E40" s="1" t="n">
        <v>69.723</v>
      </c>
    </row>
    <row r="41" customFormat="false" ht="16" hidden="false" customHeight="false" outlineLevel="0" collapsed="false">
      <c r="A41" s="3" t="s">
        <v>82</v>
      </c>
      <c r="B41" s="3" t="s">
        <v>83</v>
      </c>
      <c r="C41" s="1" t="s">
        <v>6</v>
      </c>
      <c r="D41" s="1" t="s">
        <v>7</v>
      </c>
      <c r="E41" s="1" t="n">
        <v>72.64</v>
      </c>
    </row>
    <row r="42" customFormat="false" ht="16" hidden="false" customHeight="false" outlineLevel="0" collapsed="false">
      <c r="A42" s="3" t="s">
        <v>84</v>
      </c>
      <c r="B42" s="3" t="s">
        <v>85</v>
      </c>
      <c r="C42" s="1" t="s">
        <v>6</v>
      </c>
      <c r="D42" s="1" t="s">
        <v>7</v>
      </c>
      <c r="E42" s="1" t="n">
        <v>78.96</v>
      </c>
    </row>
    <row r="43" customFormat="false" ht="16" hidden="false" customHeight="false" outlineLevel="0" collapsed="false">
      <c r="A43" s="3" t="s">
        <v>86</v>
      </c>
      <c r="B43" s="3" t="s">
        <v>87</v>
      </c>
      <c r="C43" s="1" t="s">
        <v>6</v>
      </c>
      <c r="D43" s="1" t="s">
        <v>7</v>
      </c>
      <c r="E43" s="1" t="n">
        <v>79.904</v>
      </c>
    </row>
    <row r="44" customFormat="false" ht="16" hidden="false" customHeight="false" outlineLevel="0" collapsed="false">
      <c r="A44" s="3" t="s">
        <v>88</v>
      </c>
      <c r="B44" s="3" t="s">
        <v>89</v>
      </c>
      <c r="C44" s="1" t="s">
        <v>6</v>
      </c>
      <c r="D44" s="1" t="s">
        <v>7</v>
      </c>
      <c r="E44" s="1" t="n">
        <v>83.798</v>
      </c>
    </row>
    <row r="45" customFormat="false" ht="16" hidden="false" customHeight="false" outlineLevel="0" collapsed="false">
      <c r="A45" s="3" t="s">
        <v>90</v>
      </c>
      <c r="B45" s="3" t="s">
        <v>91</v>
      </c>
      <c r="C45" s="1" t="s">
        <v>6</v>
      </c>
      <c r="D45" s="1" t="s">
        <v>7</v>
      </c>
      <c r="E45" s="1" t="n">
        <v>85.468</v>
      </c>
    </row>
    <row r="46" customFormat="false" ht="16" hidden="false" customHeight="false" outlineLevel="0" collapsed="false">
      <c r="A46" s="3" t="s">
        <v>92</v>
      </c>
      <c r="B46" s="3" t="s">
        <v>93</v>
      </c>
      <c r="C46" s="1" t="s">
        <v>6</v>
      </c>
      <c r="D46" s="1" t="s">
        <v>7</v>
      </c>
      <c r="E46" s="1" t="n">
        <v>87.62</v>
      </c>
    </row>
    <row r="47" customFormat="false" ht="16" hidden="false" customHeight="false" outlineLevel="0" collapsed="false">
      <c r="A47" s="3" t="s">
        <v>94</v>
      </c>
      <c r="B47" s="3" t="s">
        <v>95</v>
      </c>
      <c r="C47" s="1" t="s">
        <v>6</v>
      </c>
      <c r="D47" s="1" t="s">
        <v>7</v>
      </c>
      <c r="E47" s="1" t="n">
        <v>88.906</v>
      </c>
    </row>
    <row r="48" customFormat="false" ht="16" hidden="false" customHeight="false" outlineLevel="0" collapsed="false">
      <c r="A48" s="3" t="s">
        <v>96</v>
      </c>
      <c r="B48" s="3" t="s">
        <v>97</v>
      </c>
      <c r="C48" s="1" t="s">
        <v>6</v>
      </c>
      <c r="D48" s="1" t="s">
        <v>7</v>
      </c>
      <c r="E48" s="1" t="n">
        <v>91.224</v>
      </c>
    </row>
    <row r="49" customFormat="false" ht="16" hidden="false" customHeight="false" outlineLevel="0" collapsed="false">
      <c r="A49" s="3" t="s">
        <v>98</v>
      </c>
      <c r="B49" s="3" t="s">
        <v>99</v>
      </c>
      <c r="C49" s="1" t="s">
        <v>6</v>
      </c>
      <c r="D49" s="1" t="s">
        <v>7</v>
      </c>
      <c r="E49" s="1" t="n">
        <v>92.906</v>
      </c>
    </row>
    <row r="50" customFormat="false" ht="16" hidden="false" customHeight="false" outlineLevel="0" collapsed="false">
      <c r="A50" s="3" t="s">
        <v>100</v>
      </c>
      <c r="B50" s="3" t="s">
        <v>101</v>
      </c>
      <c r="C50" s="1" t="s">
        <v>6</v>
      </c>
      <c r="D50" s="1" t="s">
        <v>7</v>
      </c>
      <c r="E50" s="1" t="n">
        <v>98</v>
      </c>
    </row>
    <row r="51" customFormat="false" ht="16" hidden="false" customHeight="false" outlineLevel="0" collapsed="false">
      <c r="A51" s="3" t="s">
        <v>102</v>
      </c>
      <c r="B51" s="3" t="s">
        <v>103</v>
      </c>
      <c r="C51" s="1" t="s">
        <v>6</v>
      </c>
      <c r="D51" s="1" t="s">
        <v>7</v>
      </c>
      <c r="E51" s="1" t="n">
        <v>101.07</v>
      </c>
    </row>
    <row r="52" customFormat="false" ht="16" hidden="false" customHeight="false" outlineLevel="0" collapsed="false">
      <c r="A52" s="3" t="s">
        <v>104</v>
      </c>
      <c r="B52" s="3" t="s">
        <v>105</v>
      </c>
      <c r="C52" s="1" t="s">
        <v>6</v>
      </c>
      <c r="D52" s="1" t="s">
        <v>7</v>
      </c>
      <c r="E52" s="1" t="n">
        <v>102.906</v>
      </c>
    </row>
    <row r="53" customFormat="false" ht="16" hidden="false" customHeight="false" outlineLevel="0" collapsed="false">
      <c r="A53" s="3" t="s">
        <v>106</v>
      </c>
      <c r="B53" s="3" t="s">
        <v>107</v>
      </c>
      <c r="C53" s="1" t="s">
        <v>6</v>
      </c>
      <c r="D53" s="1" t="s">
        <v>7</v>
      </c>
      <c r="E53" s="1" t="n">
        <v>106.42</v>
      </c>
    </row>
    <row r="54" customFormat="false" ht="16" hidden="false" customHeight="false" outlineLevel="0" collapsed="false">
      <c r="A54" s="3" t="s">
        <v>108</v>
      </c>
      <c r="B54" s="3" t="s">
        <v>109</v>
      </c>
      <c r="C54" s="1" t="s">
        <v>6</v>
      </c>
      <c r="D54" s="1" t="s">
        <v>7</v>
      </c>
      <c r="E54" s="1" t="n">
        <v>114.818</v>
      </c>
    </row>
    <row r="55" customFormat="false" ht="16" hidden="false" customHeight="false" outlineLevel="0" collapsed="false">
      <c r="A55" s="3" t="s">
        <v>110</v>
      </c>
      <c r="B55" s="3" t="s">
        <v>111</v>
      </c>
      <c r="C55" s="1" t="s">
        <v>6</v>
      </c>
      <c r="D55" s="1" t="s">
        <v>7</v>
      </c>
      <c r="E55" s="1" t="n">
        <v>118.71</v>
      </c>
    </row>
    <row r="56" customFormat="false" ht="16" hidden="false" customHeight="false" outlineLevel="0" collapsed="false">
      <c r="A56" s="3" t="s">
        <v>112</v>
      </c>
      <c r="B56" s="3" t="s">
        <v>113</v>
      </c>
      <c r="C56" s="1" t="s">
        <v>6</v>
      </c>
      <c r="D56" s="1" t="s">
        <v>7</v>
      </c>
      <c r="E56" s="1" t="n">
        <v>121.76</v>
      </c>
    </row>
    <row r="57" customFormat="false" ht="16" hidden="false" customHeight="false" outlineLevel="0" collapsed="false">
      <c r="A57" s="3" t="s">
        <v>114</v>
      </c>
      <c r="B57" s="3" t="s">
        <v>115</v>
      </c>
      <c r="C57" s="1" t="s">
        <v>6</v>
      </c>
      <c r="D57" s="1" t="s">
        <v>7</v>
      </c>
      <c r="E57" s="1" t="n">
        <v>127.6</v>
      </c>
    </row>
    <row r="58" customFormat="false" ht="16" hidden="false" customHeight="false" outlineLevel="0" collapsed="false">
      <c r="A58" s="3" t="s">
        <v>116</v>
      </c>
      <c r="B58" s="3" t="s">
        <v>117</v>
      </c>
      <c r="C58" s="1" t="s">
        <v>6</v>
      </c>
      <c r="D58" s="1" t="s">
        <v>7</v>
      </c>
      <c r="E58" s="1" t="n">
        <v>126.904</v>
      </c>
    </row>
    <row r="59" customFormat="false" ht="16" hidden="false" customHeight="false" outlineLevel="0" collapsed="false">
      <c r="A59" s="3" t="s">
        <v>118</v>
      </c>
      <c r="B59" s="3" t="s">
        <v>119</v>
      </c>
      <c r="C59" s="1" t="s">
        <v>6</v>
      </c>
      <c r="D59" s="1" t="s">
        <v>7</v>
      </c>
      <c r="E59" s="1" t="n">
        <v>131.293</v>
      </c>
    </row>
    <row r="60" customFormat="false" ht="16" hidden="false" customHeight="false" outlineLevel="0" collapsed="false">
      <c r="A60" s="3" t="s">
        <v>120</v>
      </c>
      <c r="B60" s="3" t="s">
        <v>121</v>
      </c>
      <c r="C60" s="1" t="s">
        <v>6</v>
      </c>
      <c r="D60" s="1" t="s">
        <v>7</v>
      </c>
      <c r="E60" s="1" t="n">
        <v>132.905</v>
      </c>
    </row>
    <row r="61" customFormat="false" ht="16" hidden="false" customHeight="false" outlineLevel="0" collapsed="false">
      <c r="A61" s="3" t="s">
        <v>122</v>
      </c>
      <c r="B61" s="3" t="s">
        <v>123</v>
      </c>
      <c r="C61" s="1" t="s">
        <v>6</v>
      </c>
      <c r="D61" s="1" t="s">
        <v>7</v>
      </c>
      <c r="E61" s="1" t="n">
        <v>137.327</v>
      </c>
    </row>
    <row r="62" customFormat="false" ht="16" hidden="false" customHeight="false" outlineLevel="0" collapsed="false">
      <c r="A62" s="3" t="s">
        <v>124</v>
      </c>
      <c r="B62" s="3" t="s">
        <v>125</v>
      </c>
      <c r="C62" s="1" t="s">
        <v>6</v>
      </c>
      <c r="D62" s="1" t="s">
        <v>7</v>
      </c>
      <c r="E62" s="1" t="n">
        <v>138.905</v>
      </c>
    </row>
    <row r="63" customFormat="false" ht="16" hidden="false" customHeight="false" outlineLevel="0" collapsed="false">
      <c r="A63" s="3" t="s">
        <v>126</v>
      </c>
      <c r="B63" s="3" t="s">
        <v>127</v>
      </c>
      <c r="C63" s="1" t="s">
        <v>6</v>
      </c>
      <c r="D63" s="1" t="s">
        <v>7</v>
      </c>
      <c r="E63" s="1" t="n">
        <v>140.116</v>
      </c>
    </row>
    <row r="64" customFormat="false" ht="16" hidden="false" customHeight="false" outlineLevel="0" collapsed="false">
      <c r="A64" s="3" t="s">
        <v>128</v>
      </c>
      <c r="B64" s="3" t="s">
        <v>129</v>
      </c>
      <c r="C64" s="1" t="s">
        <v>6</v>
      </c>
      <c r="D64" s="1" t="s">
        <v>7</v>
      </c>
      <c r="E64" s="1" t="n">
        <v>140.908</v>
      </c>
    </row>
    <row r="65" customFormat="false" ht="16" hidden="false" customHeight="false" outlineLevel="0" collapsed="false">
      <c r="A65" s="3" t="s">
        <v>130</v>
      </c>
      <c r="B65" s="3" t="s">
        <v>131</v>
      </c>
      <c r="C65" s="1" t="s">
        <v>6</v>
      </c>
      <c r="D65" s="1" t="s">
        <v>7</v>
      </c>
      <c r="E65" s="1" t="n">
        <v>144.242</v>
      </c>
    </row>
    <row r="66" customFormat="false" ht="16" hidden="false" customHeight="false" outlineLevel="0" collapsed="false">
      <c r="A66" s="3" t="s">
        <v>132</v>
      </c>
      <c r="B66" s="3" t="s">
        <v>133</v>
      </c>
      <c r="C66" s="1" t="s">
        <v>6</v>
      </c>
      <c r="D66" s="1" t="s">
        <v>7</v>
      </c>
      <c r="E66" s="1" t="n">
        <v>145</v>
      </c>
    </row>
    <row r="67" customFormat="false" ht="16" hidden="false" customHeight="false" outlineLevel="0" collapsed="false">
      <c r="A67" s="3" t="s">
        <v>134</v>
      </c>
      <c r="B67" s="3" t="s">
        <v>135</v>
      </c>
      <c r="C67" s="1" t="s">
        <v>6</v>
      </c>
      <c r="D67" s="1" t="s">
        <v>7</v>
      </c>
      <c r="E67" s="1" t="n">
        <v>150.36</v>
      </c>
    </row>
    <row r="68" customFormat="false" ht="16" hidden="false" customHeight="false" outlineLevel="0" collapsed="false">
      <c r="A68" s="3" t="s">
        <v>136</v>
      </c>
      <c r="B68" s="3" t="s">
        <v>137</v>
      </c>
      <c r="C68" s="1" t="s">
        <v>6</v>
      </c>
      <c r="D68" s="1" t="s">
        <v>7</v>
      </c>
      <c r="E68" s="1" t="n">
        <v>151.964</v>
      </c>
    </row>
    <row r="69" customFormat="false" ht="16" hidden="false" customHeight="false" outlineLevel="0" collapsed="false">
      <c r="A69" s="3" t="s">
        <v>138</v>
      </c>
      <c r="B69" s="3" t="s">
        <v>139</v>
      </c>
      <c r="C69" s="1" t="s">
        <v>6</v>
      </c>
      <c r="D69" s="1" t="s">
        <v>7</v>
      </c>
      <c r="E69" s="1" t="n">
        <v>157.25</v>
      </c>
    </row>
    <row r="70" customFormat="false" ht="16" hidden="false" customHeight="false" outlineLevel="0" collapsed="false">
      <c r="A70" s="3" t="s">
        <v>140</v>
      </c>
      <c r="B70" s="3" t="s">
        <v>141</v>
      </c>
      <c r="C70" s="1" t="s">
        <v>6</v>
      </c>
      <c r="D70" s="1" t="s">
        <v>7</v>
      </c>
      <c r="E70" s="1" t="n">
        <v>158.925</v>
      </c>
    </row>
    <row r="71" customFormat="false" ht="16" hidden="false" customHeight="false" outlineLevel="0" collapsed="false">
      <c r="A71" s="3" t="s">
        <v>142</v>
      </c>
      <c r="B71" s="3" t="s">
        <v>143</v>
      </c>
      <c r="C71" s="1" t="s">
        <v>6</v>
      </c>
      <c r="D71" s="1" t="s">
        <v>7</v>
      </c>
      <c r="E71" s="1" t="n">
        <v>162.5</v>
      </c>
    </row>
    <row r="72" customFormat="false" ht="16" hidden="false" customHeight="false" outlineLevel="0" collapsed="false">
      <c r="A72" s="3" t="s">
        <v>144</v>
      </c>
      <c r="B72" s="3" t="s">
        <v>145</v>
      </c>
      <c r="C72" s="1" t="s">
        <v>6</v>
      </c>
      <c r="D72" s="1" t="s">
        <v>7</v>
      </c>
      <c r="E72" s="1" t="n">
        <v>164.93</v>
      </c>
    </row>
    <row r="73" customFormat="false" ht="16" hidden="false" customHeight="false" outlineLevel="0" collapsed="false">
      <c r="A73" s="3" t="s">
        <v>146</v>
      </c>
      <c r="B73" s="3" t="s">
        <v>147</v>
      </c>
      <c r="C73" s="1" t="s">
        <v>6</v>
      </c>
      <c r="D73" s="1" t="s">
        <v>7</v>
      </c>
      <c r="E73" s="1" t="n">
        <v>167.259</v>
      </c>
    </row>
    <row r="74" customFormat="false" ht="16" hidden="false" customHeight="false" outlineLevel="0" collapsed="false">
      <c r="A74" s="3" t="s">
        <v>148</v>
      </c>
      <c r="B74" s="3" t="s">
        <v>149</v>
      </c>
      <c r="C74" s="1" t="s">
        <v>6</v>
      </c>
      <c r="D74" s="1" t="s">
        <v>7</v>
      </c>
      <c r="E74" s="1" t="n">
        <v>168.934</v>
      </c>
    </row>
    <row r="75" customFormat="false" ht="16" hidden="false" customHeight="false" outlineLevel="0" collapsed="false">
      <c r="A75" s="3" t="s">
        <v>150</v>
      </c>
      <c r="B75" s="3" t="s">
        <v>151</v>
      </c>
      <c r="C75" s="1" t="s">
        <v>6</v>
      </c>
      <c r="D75" s="1" t="s">
        <v>7</v>
      </c>
      <c r="E75" s="1" t="n">
        <v>173.054</v>
      </c>
    </row>
    <row r="76" customFormat="false" ht="16" hidden="false" customHeight="false" outlineLevel="0" collapsed="false">
      <c r="A76" s="3" t="s">
        <v>152</v>
      </c>
      <c r="B76" s="3" t="s">
        <v>153</v>
      </c>
      <c r="C76" s="1" t="s">
        <v>6</v>
      </c>
      <c r="D76" s="1" t="s">
        <v>7</v>
      </c>
      <c r="E76" s="1" t="n">
        <v>174.967</v>
      </c>
    </row>
    <row r="77" customFormat="false" ht="16" hidden="false" customHeight="false" outlineLevel="0" collapsed="false">
      <c r="A77" s="3" t="s">
        <v>154</v>
      </c>
      <c r="B77" s="3" t="s">
        <v>155</v>
      </c>
      <c r="C77" s="1" t="s">
        <v>6</v>
      </c>
      <c r="D77" s="1" t="s">
        <v>7</v>
      </c>
      <c r="E77" s="1" t="n">
        <v>178.49</v>
      </c>
    </row>
    <row r="78" customFormat="false" ht="16" hidden="false" customHeight="false" outlineLevel="0" collapsed="false">
      <c r="A78" s="3" t="s">
        <v>156</v>
      </c>
      <c r="B78" s="3" t="s">
        <v>157</v>
      </c>
      <c r="C78" s="1" t="s">
        <v>6</v>
      </c>
      <c r="D78" s="1" t="s">
        <v>7</v>
      </c>
      <c r="E78" s="1" t="n">
        <v>180.948</v>
      </c>
    </row>
    <row r="79" customFormat="false" ht="16" hidden="false" customHeight="false" outlineLevel="0" collapsed="false">
      <c r="A79" s="3" t="s">
        <v>158</v>
      </c>
      <c r="B79" s="3" t="s">
        <v>159</v>
      </c>
      <c r="C79" s="1" t="s">
        <v>6</v>
      </c>
      <c r="D79" s="1" t="s">
        <v>7</v>
      </c>
      <c r="E79" s="1" t="n">
        <v>183.84</v>
      </c>
    </row>
    <row r="80" customFormat="false" ht="16" hidden="false" customHeight="false" outlineLevel="0" collapsed="false">
      <c r="A80" s="3" t="s">
        <v>160</v>
      </c>
      <c r="B80" s="3" t="s">
        <v>161</v>
      </c>
      <c r="C80" s="1" t="s">
        <v>6</v>
      </c>
      <c r="D80" s="1" t="s">
        <v>7</v>
      </c>
      <c r="E80" s="1" t="n">
        <v>186.207</v>
      </c>
    </row>
    <row r="81" customFormat="false" ht="16" hidden="false" customHeight="false" outlineLevel="0" collapsed="false">
      <c r="A81" s="3" t="s">
        <v>162</v>
      </c>
      <c r="B81" s="3" t="s">
        <v>163</v>
      </c>
      <c r="C81" s="1" t="s">
        <v>6</v>
      </c>
      <c r="D81" s="1" t="s">
        <v>7</v>
      </c>
      <c r="E81" s="1" t="n">
        <v>190.23</v>
      </c>
    </row>
    <row r="82" customFormat="false" ht="16" hidden="false" customHeight="false" outlineLevel="0" collapsed="false">
      <c r="A82" s="3" t="s">
        <v>164</v>
      </c>
      <c r="B82" s="3" t="s">
        <v>165</v>
      </c>
      <c r="C82" s="1" t="s">
        <v>6</v>
      </c>
      <c r="D82" s="1" t="s">
        <v>7</v>
      </c>
      <c r="E82" s="1" t="n">
        <v>192.217</v>
      </c>
    </row>
    <row r="83" customFormat="false" ht="16" hidden="false" customHeight="false" outlineLevel="0" collapsed="false">
      <c r="A83" s="3" t="s">
        <v>166</v>
      </c>
      <c r="B83" s="3" t="s">
        <v>167</v>
      </c>
      <c r="C83" s="1" t="s">
        <v>6</v>
      </c>
      <c r="D83" s="1" t="s">
        <v>7</v>
      </c>
      <c r="E83" s="1" t="n">
        <v>195.084</v>
      </c>
    </row>
    <row r="84" customFormat="false" ht="16" hidden="false" customHeight="false" outlineLevel="0" collapsed="false">
      <c r="A84" s="3" t="s">
        <v>168</v>
      </c>
      <c r="B84" s="3" t="s">
        <v>169</v>
      </c>
      <c r="C84" s="1" t="s">
        <v>6</v>
      </c>
      <c r="D84" s="1" t="s">
        <v>7</v>
      </c>
      <c r="E84" s="1" t="n">
        <v>196.967</v>
      </c>
    </row>
    <row r="85" customFormat="false" ht="16" hidden="false" customHeight="false" outlineLevel="0" collapsed="false">
      <c r="A85" s="3" t="s">
        <v>170</v>
      </c>
      <c r="B85" s="3" t="s">
        <v>171</v>
      </c>
      <c r="C85" s="1" t="s">
        <v>6</v>
      </c>
      <c r="D85" s="1" t="s">
        <v>7</v>
      </c>
      <c r="E85" s="1" t="n">
        <v>204.383</v>
      </c>
    </row>
    <row r="86" customFormat="false" ht="16" hidden="false" customHeight="false" outlineLevel="0" collapsed="false">
      <c r="A86" s="3" t="s">
        <v>172</v>
      </c>
      <c r="B86" s="3" t="s">
        <v>173</v>
      </c>
      <c r="C86" s="1" t="s">
        <v>6</v>
      </c>
      <c r="D86" s="1" t="s">
        <v>7</v>
      </c>
      <c r="E86" s="1" t="n">
        <v>208.98</v>
      </c>
    </row>
    <row r="87" customFormat="false" ht="16" hidden="false" customHeight="false" outlineLevel="0" collapsed="false">
      <c r="A87" s="3" t="s">
        <v>174</v>
      </c>
      <c r="B87" s="3" t="s">
        <v>175</v>
      </c>
      <c r="C87" s="1" t="s">
        <v>6</v>
      </c>
      <c r="D87" s="1" t="s">
        <v>7</v>
      </c>
      <c r="E87" s="1" t="n">
        <v>210</v>
      </c>
    </row>
    <row r="88" customFormat="false" ht="16" hidden="false" customHeight="false" outlineLevel="0" collapsed="false">
      <c r="A88" s="3" t="s">
        <v>176</v>
      </c>
      <c r="B88" s="3" t="s">
        <v>177</v>
      </c>
      <c r="C88" s="1" t="s">
        <v>6</v>
      </c>
      <c r="D88" s="1" t="s">
        <v>7</v>
      </c>
      <c r="E88" s="1" t="n">
        <v>210</v>
      </c>
    </row>
    <row r="89" customFormat="false" ht="16" hidden="false" customHeight="false" outlineLevel="0" collapsed="false">
      <c r="A89" s="3" t="s">
        <v>178</v>
      </c>
      <c r="B89" s="3" t="s">
        <v>179</v>
      </c>
      <c r="C89" s="1" t="s">
        <v>6</v>
      </c>
      <c r="D89" s="1" t="s">
        <v>7</v>
      </c>
      <c r="E89" s="1" t="n">
        <v>222</v>
      </c>
    </row>
    <row r="90" customFormat="false" ht="16" hidden="false" customHeight="false" outlineLevel="0" collapsed="false">
      <c r="A90" s="3" t="s">
        <v>180</v>
      </c>
      <c r="B90" s="3" t="s">
        <v>181</v>
      </c>
      <c r="C90" s="1" t="s">
        <v>6</v>
      </c>
      <c r="D90" s="1" t="s">
        <v>7</v>
      </c>
      <c r="E90" s="1" t="n">
        <v>223</v>
      </c>
    </row>
    <row r="91" customFormat="false" ht="16" hidden="false" customHeight="false" outlineLevel="0" collapsed="false">
      <c r="A91" s="3" t="s">
        <v>182</v>
      </c>
      <c r="B91" s="3" t="s">
        <v>183</v>
      </c>
      <c r="C91" s="1" t="s">
        <v>6</v>
      </c>
      <c r="D91" s="1" t="s">
        <v>7</v>
      </c>
      <c r="E91" s="1" t="n">
        <v>226</v>
      </c>
    </row>
    <row r="92" customFormat="false" ht="16" hidden="false" customHeight="false" outlineLevel="0" collapsed="false">
      <c r="A92" s="3" t="s">
        <v>184</v>
      </c>
      <c r="B92" s="3" t="s">
        <v>185</v>
      </c>
      <c r="C92" s="1" t="s">
        <v>6</v>
      </c>
      <c r="D92" s="1" t="s">
        <v>7</v>
      </c>
      <c r="E92" s="1" t="n">
        <v>227</v>
      </c>
    </row>
    <row r="93" customFormat="false" ht="16" hidden="false" customHeight="false" outlineLevel="0" collapsed="false">
      <c r="A93" s="3" t="s">
        <v>186</v>
      </c>
      <c r="B93" s="3" t="s">
        <v>187</v>
      </c>
      <c r="C93" s="1" t="s">
        <v>6</v>
      </c>
      <c r="D93" s="1" t="s">
        <v>7</v>
      </c>
      <c r="E93" s="1" t="n">
        <v>232.038</v>
      </c>
    </row>
    <row r="94" customFormat="false" ht="16" hidden="false" customHeight="false" outlineLevel="0" collapsed="false">
      <c r="A94" s="3" t="s">
        <v>188</v>
      </c>
      <c r="B94" s="3" t="s">
        <v>189</v>
      </c>
      <c r="C94" s="1" t="s">
        <v>6</v>
      </c>
      <c r="D94" s="1" t="s">
        <v>7</v>
      </c>
      <c r="E94" s="1" t="n">
        <v>231.036</v>
      </c>
    </row>
    <row r="95" customFormat="false" ht="16" hidden="false" customHeight="false" outlineLevel="0" collapsed="false">
      <c r="A95" s="3" t="s">
        <v>190</v>
      </c>
      <c r="B95" s="3" t="s">
        <v>191</v>
      </c>
      <c r="C95" s="1" t="s">
        <v>6</v>
      </c>
      <c r="D95" s="1" t="s">
        <v>7</v>
      </c>
      <c r="E95" s="1" t="n">
        <v>238.029</v>
      </c>
    </row>
    <row r="96" customFormat="false" ht="16" hidden="false" customHeight="false" outlineLevel="0" collapsed="false">
      <c r="A96" s="3" t="s">
        <v>192</v>
      </c>
      <c r="B96" s="3" t="s">
        <v>193</v>
      </c>
      <c r="C96" s="1" t="s">
        <v>6</v>
      </c>
      <c r="D96" s="1" t="s">
        <v>7</v>
      </c>
      <c r="E96" s="1" t="n">
        <v>237</v>
      </c>
    </row>
    <row r="97" customFormat="false" ht="16" hidden="false" customHeight="false" outlineLevel="0" collapsed="false">
      <c r="A97" s="3" t="s">
        <v>194</v>
      </c>
      <c r="B97" s="3" t="s">
        <v>195</v>
      </c>
      <c r="C97" s="1" t="s">
        <v>6</v>
      </c>
      <c r="D97" s="1" t="s">
        <v>7</v>
      </c>
      <c r="E97" s="1" t="n">
        <v>244</v>
      </c>
    </row>
    <row r="98" customFormat="false" ht="16" hidden="false" customHeight="false" outlineLevel="0" collapsed="false">
      <c r="A98" s="3" t="s">
        <v>196</v>
      </c>
      <c r="B98" s="3" t="s">
        <v>197</v>
      </c>
      <c r="C98" s="1" t="s">
        <v>6</v>
      </c>
      <c r="D98" s="1" t="s">
        <v>7</v>
      </c>
      <c r="E98" s="1" t="n">
        <v>243</v>
      </c>
    </row>
    <row r="99" customFormat="false" ht="16" hidden="false" customHeight="false" outlineLevel="0" collapsed="false">
      <c r="A99" s="3" t="s">
        <v>198</v>
      </c>
      <c r="B99" s="3" t="s">
        <v>199</v>
      </c>
      <c r="C99" s="1" t="s">
        <v>6</v>
      </c>
      <c r="D99" s="1" t="s">
        <v>7</v>
      </c>
      <c r="E99" s="1" t="n">
        <v>247</v>
      </c>
    </row>
    <row r="100" customFormat="false" ht="16" hidden="false" customHeight="false" outlineLevel="0" collapsed="false">
      <c r="A100" s="3" t="s">
        <v>200</v>
      </c>
      <c r="B100" s="3" t="s">
        <v>201</v>
      </c>
      <c r="C100" s="1" t="s">
        <v>6</v>
      </c>
      <c r="D100" s="1" t="s">
        <v>7</v>
      </c>
      <c r="E100" s="1" t="n">
        <v>247</v>
      </c>
    </row>
    <row r="101" customFormat="false" ht="16" hidden="false" customHeight="false" outlineLevel="0" collapsed="false">
      <c r="A101" s="3" t="s">
        <v>202</v>
      </c>
      <c r="B101" s="3" t="s">
        <v>203</v>
      </c>
      <c r="C101" s="1" t="s">
        <v>6</v>
      </c>
      <c r="D101" s="1" t="s">
        <v>7</v>
      </c>
      <c r="E101" s="1" t="n">
        <v>251</v>
      </c>
    </row>
    <row r="102" customFormat="false" ht="16" hidden="false" customHeight="false" outlineLevel="0" collapsed="false">
      <c r="A102" s="3" t="s">
        <v>204</v>
      </c>
      <c r="B102" s="3" t="s">
        <v>205</v>
      </c>
      <c r="C102" s="1" t="s">
        <v>6</v>
      </c>
      <c r="D102" s="1" t="s">
        <v>7</v>
      </c>
      <c r="E102" s="1" t="n">
        <v>252</v>
      </c>
    </row>
    <row r="103" customFormat="false" ht="16" hidden="false" customHeight="false" outlineLevel="0" collapsed="false">
      <c r="A103" s="3" t="s">
        <v>206</v>
      </c>
      <c r="B103" s="3" t="s">
        <v>207</v>
      </c>
      <c r="C103" s="1" t="s">
        <v>6</v>
      </c>
      <c r="D103" s="1" t="s">
        <v>7</v>
      </c>
      <c r="E103" s="1" t="n">
        <v>257</v>
      </c>
    </row>
    <row r="104" customFormat="false" ht="16" hidden="false" customHeight="false" outlineLevel="0" collapsed="false">
      <c r="A104" s="3" t="s">
        <v>208</v>
      </c>
      <c r="B104" s="3" t="s">
        <v>209</v>
      </c>
      <c r="C104" s="1" t="s">
        <v>6</v>
      </c>
      <c r="D104" s="1" t="s">
        <v>7</v>
      </c>
      <c r="E104" s="1" t="n">
        <v>258</v>
      </c>
    </row>
    <row r="105" customFormat="false" ht="16" hidden="false" customHeight="false" outlineLevel="0" collapsed="false">
      <c r="A105" s="3" t="s">
        <v>210</v>
      </c>
      <c r="B105" s="3" t="s">
        <v>211</v>
      </c>
      <c r="C105" s="1" t="s">
        <v>6</v>
      </c>
      <c r="D105" s="1" t="s">
        <v>7</v>
      </c>
      <c r="E105" s="1" t="n">
        <v>259</v>
      </c>
    </row>
    <row r="106" customFormat="false" ht="16" hidden="false" customHeight="false" outlineLevel="0" collapsed="false">
      <c r="A106" s="3" t="s">
        <v>212</v>
      </c>
      <c r="B106" s="3" t="s">
        <v>213</v>
      </c>
      <c r="C106" s="1" t="s">
        <v>6</v>
      </c>
      <c r="D106" s="1" t="s">
        <v>7</v>
      </c>
      <c r="E106" s="1" t="n">
        <v>262</v>
      </c>
    </row>
    <row r="107" customFormat="false" ht="16" hidden="false" customHeight="false" outlineLevel="0" collapsed="false">
      <c r="A107" s="3" t="s">
        <v>214</v>
      </c>
      <c r="B107" s="3" t="s">
        <v>215</v>
      </c>
      <c r="C107" s="1" t="s">
        <v>6</v>
      </c>
      <c r="D107" s="1" t="s">
        <v>7</v>
      </c>
      <c r="E107" s="1" t="n">
        <v>261</v>
      </c>
    </row>
    <row r="108" customFormat="false" ht="16" hidden="false" customHeight="false" outlineLevel="0" collapsed="false">
      <c r="A108" s="3" t="s">
        <v>216</v>
      </c>
      <c r="B108" s="3" t="s">
        <v>217</v>
      </c>
      <c r="C108" s="1" t="s">
        <v>6</v>
      </c>
      <c r="D108" s="1" t="s">
        <v>7</v>
      </c>
      <c r="E108" s="1" t="n">
        <v>262</v>
      </c>
    </row>
    <row r="109" customFormat="false" ht="16" hidden="false" customHeight="false" outlineLevel="0" collapsed="false">
      <c r="A109" s="3" t="s">
        <v>218</v>
      </c>
      <c r="B109" s="3" t="s">
        <v>219</v>
      </c>
      <c r="C109" s="1" t="s">
        <v>6</v>
      </c>
      <c r="D109" s="1" t="s">
        <v>7</v>
      </c>
      <c r="E109" s="1" t="n">
        <v>266</v>
      </c>
    </row>
    <row r="110" customFormat="false" ht="16" hidden="false" customHeight="false" outlineLevel="0" collapsed="false">
      <c r="A110" s="3" t="s">
        <v>220</v>
      </c>
      <c r="B110" s="3" t="s">
        <v>221</v>
      </c>
      <c r="C110" s="1" t="s">
        <v>6</v>
      </c>
      <c r="D110" s="1" t="s">
        <v>7</v>
      </c>
      <c r="E110" s="1" t="n">
        <v>264</v>
      </c>
    </row>
    <row r="111" customFormat="false" ht="16" hidden="false" customHeight="false" outlineLevel="0" collapsed="false">
      <c r="A111" s="3" t="s">
        <v>222</v>
      </c>
      <c r="B111" s="3" t="s">
        <v>223</v>
      </c>
      <c r="C111" s="1" t="s">
        <v>6</v>
      </c>
      <c r="D111" s="1" t="s">
        <v>7</v>
      </c>
      <c r="E111" s="1" t="n">
        <v>267</v>
      </c>
    </row>
    <row r="112" customFormat="false" ht="16" hidden="false" customHeight="false" outlineLevel="0" collapsed="false">
      <c r="A112" s="3" t="s">
        <v>224</v>
      </c>
      <c r="B112" s="3" t="s">
        <v>225</v>
      </c>
      <c r="C112" s="1" t="s">
        <v>6</v>
      </c>
      <c r="D112" s="1" t="s">
        <v>7</v>
      </c>
      <c r="E112" s="1" t="n">
        <v>268</v>
      </c>
    </row>
    <row r="113" customFormat="false" ht="16" hidden="false" customHeight="false" outlineLevel="0" collapsed="false">
      <c r="A113" s="3" t="s">
        <v>226</v>
      </c>
      <c r="B113" s="3" t="s">
        <v>227</v>
      </c>
      <c r="C113" s="1" t="s">
        <v>6</v>
      </c>
      <c r="D113" s="1" t="s">
        <v>7</v>
      </c>
      <c r="E113" s="1" t="n">
        <v>271</v>
      </c>
    </row>
    <row r="114" customFormat="false" ht="16" hidden="false" customHeight="false" outlineLevel="0" collapsed="false">
      <c r="A114" s="3" t="s">
        <v>228</v>
      </c>
      <c r="B114" s="3" t="s">
        <v>229</v>
      </c>
      <c r="C114" s="1" t="s">
        <v>6</v>
      </c>
      <c r="D114" s="1" t="s">
        <v>7</v>
      </c>
      <c r="E114" s="1" t="n">
        <v>272</v>
      </c>
    </row>
    <row r="115" customFormat="false" ht="16" hidden="false" customHeight="false" outlineLevel="0" collapsed="false">
      <c r="A115" s="3" t="s">
        <v>230</v>
      </c>
      <c r="B115" s="3" t="s">
        <v>231</v>
      </c>
      <c r="C115" s="1" t="s">
        <v>6</v>
      </c>
      <c r="D115" s="1" t="s">
        <v>7</v>
      </c>
      <c r="E115" s="1" t="n">
        <v>285</v>
      </c>
    </row>
    <row r="116" customFormat="false" ht="16" hidden="false" customHeight="false" outlineLevel="0" collapsed="false">
      <c r="A116" s="3" t="s">
        <v>232</v>
      </c>
      <c r="B116" s="3" t="s">
        <v>233</v>
      </c>
      <c r="C116" s="1" t="s">
        <v>6</v>
      </c>
      <c r="D116" s="1" t="s">
        <v>7</v>
      </c>
      <c r="E116" s="1" t="n">
        <v>284</v>
      </c>
    </row>
    <row r="117" customFormat="false" ht="16" hidden="false" customHeight="false" outlineLevel="0" collapsed="false">
      <c r="A117" s="3" t="s">
        <v>234</v>
      </c>
      <c r="B117" s="3" t="s">
        <v>235</v>
      </c>
      <c r="C117" s="1" t="s">
        <v>6</v>
      </c>
      <c r="D117" s="1" t="s">
        <v>7</v>
      </c>
      <c r="E117" s="1" t="n">
        <v>289</v>
      </c>
    </row>
    <row r="118" customFormat="false" ht="16" hidden="false" customHeight="false" outlineLevel="0" collapsed="false">
      <c r="A118" s="3" t="s">
        <v>236</v>
      </c>
      <c r="B118" s="3" t="s">
        <v>237</v>
      </c>
      <c r="C118" s="1" t="s">
        <v>6</v>
      </c>
      <c r="D118" s="1" t="s">
        <v>7</v>
      </c>
      <c r="E118" s="1" t="n">
        <v>288</v>
      </c>
    </row>
    <row r="119" customFormat="false" ht="16" hidden="false" customHeight="false" outlineLevel="0" collapsed="false">
      <c r="A119" s="3" t="s">
        <v>238</v>
      </c>
      <c r="B119" s="3" t="s">
        <v>239</v>
      </c>
      <c r="C119" s="1" t="s">
        <v>6</v>
      </c>
      <c r="D119" s="1" t="s">
        <v>7</v>
      </c>
      <c r="E119" s="1" t="n">
        <v>292</v>
      </c>
    </row>
    <row r="120" customFormat="false" ht="16" hidden="false" customHeight="false" outlineLevel="0" collapsed="false">
      <c r="A120" s="3" t="s">
        <v>240</v>
      </c>
      <c r="B120" s="3" t="s">
        <v>241</v>
      </c>
      <c r="C120" s="1" t="s">
        <v>6</v>
      </c>
      <c r="D120" s="1" t="s">
        <v>7</v>
      </c>
      <c r="E120" s="1" t="n">
        <v>295</v>
      </c>
    </row>
    <row r="121" customFormat="false" ht="16" hidden="false" customHeight="false" outlineLevel="0" collapsed="false">
      <c r="A121" s="3" t="s">
        <v>242</v>
      </c>
      <c r="B121" s="3" t="s">
        <v>243</v>
      </c>
      <c r="C121" s="1" t="s">
        <v>6</v>
      </c>
      <c r="D121" s="1" t="s">
        <v>7</v>
      </c>
      <c r="E121" s="1" t="n">
        <v>294</v>
      </c>
    </row>
    <row r="124" customFormat="false" ht="16" hidden="false" customHeight="false" outlineLevel="0" collapsed="false">
      <c r="A124" s="1" t="str">
        <f aca="false">IF(B124=0,"",B124)</f>
        <v/>
      </c>
    </row>
    <row r="125" customFormat="false" ht="16" hidden="false" customHeight="false" outlineLevel="0" collapsed="false">
      <c r="A125" s="1" t="str">
        <f aca="false">IF(B125=0,"",B125)</f>
        <v/>
      </c>
    </row>
    <row r="126" customFormat="false" ht="16" hidden="false" customHeight="false" outlineLevel="0" collapsed="false">
      <c r="A126" s="1" t="str">
        <f aca="false">IF(B126=0,"",B126)</f>
        <v/>
      </c>
    </row>
    <row r="127" customFormat="false" ht="16" hidden="false" customHeight="false" outlineLevel="0" collapsed="false">
      <c r="A127" s="1" t="str">
        <f aca="false">IF(B127=0,"",B127)</f>
        <v/>
      </c>
    </row>
    <row r="128" customFormat="false" ht="16" hidden="false" customHeight="false" outlineLevel="0" collapsed="false">
      <c r="A128" s="1" t="str">
        <f aca="false">IF(B128=0,"",B128)</f>
        <v/>
      </c>
    </row>
    <row r="129" customFormat="false" ht="16" hidden="false" customHeight="false" outlineLevel="0" collapsed="false">
      <c r="A129" s="1" t="str">
        <f aca="false">IF(B129=0,"",B129)</f>
        <v/>
      </c>
    </row>
    <row r="130" customFormat="false" ht="16" hidden="false" customHeight="false" outlineLevel="0" collapsed="false">
      <c r="A130" s="1" t="str">
        <f aca="false">IF(B130=0,"",B130)</f>
        <v/>
      </c>
    </row>
    <row r="131" customFormat="false" ht="16" hidden="false" customHeight="false" outlineLevel="0" collapsed="false">
      <c r="A131" s="1" t="str">
        <f aca="false">IF(B131=0,"",B131)</f>
        <v/>
      </c>
    </row>
    <row r="132" customFormat="false" ht="16" hidden="false" customHeight="false" outlineLevel="0" collapsed="false">
      <c r="A132" s="1" t="str">
        <f aca="false">IF(B132=0,"",B132)</f>
        <v/>
      </c>
    </row>
    <row r="133" customFormat="false" ht="16" hidden="false" customHeight="false" outlineLevel="0" collapsed="false">
      <c r="A133" s="1" t="str">
        <f aca="false">IF(B133=0,"",B133)</f>
        <v/>
      </c>
    </row>
    <row r="134" customFormat="false" ht="16" hidden="false" customHeight="false" outlineLevel="0" collapsed="false">
      <c r="A134" s="1" t="str">
        <f aca="false">IF(B134=0,"",B134)</f>
        <v/>
      </c>
    </row>
    <row r="135" customFormat="false" ht="16" hidden="false" customHeight="false" outlineLevel="0" collapsed="false">
      <c r="A135" s="1" t="str">
        <f aca="false">IF(B135=0,"",B135)</f>
        <v/>
      </c>
    </row>
    <row r="136" customFormat="false" ht="16" hidden="false" customHeight="false" outlineLevel="0" collapsed="false">
      <c r="A136" s="1" t="str">
        <f aca="false">IF(B136=0,"",B136)</f>
        <v/>
      </c>
    </row>
    <row r="137" customFormat="false" ht="16" hidden="false" customHeight="false" outlineLevel="0" collapsed="false">
      <c r="A137" s="1" t="str">
        <f aca="false">IF(B137=0,"",B137)</f>
        <v/>
      </c>
    </row>
    <row r="138" customFormat="false" ht="16" hidden="false" customHeight="false" outlineLevel="0" collapsed="false">
      <c r="A138" s="1" t="str">
        <f aca="false">IF(B138=0,"",B138)</f>
        <v/>
      </c>
    </row>
    <row r="139" customFormat="false" ht="16" hidden="false" customHeight="false" outlineLevel="0" collapsed="false">
      <c r="A139" s="1" t="str">
        <f aca="false">IF(B139=0,"",B139)</f>
        <v/>
      </c>
    </row>
    <row r="140" customFormat="false" ht="16" hidden="false" customHeight="false" outlineLevel="0" collapsed="false">
      <c r="A140" s="1" t="str">
        <f aca="false">IF(B140=0,"",B140)</f>
        <v/>
      </c>
    </row>
    <row r="141" customFormat="false" ht="16" hidden="false" customHeight="false" outlineLevel="0" collapsed="false">
      <c r="A141" s="1" t="str">
        <f aca="false">IF(B141=0,"",B141)</f>
        <v/>
      </c>
    </row>
    <row r="142" customFormat="false" ht="16" hidden="false" customHeight="false" outlineLevel="0" collapsed="false">
      <c r="A142" s="1" t="str">
        <f aca="false">IF(B142=0,"",B142)</f>
        <v/>
      </c>
    </row>
    <row r="143" customFormat="false" ht="16" hidden="false" customHeight="false" outlineLevel="0" collapsed="false">
      <c r="A143" s="1" t="str">
        <f aca="false">IF(B143=0,"",B143)</f>
        <v/>
      </c>
    </row>
    <row r="144" customFormat="false" ht="16" hidden="false" customHeight="false" outlineLevel="0" collapsed="false">
      <c r="A144" s="1" t="str">
        <f aca="false">IF(B144=0,"",B144)</f>
        <v/>
      </c>
    </row>
    <row r="145" customFormat="false" ht="16" hidden="false" customHeight="false" outlineLevel="0" collapsed="false">
      <c r="A145" s="1" t="str">
        <f aca="false">IF(B145=0,"",B145)</f>
        <v/>
      </c>
    </row>
    <row r="146" customFormat="false" ht="16" hidden="false" customHeight="false" outlineLevel="0" collapsed="false">
      <c r="A146" s="1" t="str">
        <f aca="false">IF(B146=0,"",B146)</f>
        <v/>
      </c>
    </row>
    <row r="147" customFormat="false" ht="16" hidden="false" customHeight="false" outlineLevel="0" collapsed="false">
      <c r="A147" s="1" t="str">
        <f aca="false">IF(B147=0,"",B147)</f>
        <v/>
      </c>
    </row>
    <row r="148" customFormat="false" ht="16" hidden="false" customHeight="false" outlineLevel="0" collapsed="false">
      <c r="A148" s="1" t="str">
        <f aca="false">IF(B148=0,"",B148)</f>
        <v/>
      </c>
    </row>
    <row r="149" customFormat="false" ht="16" hidden="false" customHeight="false" outlineLevel="0" collapsed="false">
      <c r="A149" s="1" t="str">
        <f aca="false">IF(B149=0,"",B149)</f>
        <v/>
      </c>
    </row>
    <row r="150" customFormat="false" ht="16" hidden="false" customHeight="false" outlineLevel="0" collapsed="false">
      <c r="A150" s="1" t="str">
        <f aca="false">IF(B150=0,"",B150)</f>
        <v/>
      </c>
    </row>
    <row r="151" customFormat="false" ht="16" hidden="false" customHeight="false" outlineLevel="0" collapsed="false">
      <c r="A151" s="1" t="str">
        <f aca="false">IF(B151=0,"",B151)</f>
        <v/>
      </c>
    </row>
    <row r="152" customFormat="false" ht="16" hidden="false" customHeight="false" outlineLevel="0" collapsed="false">
      <c r="A152" s="1" t="str">
        <f aca="false">IF(B152=0,"",B152)</f>
        <v/>
      </c>
    </row>
    <row r="153" customFormat="false" ht="16" hidden="false" customHeight="false" outlineLevel="0" collapsed="false">
      <c r="A153" s="1" t="str">
        <f aca="false">IF(B153=0,"",B153)</f>
        <v/>
      </c>
    </row>
    <row r="154" customFormat="false" ht="16" hidden="false" customHeight="false" outlineLevel="0" collapsed="false">
      <c r="A154" s="1" t="str">
        <f aca="false">IF(B154=0,"",B154)</f>
        <v/>
      </c>
    </row>
    <row r="155" customFormat="false" ht="16" hidden="false" customHeight="false" outlineLevel="0" collapsed="false">
      <c r="A155" s="1" t="str">
        <f aca="false">IF(B155=0,"",B155)</f>
        <v/>
      </c>
    </row>
    <row r="156" customFormat="false" ht="16" hidden="false" customHeight="false" outlineLevel="0" collapsed="false">
      <c r="A156" s="1" t="str">
        <f aca="false">IF(B156=0,"",B156)</f>
        <v/>
      </c>
    </row>
    <row r="157" customFormat="false" ht="16" hidden="false" customHeight="false" outlineLevel="0" collapsed="false">
      <c r="A157" s="1" t="str">
        <f aca="false">IF(B157=0,"",B157)</f>
        <v/>
      </c>
    </row>
    <row r="158" customFormat="false" ht="16" hidden="false" customHeight="false" outlineLevel="0" collapsed="false">
      <c r="A158" s="1" t="str">
        <f aca="false">IF(B158=0,"",B158)</f>
        <v/>
      </c>
    </row>
    <row r="159" customFormat="false" ht="16" hidden="false" customHeight="false" outlineLevel="0" collapsed="false">
      <c r="A159" s="1" t="str">
        <f aca="false">IF(B159=0,"",B159)</f>
        <v/>
      </c>
    </row>
    <row r="160" customFormat="false" ht="16" hidden="false" customHeight="false" outlineLevel="0" collapsed="false">
      <c r="A160" s="1" t="str">
        <f aca="false">IF(B160=0,"",B160)</f>
        <v/>
      </c>
    </row>
    <row r="161" customFormat="false" ht="16" hidden="false" customHeight="false" outlineLevel="0" collapsed="false">
      <c r="A161" s="1" t="str">
        <f aca="false">IF(B161=0,"",B161)</f>
        <v/>
      </c>
    </row>
    <row r="162" customFormat="false" ht="16" hidden="false" customHeight="false" outlineLevel="0" collapsed="false">
      <c r="A162" s="1" t="str">
        <f aca="false">IF(B162=0,"",B162)</f>
        <v/>
      </c>
    </row>
    <row r="163" customFormat="false" ht="16" hidden="false" customHeight="false" outlineLevel="0" collapsed="false">
      <c r="A163" s="1" t="str">
        <f aca="false">IF(B163=0,"",B163)</f>
        <v/>
      </c>
    </row>
    <row r="164" customFormat="false" ht="16" hidden="false" customHeight="false" outlineLevel="0" collapsed="false">
      <c r="A164" s="1" t="str">
        <f aca="false">IF(B164=0,"",B164)</f>
        <v/>
      </c>
    </row>
    <row r="165" customFormat="false" ht="16" hidden="false" customHeight="false" outlineLevel="0" collapsed="false">
      <c r="A165" s="1" t="str">
        <f aca="false">IF(B165=0,"",B165)</f>
        <v/>
      </c>
    </row>
    <row r="166" customFormat="false" ht="16" hidden="false" customHeight="false" outlineLevel="0" collapsed="false">
      <c r="A166" s="1" t="str">
        <f aca="false">IF(B166=0,"",B166)</f>
        <v/>
      </c>
    </row>
    <row r="167" customFormat="false" ht="16" hidden="false" customHeight="false" outlineLevel="0" collapsed="false">
      <c r="A167" s="1" t="str">
        <f aca="false">IF(B167=0,"",B167)</f>
        <v/>
      </c>
    </row>
    <row r="168" customFormat="false" ht="16" hidden="false" customHeight="false" outlineLevel="0" collapsed="false">
      <c r="A168" s="1" t="str">
        <f aca="false">IF(B168=0,"",B168)</f>
        <v/>
      </c>
    </row>
    <row r="169" customFormat="false" ht="16" hidden="false" customHeight="false" outlineLevel="0" collapsed="false">
      <c r="A169" s="1" t="str">
        <f aca="false">IF(B169=0,"",B169)</f>
        <v/>
      </c>
    </row>
    <row r="170" customFormat="false" ht="16" hidden="false" customHeight="false" outlineLevel="0" collapsed="false">
      <c r="A170" s="1" t="str">
        <f aca="false">IF(B170=0,"",B170)</f>
        <v/>
      </c>
    </row>
    <row r="171" customFormat="false" ht="16" hidden="false" customHeight="false" outlineLevel="0" collapsed="false">
      <c r="A171" s="1" t="str">
        <f aca="false">IF(B171=0,"",B171)</f>
        <v/>
      </c>
    </row>
    <row r="172" customFormat="false" ht="16" hidden="false" customHeight="false" outlineLevel="0" collapsed="false">
      <c r="A172" s="1" t="str">
        <f aca="false">IF(B172=0,"",B172)</f>
        <v/>
      </c>
    </row>
    <row r="173" customFormat="false" ht="16" hidden="false" customHeight="false" outlineLevel="0" collapsed="false">
      <c r="A173" s="1" t="str">
        <f aca="false">IF(B173=0,"",B173)</f>
        <v/>
      </c>
    </row>
    <row r="174" customFormat="false" ht="16" hidden="false" customHeight="false" outlineLevel="0" collapsed="false">
      <c r="A174" s="1" t="str">
        <f aca="false">IF(B174=0,"",B174)</f>
        <v/>
      </c>
    </row>
    <row r="175" customFormat="false" ht="16" hidden="false" customHeight="false" outlineLevel="0" collapsed="false">
      <c r="A175" s="1" t="str">
        <f aca="false">IF(B175=0,"",B175)</f>
        <v/>
      </c>
    </row>
    <row r="176" customFormat="false" ht="16" hidden="false" customHeight="false" outlineLevel="0" collapsed="false">
      <c r="A176" s="1" t="str">
        <f aca="false">IF(B176=0,"",B176)</f>
        <v/>
      </c>
    </row>
    <row r="177" customFormat="false" ht="16" hidden="false" customHeight="false" outlineLevel="0" collapsed="false">
      <c r="A177" s="1" t="str">
        <f aca="false">IF(B177=0,"",B177)</f>
        <v/>
      </c>
    </row>
    <row r="178" customFormat="false" ht="16" hidden="false" customHeight="false" outlineLevel="0" collapsed="false">
      <c r="A178" s="1" t="str">
        <f aca="false">IF(B178=0,"",B178)</f>
        <v/>
      </c>
    </row>
    <row r="179" customFormat="false" ht="16" hidden="false" customHeight="false" outlineLevel="0" collapsed="false">
      <c r="A179" s="1" t="str">
        <f aca="false">IF(B179=0,"",B179)</f>
        <v/>
      </c>
    </row>
    <row r="180" customFormat="false" ht="16" hidden="false" customHeight="false" outlineLevel="0" collapsed="false">
      <c r="A180" s="1" t="str">
        <f aca="false">IF(B180=0,"",B180)</f>
        <v/>
      </c>
    </row>
    <row r="181" customFormat="false" ht="16" hidden="false" customHeight="false" outlineLevel="0" collapsed="false">
      <c r="A181" s="1" t="str">
        <f aca="false">IF(B181=0,"",B181)</f>
        <v/>
      </c>
    </row>
    <row r="182" customFormat="false" ht="16" hidden="false" customHeight="false" outlineLevel="0" collapsed="false">
      <c r="A182" s="1" t="str">
        <f aca="false">IF(B182=0,"",B182)</f>
        <v/>
      </c>
    </row>
    <row r="183" customFormat="false" ht="16" hidden="false" customHeight="false" outlineLevel="0" collapsed="false">
      <c r="A183" s="1" t="str">
        <f aca="false">IF(B183=0,"",B183)</f>
        <v/>
      </c>
    </row>
    <row r="184" customFormat="false" ht="16" hidden="false" customHeight="false" outlineLevel="0" collapsed="false">
      <c r="A184" s="1" t="str">
        <f aca="false">IF(B184=0,"",B184)</f>
        <v/>
      </c>
    </row>
    <row r="185" customFormat="false" ht="16" hidden="false" customHeight="false" outlineLevel="0" collapsed="false">
      <c r="A185" s="1" t="str">
        <f aca="false">IF(B185=0,"",B185)</f>
        <v/>
      </c>
    </row>
    <row r="186" customFormat="false" ht="16" hidden="false" customHeight="false" outlineLevel="0" collapsed="false">
      <c r="A186" s="1" t="str">
        <f aca="false">IF(B186=0,"",B186)</f>
        <v/>
      </c>
    </row>
    <row r="187" customFormat="false" ht="16" hidden="false" customHeight="false" outlineLevel="0" collapsed="false">
      <c r="A187" s="1" t="str">
        <f aca="false">IF(B187=0,"",B187)</f>
        <v/>
      </c>
    </row>
    <row r="188" customFormat="false" ht="16" hidden="false" customHeight="false" outlineLevel="0" collapsed="false">
      <c r="A188" s="1" t="str">
        <f aca="false">IF(B188=0,"",B188)</f>
        <v/>
      </c>
    </row>
    <row r="189" customFormat="false" ht="16" hidden="false" customHeight="false" outlineLevel="0" collapsed="false">
      <c r="A189" s="1" t="str">
        <f aca="false">IF(B189=0,"",B189)</f>
        <v/>
      </c>
    </row>
    <row r="190" customFormat="false" ht="16" hidden="false" customHeight="false" outlineLevel="0" collapsed="false">
      <c r="A190" s="1" t="str">
        <f aca="false">IF(B190=0,"",B190)</f>
        <v/>
      </c>
    </row>
    <row r="191" customFormat="false" ht="16" hidden="false" customHeight="false" outlineLevel="0" collapsed="false">
      <c r="A191" s="1" t="str">
        <f aca="false">IF(B191=0,"",B191)</f>
        <v/>
      </c>
    </row>
    <row r="192" customFormat="false" ht="16" hidden="false" customHeight="false" outlineLevel="0" collapsed="false">
      <c r="A192" s="1" t="str">
        <f aca="false">IF(B192=0,"",B192)</f>
        <v/>
      </c>
    </row>
    <row r="193" customFormat="false" ht="16" hidden="false" customHeight="false" outlineLevel="0" collapsed="false">
      <c r="A193" s="1" t="str">
        <f aca="false">IF(B193=0,"",B193)</f>
        <v/>
      </c>
    </row>
    <row r="194" customFormat="false" ht="16" hidden="false" customHeight="false" outlineLevel="0" collapsed="false">
      <c r="A194" s="1" t="str">
        <f aca="false">IF(B194=0,"",B194)</f>
        <v/>
      </c>
    </row>
    <row r="195" customFormat="false" ht="16" hidden="false" customHeight="false" outlineLevel="0" collapsed="false">
      <c r="A195" s="1" t="str">
        <f aca="false">IF(B195=0,"",B195)</f>
        <v/>
      </c>
    </row>
    <row r="196" customFormat="false" ht="16" hidden="false" customHeight="false" outlineLevel="0" collapsed="false">
      <c r="A196" s="1" t="str">
        <f aca="false">IF(B196=0,"",B196)</f>
        <v/>
      </c>
    </row>
    <row r="197" customFormat="false" ht="16" hidden="false" customHeight="false" outlineLevel="0" collapsed="false">
      <c r="A197" s="1" t="str">
        <f aca="false">IF(B197=0,"",B197)</f>
        <v/>
      </c>
    </row>
    <row r="198" customFormat="false" ht="16" hidden="false" customHeight="false" outlineLevel="0" collapsed="false">
      <c r="A198" s="1" t="str">
        <f aca="false">IF(B198=0,"",B198)</f>
        <v/>
      </c>
    </row>
    <row r="199" customFormat="false" ht="16" hidden="false" customHeight="false" outlineLevel="0" collapsed="false">
      <c r="A199" s="1" t="str">
        <f aca="false">IF(B199=0,"",B199)</f>
        <v/>
      </c>
    </row>
    <row r="200" customFormat="false" ht="16" hidden="false" customHeight="false" outlineLevel="0" collapsed="false">
      <c r="A200" s="1" t="str">
        <f aca="false">IF(B200=0,"",B200)</f>
        <v/>
      </c>
    </row>
    <row r="201" customFormat="false" ht="16" hidden="false" customHeight="false" outlineLevel="0" collapsed="false">
      <c r="A201" s="1" t="str">
        <f aca="false">IF(B201=0,"",B201)</f>
        <v/>
      </c>
    </row>
    <row r="202" customFormat="false" ht="16" hidden="false" customHeight="false" outlineLevel="0" collapsed="false">
      <c r="A202" s="1" t="str">
        <f aca="false">IF(B202=0,"",B202)</f>
        <v/>
      </c>
    </row>
    <row r="203" customFormat="false" ht="16" hidden="false" customHeight="false" outlineLevel="0" collapsed="false">
      <c r="A203" s="1" t="str">
        <f aca="false">IF(B203=0,"",B203)</f>
        <v/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04" activePane="bottomLeft" state="frozen"/>
      <selection pane="topLeft" activeCell="A1" activeCellId="0" sqref="A1"/>
      <selection pane="bottomLeft" activeCell="E132" activeCellId="0" sqref="E132"/>
    </sheetView>
  </sheetViews>
  <sheetFormatPr defaultColWidth="8.62109375" defaultRowHeight="16" zeroHeight="false" outlineLevelRow="0" outlineLevelCol="0"/>
  <cols>
    <col collapsed="false" customWidth="true" hidden="false" outlineLevel="0" max="1" min="1" style="1" width="18.33"/>
    <col collapsed="false" customWidth="true" hidden="false" outlineLevel="0" max="2" min="2" style="1" width="18.5"/>
    <col collapsed="false" customWidth="true" hidden="false" outlineLevel="0" max="3" min="3" style="1" width="19.83"/>
    <col collapsed="false" customWidth="true" hidden="false" outlineLevel="0" max="4" min="4" style="1" width="11.83"/>
    <col collapsed="false" customWidth="true" hidden="false" outlineLevel="0" max="5" min="5" style="1" width="15.16"/>
    <col collapsed="false" customWidth="false" hidden="false" outlineLevel="0" max="1025" min="6" style="1" width="8.67"/>
  </cols>
  <sheetData>
    <row r="1" s="2" customFormat="true" ht="26.5" hidden="false" customHeight="true" outlineLevel="0" collapsed="false">
      <c r="A1" s="2" t="s">
        <v>244</v>
      </c>
      <c r="B1" s="2" t="s">
        <v>1</v>
      </c>
      <c r="C1" s="2" t="s">
        <v>245</v>
      </c>
      <c r="D1" s="2" t="s">
        <v>3</v>
      </c>
      <c r="E1" s="2" t="s">
        <v>246</v>
      </c>
    </row>
    <row r="2" customFormat="false" ht="26.5" hidden="true" customHeight="true" outlineLevel="0" collapsed="false"/>
    <row r="3" customFormat="false" ht="16" hidden="false" customHeight="false" outlineLevel="0" collapsed="false">
      <c r="A3" s="3" t="s">
        <v>247</v>
      </c>
      <c r="B3" s="3" t="s">
        <v>248</v>
      </c>
      <c r="C3" s="1" t="s">
        <v>6</v>
      </c>
      <c r="D3" s="1" t="s">
        <v>7</v>
      </c>
    </row>
    <row r="4" customFormat="false" ht="16" hidden="false" customHeight="false" outlineLevel="0" collapsed="false">
      <c r="A4" s="3" t="s">
        <v>249</v>
      </c>
      <c r="B4" s="3" t="s">
        <v>250</v>
      </c>
      <c r="C4" s="1" t="s">
        <v>6</v>
      </c>
      <c r="D4" s="1" t="s">
        <v>7</v>
      </c>
    </row>
    <row r="5" customFormat="false" ht="16" hidden="false" customHeight="false" outlineLevel="0" collapsed="false">
      <c r="A5" s="3" t="s">
        <v>251</v>
      </c>
      <c r="B5" s="3" t="s">
        <v>252</v>
      </c>
      <c r="C5" s="1" t="s">
        <v>6</v>
      </c>
      <c r="D5" s="1" t="s">
        <v>7</v>
      </c>
      <c r="E5" s="1" t="s">
        <v>253</v>
      </c>
    </row>
    <row r="6" customFormat="false" ht="16" hidden="false" customHeight="false" outlineLevel="0" collapsed="false">
      <c r="A6" s="3" t="str">
        <f aca="false">IF(B6=0,F18,_xlfn.CONCAT(B6,IF(E6="", ," " ),E6  ))</f>
        <v>C_bio</v>
      </c>
      <c r="B6" s="3" t="s">
        <v>254</v>
      </c>
      <c r="C6" s="1" t="s">
        <v>6</v>
      </c>
      <c r="D6" s="1" t="s">
        <v>7</v>
      </c>
    </row>
    <row r="7" customFormat="false" ht="16" hidden="false" customHeight="false" outlineLevel="0" collapsed="false">
      <c r="A7" s="3" t="str">
        <f aca="false">IF(B7=0,F19,_xlfn.CONCAT(B7,IF(E7="", ," " ),E7  ))</f>
        <v>C_fossil</v>
      </c>
      <c r="B7" s="3" t="s">
        <v>255</v>
      </c>
      <c r="C7" s="1" t="s">
        <v>6</v>
      </c>
      <c r="D7" s="1" t="s">
        <v>7</v>
      </c>
    </row>
    <row r="8" customFormat="false" ht="16" hidden="false" customHeight="false" outlineLevel="0" collapsed="false">
      <c r="A8" s="3" t="str">
        <f aca="false">IF(B8=0,F20,_xlfn.CONCAT(B8,IF(E8="", ," " ),E8  ))</f>
        <v>Ca n.e.s.</v>
      </c>
      <c r="B8" s="3" t="s">
        <v>10</v>
      </c>
      <c r="C8" s="1" t="s">
        <v>6</v>
      </c>
      <c r="D8" s="1" t="s">
        <v>7</v>
      </c>
      <c r="E8" s="1" t="s">
        <v>253</v>
      </c>
    </row>
    <row r="9" customFormat="false" ht="16" hidden="false" customHeight="false" outlineLevel="0" collapsed="false">
      <c r="A9" s="3" t="str">
        <f aca="false">IF(B9=0,F21,_xlfn.CONCAT(B9,IF(E9="", ," " ),E9  ))</f>
        <v>Cl n.e.s.</v>
      </c>
      <c r="B9" s="3" t="s">
        <v>12</v>
      </c>
      <c r="C9" s="1" t="s">
        <v>6</v>
      </c>
      <c r="D9" s="1" t="s">
        <v>7</v>
      </c>
      <c r="E9" s="1" t="s">
        <v>253</v>
      </c>
    </row>
    <row r="10" customFormat="false" ht="16" hidden="false" customHeight="false" outlineLevel="0" collapsed="false">
      <c r="A10" s="3" t="str">
        <f aca="false">IF(B10=0,F22,_xlfn.CONCAT(B10,IF(E10="", ," " ),E10  ))</f>
        <v>F n.e.s.</v>
      </c>
      <c r="B10" s="3" t="s">
        <v>14</v>
      </c>
      <c r="C10" s="1" t="s">
        <v>6</v>
      </c>
      <c r="D10" s="1" t="s">
        <v>7</v>
      </c>
      <c r="E10" s="1" t="s">
        <v>253</v>
      </c>
    </row>
    <row r="11" customFormat="false" ht="16" hidden="false" customHeight="false" outlineLevel="0" collapsed="false">
      <c r="A11" s="3" t="str">
        <f aca="false">IF(B11=0,F23,_xlfn.CONCAT(B11,IF(E11="", ," " ),E11  ))</f>
        <v>H n.e.s.</v>
      </c>
      <c r="B11" s="3" t="s">
        <v>16</v>
      </c>
      <c r="C11" s="1" t="s">
        <v>6</v>
      </c>
      <c r="D11" s="1" t="s">
        <v>7</v>
      </c>
      <c r="E11" s="1" t="s">
        <v>253</v>
      </c>
    </row>
    <row r="12" customFormat="false" ht="16" hidden="false" customHeight="false" outlineLevel="0" collapsed="false">
      <c r="A12" s="3" t="str">
        <f aca="false">IF(B12=0,F24,_xlfn.CONCAT(B12,IF(E12="", ," " ),E12  ))</f>
        <v>K n.e.s.</v>
      </c>
      <c r="B12" s="3" t="s">
        <v>18</v>
      </c>
      <c r="C12" s="1" t="s">
        <v>6</v>
      </c>
      <c r="D12" s="1" t="s">
        <v>7</v>
      </c>
      <c r="E12" s="1" t="s">
        <v>253</v>
      </c>
    </row>
    <row r="13" customFormat="false" ht="16" hidden="false" customHeight="false" outlineLevel="0" collapsed="false">
      <c r="A13" s="3" t="str">
        <f aca="false">IF(B13=0,F25,_xlfn.CONCAT(B13,IF(E13="", ," " ),E13  ))</f>
        <v>N n.e.s.</v>
      </c>
      <c r="B13" s="3" t="s">
        <v>20</v>
      </c>
      <c r="C13" s="1" t="s">
        <v>6</v>
      </c>
      <c r="D13" s="1" t="s">
        <v>7</v>
      </c>
      <c r="E13" s="1" t="s">
        <v>253</v>
      </c>
    </row>
    <row r="14" customFormat="false" ht="16" hidden="false" customHeight="false" outlineLevel="0" collapsed="false">
      <c r="A14" s="3" t="str">
        <f aca="false">IF(B14=0,F26,_xlfn.CONCAT(B14,IF(E14="", ," " ),E14  ))</f>
        <v>Na n.e.s.</v>
      </c>
      <c r="B14" s="3" t="s">
        <v>22</v>
      </c>
      <c r="C14" s="1" t="s">
        <v>6</v>
      </c>
      <c r="D14" s="1" t="s">
        <v>7</v>
      </c>
      <c r="E14" s="1" t="s">
        <v>253</v>
      </c>
    </row>
    <row r="15" customFormat="false" ht="16" hidden="false" customHeight="false" outlineLevel="0" collapsed="false">
      <c r="A15" s="3" t="str">
        <f aca="false">IF(B15=0,F27,_xlfn.CONCAT(B15,IF(E15="", ," " ),E15  ))</f>
        <v>O n.e.s.</v>
      </c>
      <c r="B15" s="3" t="s">
        <v>24</v>
      </c>
      <c r="C15" s="1" t="s">
        <v>6</v>
      </c>
      <c r="D15" s="1" t="s">
        <v>7</v>
      </c>
      <c r="E15" s="1" t="s">
        <v>253</v>
      </c>
    </row>
    <row r="16" customFormat="false" ht="16" hidden="false" customHeight="false" outlineLevel="0" collapsed="false">
      <c r="A16" s="3" t="str">
        <f aca="false">IF(B16=0,F28,_xlfn.CONCAT(B16,IF(E16="", ," " ),E16  ))</f>
        <v>P n.e.s.</v>
      </c>
      <c r="B16" s="3" t="s">
        <v>26</v>
      </c>
      <c r="C16" s="1" t="s">
        <v>6</v>
      </c>
      <c r="D16" s="1" t="s">
        <v>7</v>
      </c>
      <c r="E16" s="1" t="s">
        <v>253</v>
      </c>
    </row>
    <row r="17" customFormat="false" ht="16" hidden="false" customHeight="false" outlineLevel="0" collapsed="false">
      <c r="A17" s="3" t="str">
        <f aca="false">IF(B17=0,F29,_xlfn.CONCAT(B17,IF(E17="", ," " ),E17  ))</f>
        <v>S n.e.s.</v>
      </c>
      <c r="B17" s="3" t="s">
        <v>28</v>
      </c>
      <c r="C17" s="1" t="s">
        <v>6</v>
      </c>
      <c r="D17" s="1" t="s">
        <v>7</v>
      </c>
      <c r="E17" s="1" t="s">
        <v>253</v>
      </c>
    </row>
    <row r="18" customFormat="false" ht="16" hidden="false" customHeight="false" outlineLevel="0" collapsed="false">
      <c r="A18" s="3" t="str">
        <f aca="false">IF(B18=0,F30,_xlfn.CONCAT(B18,IF(E18="", ," " ),E18  ))</f>
        <v>Ag n.e.s.</v>
      </c>
      <c r="B18" s="3" t="s">
        <v>30</v>
      </c>
      <c r="C18" s="1" t="s">
        <v>6</v>
      </c>
      <c r="D18" s="1" t="s">
        <v>7</v>
      </c>
      <c r="E18" s="1" t="s">
        <v>253</v>
      </c>
    </row>
    <row r="19" customFormat="false" ht="16" hidden="false" customHeight="false" outlineLevel="0" collapsed="false">
      <c r="A19" s="3" t="str">
        <f aca="false">IF(B19=0,#REF!,_xlfn.CONCAT(B19,IF(E19="", ," " ),E19  ))</f>
        <v>Al n.e.s.</v>
      </c>
      <c r="B19" s="3" t="s">
        <v>32</v>
      </c>
      <c r="C19" s="1" t="s">
        <v>6</v>
      </c>
      <c r="D19" s="1" t="s">
        <v>7</v>
      </c>
      <c r="E19" s="1" t="s">
        <v>253</v>
      </c>
    </row>
    <row r="20" customFormat="false" ht="16" hidden="false" customHeight="false" outlineLevel="0" collapsed="false">
      <c r="A20" s="3" t="str">
        <f aca="false">IF(B20=0,F31,_xlfn.CONCAT(B20,IF(E20="", ," " ),E20  ))</f>
        <v>Ar n.e.s.</v>
      </c>
      <c r="B20" s="3" t="s">
        <v>34</v>
      </c>
      <c r="C20" s="1" t="s">
        <v>6</v>
      </c>
      <c r="D20" s="1" t="s">
        <v>7</v>
      </c>
      <c r="E20" s="1" t="s">
        <v>253</v>
      </c>
    </row>
    <row r="21" customFormat="false" ht="16" hidden="false" customHeight="false" outlineLevel="0" collapsed="false">
      <c r="A21" s="3" t="str">
        <f aca="false">IF(B21=0,F32,_xlfn.CONCAT(B21,IF(E21="", ," " ),E21  ))</f>
        <v>As n.e.s.</v>
      </c>
      <c r="B21" s="3" t="s">
        <v>36</v>
      </c>
      <c r="C21" s="1" t="s">
        <v>6</v>
      </c>
      <c r="D21" s="1" t="s">
        <v>7</v>
      </c>
      <c r="E21" s="1" t="s">
        <v>253</v>
      </c>
    </row>
    <row r="22" customFormat="false" ht="16" hidden="false" customHeight="false" outlineLevel="0" collapsed="false">
      <c r="A22" s="3" t="str">
        <f aca="false">IF(B22=0,F33,_xlfn.CONCAT(B22,IF(E22="", ," " ),E22  ))</f>
        <v>Cd n.e.s.</v>
      </c>
      <c r="B22" s="3" t="s">
        <v>38</v>
      </c>
      <c r="C22" s="1" t="s">
        <v>6</v>
      </c>
      <c r="D22" s="1" t="s">
        <v>7</v>
      </c>
      <c r="E22" s="1" t="s">
        <v>253</v>
      </c>
    </row>
    <row r="23" customFormat="false" ht="16" hidden="false" customHeight="false" outlineLevel="0" collapsed="false">
      <c r="A23" s="3" t="str">
        <f aca="false">IF(B23=0,F34,_xlfn.CONCAT(B23,IF(E23="", ," " ),E23  ))</f>
        <v>Co n.e.s.</v>
      </c>
      <c r="B23" s="3" t="s">
        <v>40</v>
      </c>
      <c r="C23" s="1" t="s">
        <v>6</v>
      </c>
      <c r="D23" s="1" t="s">
        <v>7</v>
      </c>
      <c r="E23" s="1" t="s">
        <v>253</v>
      </c>
    </row>
    <row r="24" customFormat="false" ht="16" hidden="false" customHeight="false" outlineLevel="0" collapsed="false">
      <c r="A24" s="3" t="str">
        <f aca="false">IF(B24=0,F35,_xlfn.CONCAT(B24,IF(E24="", ," " ),E24  ))</f>
        <v>Cr n.e.s.</v>
      </c>
      <c r="B24" s="3" t="s">
        <v>42</v>
      </c>
      <c r="C24" s="1" t="s">
        <v>6</v>
      </c>
      <c r="D24" s="1" t="s">
        <v>7</v>
      </c>
      <c r="E24" s="1" t="s">
        <v>253</v>
      </c>
    </row>
    <row r="25" customFormat="false" ht="16" hidden="false" customHeight="false" outlineLevel="0" collapsed="false">
      <c r="A25" s="3" t="str">
        <f aca="false">IF(B25=0,F36,_xlfn.CONCAT(B25,IF(E25="", ," " ),E25  ))</f>
        <v>Cu n.e.s.</v>
      </c>
      <c r="B25" s="3" t="s">
        <v>44</v>
      </c>
      <c r="C25" s="1" t="s">
        <v>6</v>
      </c>
      <c r="D25" s="1" t="s">
        <v>7</v>
      </c>
      <c r="E25" s="1" t="s">
        <v>253</v>
      </c>
    </row>
    <row r="26" customFormat="false" ht="16" hidden="false" customHeight="false" outlineLevel="0" collapsed="false">
      <c r="A26" s="3" t="s">
        <v>256</v>
      </c>
      <c r="B26" s="3" t="s">
        <v>46</v>
      </c>
      <c r="C26" s="1" t="s">
        <v>6</v>
      </c>
      <c r="D26" s="1" t="s">
        <v>7</v>
      </c>
      <c r="E26" s="1" t="s">
        <v>253</v>
      </c>
    </row>
    <row r="27" customFormat="false" ht="16" hidden="false" customHeight="false" outlineLevel="0" collapsed="false">
      <c r="A27" s="3" t="str">
        <f aca="false">IF(B27=0,F38,_xlfn.CONCAT(B27,IF(E27="", ," " ),E27  ))</f>
        <v>Hg n.e.s.</v>
      </c>
      <c r="B27" s="3" t="s">
        <v>48</v>
      </c>
      <c r="C27" s="1" t="s">
        <v>6</v>
      </c>
      <c r="D27" s="1" t="s">
        <v>7</v>
      </c>
      <c r="E27" s="1" t="s">
        <v>253</v>
      </c>
    </row>
    <row r="28" customFormat="false" ht="16" hidden="false" customHeight="false" outlineLevel="0" collapsed="false">
      <c r="A28" s="3" t="str">
        <f aca="false">IF(B28=0,#REF!,_xlfn.CONCAT(B28,IF(E28="", ," " ),E28  ))</f>
        <v>Mg n.e.s.</v>
      </c>
      <c r="B28" s="3" t="s">
        <v>50</v>
      </c>
      <c r="C28" s="1" t="s">
        <v>6</v>
      </c>
      <c r="D28" s="1" t="s">
        <v>7</v>
      </c>
      <c r="E28" s="1" t="s">
        <v>253</v>
      </c>
    </row>
    <row r="29" customFormat="false" ht="16" hidden="false" customHeight="false" outlineLevel="0" collapsed="false">
      <c r="A29" s="3" t="str">
        <f aca="false">IF(B29=0,F39,_xlfn.CONCAT(B29,IF(E29="", ," " ),E29  ))</f>
        <v>Mn n.e.s.</v>
      </c>
      <c r="B29" s="3" t="s">
        <v>52</v>
      </c>
      <c r="C29" s="1" t="s">
        <v>6</v>
      </c>
      <c r="D29" s="1" t="s">
        <v>7</v>
      </c>
      <c r="E29" s="1" t="s">
        <v>253</v>
      </c>
    </row>
    <row r="30" customFormat="false" ht="16" hidden="false" customHeight="false" outlineLevel="0" collapsed="false">
      <c r="A30" s="3" t="str">
        <f aca="false">IF(B30=0,F40,_xlfn.CONCAT(B30,IF(E30="", ," " ),E30  ))</f>
        <v>Mo n.e.s.</v>
      </c>
      <c r="B30" s="3" t="s">
        <v>54</v>
      </c>
      <c r="C30" s="1" t="s">
        <v>6</v>
      </c>
      <c r="D30" s="1" t="s">
        <v>7</v>
      </c>
      <c r="E30" s="1" t="s">
        <v>253</v>
      </c>
    </row>
    <row r="31" customFormat="false" ht="16" hidden="false" customHeight="false" outlineLevel="0" collapsed="false">
      <c r="A31" s="3" t="str">
        <f aca="false">IF(B31=0,F41,_xlfn.CONCAT(B31,IF(E31="", ," " ),E31  ))</f>
        <v>Ni n.e.s.</v>
      </c>
      <c r="B31" s="3" t="s">
        <v>56</v>
      </c>
      <c r="C31" s="1" t="s">
        <v>6</v>
      </c>
      <c r="D31" s="1" t="s">
        <v>7</v>
      </c>
      <c r="E31" s="1" t="s">
        <v>253</v>
      </c>
    </row>
    <row r="32" customFormat="false" ht="16" hidden="false" customHeight="false" outlineLevel="0" collapsed="false">
      <c r="A32" s="3" t="str">
        <f aca="false">IF(B32=0,F42,_xlfn.CONCAT(B32,IF(E32="", ," " ),E32  ))</f>
        <v>Pb n.e.s.</v>
      </c>
      <c r="B32" s="3" t="s">
        <v>58</v>
      </c>
      <c r="C32" s="1" t="s">
        <v>6</v>
      </c>
      <c r="D32" s="1" t="s">
        <v>7</v>
      </c>
      <c r="E32" s="1" t="s">
        <v>253</v>
      </c>
    </row>
    <row r="33" customFormat="false" ht="16" hidden="false" customHeight="false" outlineLevel="0" collapsed="false">
      <c r="A33" s="3" t="str">
        <f aca="false">IF(B33=0,F43,_xlfn.CONCAT(B33,IF(E33="", ," " ),E33  ))</f>
        <v>Zn n.e.s.</v>
      </c>
      <c r="B33" s="3" t="s">
        <v>60</v>
      </c>
      <c r="C33" s="1" t="s">
        <v>6</v>
      </c>
      <c r="D33" s="1" t="s">
        <v>7</v>
      </c>
      <c r="E33" s="1" t="s">
        <v>253</v>
      </c>
    </row>
    <row r="34" customFormat="false" ht="16" hidden="false" customHeight="false" outlineLevel="0" collapsed="false">
      <c r="A34" s="3" t="str">
        <f aca="false">IF(B34=0,F44,_xlfn.CONCAT(B34,IF(E34="", ," " ),E34  ))</f>
        <v>Inertes n.e.s.</v>
      </c>
      <c r="B34" s="3" t="s">
        <v>257</v>
      </c>
      <c r="C34" s="1" t="s">
        <v>6</v>
      </c>
      <c r="D34" s="1" t="s">
        <v>7</v>
      </c>
      <c r="E34" s="1" t="s">
        <v>253</v>
      </c>
    </row>
    <row r="35" customFormat="false" ht="16" hidden="false" customHeight="false" outlineLevel="0" collapsed="false">
      <c r="A35" s="3" t="s">
        <v>258</v>
      </c>
      <c r="B35" s="3" t="s">
        <v>258</v>
      </c>
      <c r="C35" s="1" t="s">
        <v>6</v>
      </c>
      <c r="D35" s="1" t="s">
        <v>7</v>
      </c>
      <c r="E35" s="1" t="s">
        <v>253</v>
      </c>
    </row>
    <row r="36" customFormat="false" ht="16" hidden="false" customHeight="false" outlineLevel="0" collapsed="false">
      <c r="A36" s="3" t="s">
        <v>259</v>
      </c>
      <c r="B36" s="3" t="s">
        <v>260</v>
      </c>
      <c r="C36" s="1" t="s">
        <v>6</v>
      </c>
      <c r="D36" s="1" t="s">
        <v>7</v>
      </c>
    </row>
    <row r="37" customFormat="false" ht="16" hidden="false" customHeight="false" outlineLevel="0" collapsed="false">
      <c r="A37" s="3" t="s">
        <v>261</v>
      </c>
      <c r="B37" s="3" t="s">
        <v>262</v>
      </c>
      <c r="C37" s="1" t="s">
        <v>6</v>
      </c>
      <c r="D37" s="1" t="s">
        <v>7</v>
      </c>
    </row>
    <row r="38" customFormat="false" ht="16" hidden="false" customHeight="false" outlineLevel="0" collapsed="false">
      <c r="A38" s="3" t="s">
        <v>263</v>
      </c>
      <c r="B38" s="3" t="s">
        <v>62</v>
      </c>
      <c r="C38" s="1" t="s">
        <v>6</v>
      </c>
      <c r="D38" s="1" t="s">
        <v>7</v>
      </c>
      <c r="E38" s="1" t="s">
        <v>253</v>
      </c>
    </row>
    <row r="39" customFormat="false" ht="16" hidden="false" customHeight="false" outlineLevel="0" collapsed="false">
      <c r="A39" s="3" t="s">
        <v>264</v>
      </c>
      <c r="B39" s="3" t="s">
        <v>64</v>
      </c>
      <c r="C39" s="1" t="s">
        <v>6</v>
      </c>
      <c r="D39" s="1" t="s">
        <v>7</v>
      </c>
      <c r="E39" s="1" t="s">
        <v>253</v>
      </c>
    </row>
    <row r="40" customFormat="false" ht="16" hidden="false" customHeight="false" outlineLevel="0" collapsed="false">
      <c r="A40" s="3" t="s">
        <v>265</v>
      </c>
      <c r="B40" s="3" t="s">
        <v>66</v>
      </c>
      <c r="C40" s="1" t="s">
        <v>6</v>
      </c>
      <c r="D40" s="1" t="s">
        <v>7</v>
      </c>
      <c r="E40" s="1" t="s">
        <v>253</v>
      </c>
    </row>
    <row r="41" customFormat="false" ht="16" hidden="false" customHeight="false" outlineLevel="0" collapsed="false">
      <c r="A41" s="3" t="s">
        <v>266</v>
      </c>
      <c r="B41" s="3" t="s">
        <v>66</v>
      </c>
      <c r="C41" s="1" t="s">
        <v>6</v>
      </c>
      <c r="D41" s="1" t="s">
        <v>7</v>
      </c>
      <c r="E41" s="1" t="s">
        <v>253</v>
      </c>
    </row>
    <row r="42" customFormat="false" ht="16" hidden="false" customHeight="false" outlineLevel="0" collapsed="false">
      <c r="A42" s="3" t="s">
        <v>267</v>
      </c>
      <c r="B42" s="3" t="s">
        <v>70</v>
      </c>
      <c r="C42" s="1" t="s">
        <v>6</v>
      </c>
      <c r="D42" s="1" t="s">
        <v>7</v>
      </c>
      <c r="E42" s="1" t="s">
        <v>253</v>
      </c>
    </row>
    <row r="43" customFormat="false" ht="16" hidden="false" customHeight="false" outlineLevel="0" collapsed="false">
      <c r="A43" s="3" t="s">
        <v>268</v>
      </c>
      <c r="B43" s="3" t="s">
        <v>72</v>
      </c>
      <c r="C43" s="1" t="s">
        <v>6</v>
      </c>
      <c r="D43" s="1" t="s">
        <v>7</v>
      </c>
      <c r="E43" s="1" t="s">
        <v>253</v>
      </c>
    </row>
    <row r="44" customFormat="false" ht="16" hidden="false" customHeight="false" outlineLevel="0" collapsed="false">
      <c r="A44" s="3" t="s">
        <v>269</v>
      </c>
      <c r="B44" s="3" t="s">
        <v>74</v>
      </c>
      <c r="C44" s="1" t="s">
        <v>6</v>
      </c>
      <c r="D44" s="1" t="s">
        <v>7</v>
      </c>
      <c r="E44" s="1" t="s">
        <v>253</v>
      </c>
    </row>
    <row r="45" customFormat="false" ht="16" hidden="false" customHeight="false" outlineLevel="0" collapsed="false">
      <c r="A45" s="3" t="s">
        <v>270</v>
      </c>
      <c r="B45" s="3" t="s">
        <v>76</v>
      </c>
      <c r="C45" s="1" t="s">
        <v>6</v>
      </c>
      <c r="D45" s="1" t="s">
        <v>7</v>
      </c>
      <c r="E45" s="1" t="s">
        <v>253</v>
      </c>
    </row>
    <row r="46" customFormat="false" ht="15" hidden="false" customHeight="false" outlineLevel="0" collapsed="false">
      <c r="A46" s="3" t="s">
        <v>271</v>
      </c>
      <c r="B46" s="3" t="s">
        <v>78</v>
      </c>
      <c r="C46" s="1" t="s">
        <v>6</v>
      </c>
      <c r="D46" s="1" t="s">
        <v>7</v>
      </c>
      <c r="E46" s="1" t="s">
        <v>253</v>
      </c>
    </row>
    <row r="47" customFormat="false" ht="15" hidden="false" customHeight="false" outlineLevel="0" collapsed="false">
      <c r="A47" s="3" t="s">
        <v>272</v>
      </c>
      <c r="B47" s="3" t="s">
        <v>80</v>
      </c>
      <c r="C47" s="1" t="s">
        <v>6</v>
      </c>
      <c r="D47" s="1" t="s">
        <v>7</v>
      </c>
      <c r="E47" s="1" t="s">
        <v>253</v>
      </c>
    </row>
    <row r="48" customFormat="false" ht="15" hidden="false" customHeight="false" outlineLevel="0" collapsed="false">
      <c r="A48" s="3" t="s">
        <v>273</v>
      </c>
      <c r="B48" s="3" t="s">
        <v>82</v>
      </c>
      <c r="C48" s="1" t="s">
        <v>6</v>
      </c>
      <c r="D48" s="1" t="s">
        <v>7</v>
      </c>
      <c r="E48" s="1" t="s">
        <v>253</v>
      </c>
    </row>
    <row r="49" customFormat="false" ht="15" hidden="false" customHeight="false" outlineLevel="0" collapsed="false">
      <c r="A49" s="3" t="s">
        <v>274</v>
      </c>
      <c r="B49" s="3" t="s">
        <v>84</v>
      </c>
      <c r="C49" s="1" t="s">
        <v>6</v>
      </c>
      <c r="D49" s="1" t="s">
        <v>7</v>
      </c>
      <c r="E49" s="1" t="s">
        <v>253</v>
      </c>
    </row>
    <row r="50" customFormat="false" ht="15" hidden="false" customHeight="false" outlineLevel="0" collapsed="false">
      <c r="A50" s="3" t="s">
        <v>275</v>
      </c>
      <c r="B50" s="3" t="s">
        <v>86</v>
      </c>
      <c r="C50" s="1" t="s">
        <v>6</v>
      </c>
      <c r="D50" s="1" t="s">
        <v>7</v>
      </c>
      <c r="E50" s="1" t="s">
        <v>253</v>
      </c>
    </row>
    <row r="51" customFormat="false" ht="15" hidden="false" customHeight="false" outlineLevel="0" collapsed="false">
      <c r="A51" s="3" t="s">
        <v>276</v>
      </c>
      <c r="B51" s="3" t="s">
        <v>88</v>
      </c>
      <c r="C51" s="1" t="s">
        <v>6</v>
      </c>
      <c r="D51" s="1" t="s">
        <v>7</v>
      </c>
      <c r="E51" s="1" t="s">
        <v>253</v>
      </c>
    </row>
    <row r="52" customFormat="false" ht="15" hidden="false" customHeight="false" outlineLevel="0" collapsed="false">
      <c r="A52" s="3" t="s">
        <v>277</v>
      </c>
      <c r="B52" s="3" t="s">
        <v>90</v>
      </c>
      <c r="C52" s="1" t="s">
        <v>6</v>
      </c>
      <c r="D52" s="1" t="s">
        <v>7</v>
      </c>
      <c r="E52" s="1" t="s">
        <v>253</v>
      </c>
    </row>
    <row r="53" customFormat="false" ht="15" hidden="false" customHeight="false" outlineLevel="0" collapsed="false">
      <c r="A53" s="3" t="s">
        <v>278</v>
      </c>
      <c r="B53" s="3" t="s">
        <v>92</v>
      </c>
      <c r="C53" s="1" t="s">
        <v>6</v>
      </c>
      <c r="D53" s="1" t="s">
        <v>7</v>
      </c>
      <c r="E53" s="1" t="s">
        <v>253</v>
      </c>
    </row>
    <row r="54" customFormat="false" ht="15" hidden="false" customHeight="false" outlineLevel="0" collapsed="false">
      <c r="A54" s="3" t="s">
        <v>279</v>
      </c>
      <c r="B54" s="3" t="s">
        <v>94</v>
      </c>
      <c r="C54" s="1" t="s">
        <v>6</v>
      </c>
      <c r="D54" s="1" t="s">
        <v>7</v>
      </c>
      <c r="E54" s="1" t="s">
        <v>253</v>
      </c>
    </row>
    <row r="55" customFormat="false" ht="15" hidden="false" customHeight="false" outlineLevel="0" collapsed="false">
      <c r="A55" s="3" t="s">
        <v>280</v>
      </c>
      <c r="B55" s="3" t="s">
        <v>96</v>
      </c>
      <c r="C55" s="1" t="s">
        <v>6</v>
      </c>
      <c r="D55" s="1" t="s">
        <v>7</v>
      </c>
      <c r="E55" s="1" t="s">
        <v>253</v>
      </c>
    </row>
    <row r="56" customFormat="false" ht="15" hidden="false" customHeight="false" outlineLevel="0" collapsed="false">
      <c r="A56" s="3" t="s">
        <v>281</v>
      </c>
      <c r="B56" s="3" t="s">
        <v>98</v>
      </c>
      <c r="C56" s="1" t="s">
        <v>6</v>
      </c>
      <c r="D56" s="1" t="s">
        <v>7</v>
      </c>
      <c r="E56" s="1" t="s">
        <v>253</v>
      </c>
    </row>
    <row r="57" customFormat="false" ht="15" hidden="false" customHeight="false" outlineLevel="0" collapsed="false">
      <c r="A57" s="3" t="s">
        <v>282</v>
      </c>
      <c r="B57" s="3" t="s">
        <v>100</v>
      </c>
      <c r="C57" s="1" t="s">
        <v>6</v>
      </c>
      <c r="D57" s="1" t="s">
        <v>7</v>
      </c>
      <c r="E57" s="1" t="s">
        <v>253</v>
      </c>
    </row>
    <row r="58" customFormat="false" ht="15" hidden="false" customHeight="false" outlineLevel="0" collapsed="false">
      <c r="A58" s="3" t="s">
        <v>283</v>
      </c>
      <c r="B58" s="3" t="s">
        <v>102</v>
      </c>
      <c r="C58" s="1" t="s">
        <v>6</v>
      </c>
      <c r="D58" s="1" t="s">
        <v>7</v>
      </c>
      <c r="E58" s="1" t="s">
        <v>253</v>
      </c>
    </row>
    <row r="59" customFormat="false" ht="15" hidden="false" customHeight="false" outlineLevel="0" collapsed="false">
      <c r="A59" s="3" t="s">
        <v>284</v>
      </c>
      <c r="B59" s="3" t="s">
        <v>104</v>
      </c>
      <c r="C59" s="1" t="s">
        <v>6</v>
      </c>
      <c r="D59" s="1" t="s">
        <v>7</v>
      </c>
      <c r="E59" s="1" t="s">
        <v>253</v>
      </c>
    </row>
    <row r="60" customFormat="false" ht="15" hidden="false" customHeight="false" outlineLevel="0" collapsed="false">
      <c r="A60" s="3" t="s">
        <v>285</v>
      </c>
      <c r="B60" s="3" t="s">
        <v>106</v>
      </c>
      <c r="C60" s="1" t="s">
        <v>6</v>
      </c>
      <c r="D60" s="1" t="s">
        <v>7</v>
      </c>
      <c r="E60" s="1" t="s">
        <v>253</v>
      </c>
    </row>
    <row r="61" customFormat="false" ht="15" hidden="false" customHeight="false" outlineLevel="0" collapsed="false">
      <c r="A61" s="3" t="s">
        <v>286</v>
      </c>
      <c r="B61" s="3" t="s">
        <v>108</v>
      </c>
      <c r="C61" s="1" t="s">
        <v>6</v>
      </c>
      <c r="D61" s="1" t="s">
        <v>7</v>
      </c>
      <c r="E61" s="1" t="s">
        <v>253</v>
      </c>
    </row>
    <row r="62" customFormat="false" ht="15" hidden="false" customHeight="false" outlineLevel="0" collapsed="false">
      <c r="A62" s="3" t="s">
        <v>287</v>
      </c>
      <c r="B62" s="3" t="s">
        <v>110</v>
      </c>
      <c r="C62" s="1" t="s">
        <v>6</v>
      </c>
      <c r="D62" s="1" t="s">
        <v>7</v>
      </c>
      <c r="E62" s="1" t="s">
        <v>253</v>
      </c>
    </row>
    <row r="63" customFormat="false" ht="15" hidden="false" customHeight="false" outlineLevel="0" collapsed="false">
      <c r="A63" s="3" t="s">
        <v>288</v>
      </c>
      <c r="B63" s="3" t="s">
        <v>112</v>
      </c>
      <c r="C63" s="1" t="s">
        <v>6</v>
      </c>
      <c r="D63" s="1" t="s">
        <v>7</v>
      </c>
      <c r="E63" s="1" t="s">
        <v>253</v>
      </c>
    </row>
    <row r="64" customFormat="false" ht="15" hidden="false" customHeight="false" outlineLevel="0" collapsed="false">
      <c r="A64" s="3" t="s">
        <v>289</v>
      </c>
      <c r="B64" s="3" t="s">
        <v>114</v>
      </c>
      <c r="C64" s="1" t="s">
        <v>6</v>
      </c>
      <c r="D64" s="1" t="s">
        <v>7</v>
      </c>
      <c r="E64" s="1" t="s">
        <v>253</v>
      </c>
    </row>
    <row r="65" customFormat="false" ht="15" hidden="false" customHeight="false" outlineLevel="0" collapsed="false">
      <c r="A65" s="3" t="s">
        <v>290</v>
      </c>
      <c r="B65" s="3" t="s">
        <v>116</v>
      </c>
      <c r="C65" s="1" t="s">
        <v>6</v>
      </c>
      <c r="D65" s="1" t="s">
        <v>7</v>
      </c>
      <c r="E65" s="1" t="s">
        <v>253</v>
      </c>
    </row>
    <row r="66" customFormat="false" ht="15" hidden="false" customHeight="false" outlineLevel="0" collapsed="false">
      <c r="A66" s="3" t="s">
        <v>291</v>
      </c>
      <c r="B66" s="3" t="s">
        <v>118</v>
      </c>
      <c r="C66" s="1" t="s">
        <v>6</v>
      </c>
      <c r="D66" s="1" t="s">
        <v>7</v>
      </c>
      <c r="E66" s="1" t="s">
        <v>253</v>
      </c>
    </row>
    <row r="67" customFormat="false" ht="15" hidden="false" customHeight="false" outlineLevel="0" collapsed="false">
      <c r="A67" s="3" t="s">
        <v>292</v>
      </c>
      <c r="B67" s="3" t="s">
        <v>120</v>
      </c>
      <c r="C67" s="1" t="s">
        <v>6</v>
      </c>
      <c r="D67" s="1" t="s">
        <v>7</v>
      </c>
      <c r="E67" s="1" t="s">
        <v>253</v>
      </c>
    </row>
    <row r="68" customFormat="false" ht="15" hidden="false" customHeight="false" outlineLevel="0" collapsed="false">
      <c r="A68" s="3" t="s">
        <v>293</v>
      </c>
      <c r="B68" s="3" t="s">
        <v>122</v>
      </c>
      <c r="C68" s="1" t="s">
        <v>6</v>
      </c>
      <c r="D68" s="1" t="s">
        <v>7</v>
      </c>
      <c r="E68" s="1" t="s">
        <v>253</v>
      </c>
    </row>
    <row r="69" customFormat="false" ht="15" hidden="false" customHeight="false" outlineLevel="0" collapsed="false">
      <c r="A69" s="3" t="s">
        <v>294</v>
      </c>
      <c r="B69" s="3" t="s">
        <v>124</v>
      </c>
      <c r="C69" s="1" t="s">
        <v>6</v>
      </c>
      <c r="D69" s="1" t="s">
        <v>7</v>
      </c>
      <c r="E69" s="1" t="s">
        <v>253</v>
      </c>
    </row>
    <row r="70" customFormat="false" ht="15" hidden="false" customHeight="false" outlineLevel="0" collapsed="false">
      <c r="A70" s="3" t="s">
        <v>295</v>
      </c>
      <c r="B70" s="3" t="s">
        <v>126</v>
      </c>
      <c r="C70" s="1" t="s">
        <v>6</v>
      </c>
      <c r="D70" s="1" t="s">
        <v>7</v>
      </c>
      <c r="E70" s="1" t="s">
        <v>253</v>
      </c>
    </row>
    <row r="71" customFormat="false" ht="15" hidden="false" customHeight="false" outlineLevel="0" collapsed="false">
      <c r="A71" s="3" t="s">
        <v>296</v>
      </c>
      <c r="B71" s="3" t="s">
        <v>128</v>
      </c>
      <c r="C71" s="1" t="s">
        <v>6</v>
      </c>
      <c r="D71" s="1" t="s">
        <v>7</v>
      </c>
      <c r="E71" s="1" t="s">
        <v>253</v>
      </c>
    </row>
    <row r="72" customFormat="false" ht="15" hidden="false" customHeight="false" outlineLevel="0" collapsed="false">
      <c r="A72" s="3" t="s">
        <v>297</v>
      </c>
      <c r="B72" s="3" t="s">
        <v>130</v>
      </c>
      <c r="C72" s="1" t="s">
        <v>6</v>
      </c>
      <c r="D72" s="1" t="s">
        <v>7</v>
      </c>
      <c r="E72" s="1" t="s">
        <v>253</v>
      </c>
    </row>
    <row r="73" customFormat="false" ht="15" hidden="false" customHeight="false" outlineLevel="0" collapsed="false">
      <c r="A73" s="3" t="s">
        <v>298</v>
      </c>
      <c r="B73" s="3" t="s">
        <v>132</v>
      </c>
      <c r="C73" s="1" t="s">
        <v>6</v>
      </c>
      <c r="D73" s="1" t="s">
        <v>7</v>
      </c>
      <c r="E73" s="1" t="s">
        <v>253</v>
      </c>
    </row>
    <row r="74" customFormat="false" ht="15" hidden="false" customHeight="false" outlineLevel="0" collapsed="false">
      <c r="A74" s="3" t="s">
        <v>299</v>
      </c>
      <c r="B74" s="3" t="s">
        <v>134</v>
      </c>
      <c r="C74" s="1" t="s">
        <v>6</v>
      </c>
      <c r="D74" s="1" t="s">
        <v>7</v>
      </c>
      <c r="E74" s="1" t="s">
        <v>253</v>
      </c>
    </row>
    <row r="75" customFormat="false" ht="15" hidden="false" customHeight="false" outlineLevel="0" collapsed="false">
      <c r="A75" s="3" t="s">
        <v>300</v>
      </c>
      <c r="B75" s="3" t="s">
        <v>136</v>
      </c>
      <c r="C75" s="1" t="s">
        <v>6</v>
      </c>
      <c r="D75" s="1" t="s">
        <v>7</v>
      </c>
      <c r="E75" s="1" t="s">
        <v>253</v>
      </c>
    </row>
    <row r="76" customFormat="false" ht="15" hidden="false" customHeight="false" outlineLevel="0" collapsed="false">
      <c r="A76" s="3" t="s">
        <v>301</v>
      </c>
      <c r="B76" s="3" t="s">
        <v>138</v>
      </c>
      <c r="C76" s="1" t="s">
        <v>6</v>
      </c>
      <c r="D76" s="1" t="s">
        <v>7</v>
      </c>
      <c r="E76" s="1" t="s">
        <v>253</v>
      </c>
    </row>
    <row r="77" customFormat="false" ht="15" hidden="false" customHeight="false" outlineLevel="0" collapsed="false">
      <c r="A77" s="3" t="s">
        <v>302</v>
      </c>
      <c r="B77" s="3" t="s">
        <v>140</v>
      </c>
      <c r="C77" s="1" t="s">
        <v>6</v>
      </c>
      <c r="D77" s="1" t="s">
        <v>7</v>
      </c>
      <c r="E77" s="1" t="s">
        <v>253</v>
      </c>
    </row>
    <row r="78" customFormat="false" ht="15" hidden="false" customHeight="false" outlineLevel="0" collapsed="false">
      <c r="A78" s="3" t="s">
        <v>303</v>
      </c>
      <c r="B78" s="3" t="s">
        <v>142</v>
      </c>
      <c r="C78" s="1" t="s">
        <v>6</v>
      </c>
      <c r="D78" s="1" t="s">
        <v>7</v>
      </c>
      <c r="E78" s="1" t="s">
        <v>253</v>
      </c>
    </row>
    <row r="79" customFormat="false" ht="15" hidden="false" customHeight="false" outlineLevel="0" collapsed="false">
      <c r="A79" s="3" t="s">
        <v>304</v>
      </c>
      <c r="B79" s="3" t="s">
        <v>144</v>
      </c>
      <c r="C79" s="1" t="s">
        <v>6</v>
      </c>
      <c r="D79" s="1" t="s">
        <v>7</v>
      </c>
      <c r="E79" s="1" t="s">
        <v>253</v>
      </c>
    </row>
    <row r="80" customFormat="false" ht="15" hidden="false" customHeight="false" outlineLevel="0" collapsed="false">
      <c r="A80" s="3" t="s">
        <v>305</v>
      </c>
      <c r="B80" s="3" t="s">
        <v>146</v>
      </c>
      <c r="C80" s="1" t="s">
        <v>6</v>
      </c>
      <c r="D80" s="1" t="s">
        <v>7</v>
      </c>
      <c r="E80" s="1" t="s">
        <v>253</v>
      </c>
    </row>
    <row r="81" customFormat="false" ht="15" hidden="false" customHeight="false" outlineLevel="0" collapsed="false">
      <c r="A81" s="3" t="s">
        <v>306</v>
      </c>
      <c r="B81" s="3" t="s">
        <v>148</v>
      </c>
      <c r="C81" s="1" t="s">
        <v>6</v>
      </c>
      <c r="D81" s="1" t="s">
        <v>7</v>
      </c>
      <c r="E81" s="1" t="s">
        <v>253</v>
      </c>
    </row>
    <row r="82" customFormat="false" ht="15" hidden="false" customHeight="false" outlineLevel="0" collapsed="false">
      <c r="A82" s="3" t="s">
        <v>307</v>
      </c>
      <c r="B82" s="3" t="s">
        <v>150</v>
      </c>
      <c r="C82" s="1" t="s">
        <v>6</v>
      </c>
      <c r="D82" s="1" t="s">
        <v>7</v>
      </c>
      <c r="E82" s="1" t="s">
        <v>253</v>
      </c>
    </row>
    <row r="83" customFormat="false" ht="15" hidden="false" customHeight="false" outlineLevel="0" collapsed="false">
      <c r="A83" s="3" t="s">
        <v>308</v>
      </c>
      <c r="B83" s="3" t="s">
        <v>152</v>
      </c>
      <c r="C83" s="1" t="s">
        <v>6</v>
      </c>
      <c r="D83" s="1" t="s">
        <v>7</v>
      </c>
      <c r="E83" s="1" t="s">
        <v>253</v>
      </c>
    </row>
    <row r="84" customFormat="false" ht="15" hidden="false" customHeight="false" outlineLevel="0" collapsed="false">
      <c r="A84" s="3" t="s">
        <v>309</v>
      </c>
      <c r="B84" s="3" t="s">
        <v>154</v>
      </c>
      <c r="C84" s="1" t="s">
        <v>6</v>
      </c>
      <c r="D84" s="1" t="s">
        <v>7</v>
      </c>
      <c r="E84" s="1" t="s">
        <v>253</v>
      </c>
    </row>
    <row r="85" customFormat="false" ht="15" hidden="false" customHeight="false" outlineLevel="0" collapsed="false">
      <c r="A85" s="3" t="s">
        <v>310</v>
      </c>
      <c r="B85" s="3" t="s">
        <v>156</v>
      </c>
      <c r="C85" s="1" t="s">
        <v>6</v>
      </c>
      <c r="D85" s="1" t="s">
        <v>7</v>
      </c>
      <c r="E85" s="1" t="s">
        <v>253</v>
      </c>
    </row>
    <row r="86" customFormat="false" ht="15" hidden="false" customHeight="false" outlineLevel="0" collapsed="false">
      <c r="A86" s="3" t="s">
        <v>311</v>
      </c>
      <c r="B86" s="3" t="s">
        <v>158</v>
      </c>
      <c r="C86" s="1" t="s">
        <v>6</v>
      </c>
      <c r="D86" s="1" t="s">
        <v>7</v>
      </c>
      <c r="E86" s="1" t="s">
        <v>253</v>
      </c>
    </row>
    <row r="87" customFormat="false" ht="15" hidden="false" customHeight="false" outlineLevel="0" collapsed="false">
      <c r="A87" s="3" t="s">
        <v>312</v>
      </c>
      <c r="B87" s="3" t="s">
        <v>160</v>
      </c>
      <c r="C87" s="1" t="s">
        <v>6</v>
      </c>
      <c r="D87" s="1" t="s">
        <v>7</v>
      </c>
      <c r="E87" s="1" t="s">
        <v>253</v>
      </c>
    </row>
    <row r="88" customFormat="false" ht="15" hidden="false" customHeight="false" outlineLevel="0" collapsed="false">
      <c r="A88" s="3" t="s">
        <v>313</v>
      </c>
      <c r="B88" s="3" t="s">
        <v>162</v>
      </c>
      <c r="C88" s="1" t="s">
        <v>6</v>
      </c>
      <c r="D88" s="1" t="s">
        <v>7</v>
      </c>
      <c r="E88" s="1" t="s">
        <v>253</v>
      </c>
    </row>
    <row r="89" customFormat="false" ht="15" hidden="false" customHeight="false" outlineLevel="0" collapsed="false">
      <c r="A89" s="3" t="s">
        <v>314</v>
      </c>
      <c r="B89" s="3" t="s">
        <v>164</v>
      </c>
      <c r="C89" s="1" t="s">
        <v>6</v>
      </c>
      <c r="D89" s="1" t="s">
        <v>7</v>
      </c>
      <c r="E89" s="1" t="s">
        <v>253</v>
      </c>
    </row>
    <row r="90" customFormat="false" ht="15" hidden="false" customHeight="false" outlineLevel="0" collapsed="false">
      <c r="A90" s="3" t="s">
        <v>315</v>
      </c>
      <c r="B90" s="3" t="s">
        <v>166</v>
      </c>
      <c r="C90" s="1" t="s">
        <v>6</v>
      </c>
      <c r="D90" s="1" t="s">
        <v>7</v>
      </c>
      <c r="E90" s="1" t="s">
        <v>253</v>
      </c>
    </row>
    <row r="91" customFormat="false" ht="15" hidden="false" customHeight="false" outlineLevel="0" collapsed="false">
      <c r="A91" s="3" t="s">
        <v>316</v>
      </c>
      <c r="B91" s="3" t="s">
        <v>168</v>
      </c>
      <c r="C91" s="1" t="s">
        <v>6</v>
      </c>
      <c r="D91" s="1" t="s">
        <v>7</v>
      </c>
      <c r="E91" s="1" t="s">
        <v>253</v>
      </c>
    </row>
    <row r="92" customFormat="false" ht="15" hidden="false" customHeight="false" outlineLevel="0" collapsed="false">
      <c r="A92" s="3" t="s">
        <v>317</v>
      </c>
      <c r="B92" s="3" t="s">
        <v>170</v>
      </c>
      <c r="C92" s="1" t="s">
        <v>6</v>
      </c>
      <c r="D92" s="1" t="s">
        <v>7</v>
      </c>
      <c r="E92" s="1" t="s">
        <v>253</v>
      </c>
    </row>
    <row r="93" customFormat="false" ht="15" hidden="false" customHeight="false" outlineLevel="0" collapsed="false">
      <c r="A93" s="3" t="s">
        <v>318</v>
      </c>
      <c r="B93" s="3" t="s">
        <v>172</v>
      </c>
      <c r="C93" s="1" t="s">
        <v>6</v>
      </c>
      <c r="D93" s="1" t="s">
        <v>7</v>
      </c>
      <c r="E93" s="1" t="s">
        <v>253</v>
      </c>
    </row>
    <row r="94" customFormat="false" ht="15" hidden="false" customHeight="false" outlineLevel="0" collapsed="false">
      <c r="A94" s="3" t="s">
        <v>319</v>
      </c>
      <c r="B94" s="3" t="s">
        <v>174</v>
      </c>
      <c r="C94" s="1" t="s">
        <v>6</v>
      </c>
      <c r="D94" s="1" t="s">
        <v>7</v>
      </c>
      <c r="E94" s="1" t="s">
        <v>253</v>
      </c>
    </row>
    <row r="95" customFormat="false" ht="15" hidden="false" customHeight="false" outlineLevel="0" collapsed="false">
      <c r="A95" s="3" t="s">
        <v>320</v>
      </c>
      <c r="B95" s="3" t="s">
        <v>176</v>
      </c>
      <c r="C95" s="1" t="s">
        <v>6</v>
      </c>
      <c r="D95" s="1" t="s">
        <v>7</v>
      </c>
      <c r="E95" s="1" t="s">
        <v>253</v>
      </c>
    </row>
    <row r="96" customFormat="false" ht="15" hidden="false" customHeight="false" outlineLevel="0" collapsed="false">
      <c r="A96" s="3" t="s">
        <v>321</v>
      </c>
      <c r="B96" s="3" t="s">
        <v>178</v>
      </c>
      <c r="C96" s="1" t="s">
        <v>6</v>
      </c>
      <c r="D96" s="1" t="s">
        <v>7</v>
      </c>
      <c r="E96" s="1" t="s">
        <v>253</v>
      </c>
    </row>
    <row r="97" customFormat="false" ht="15" hidden="false" customHeight="false" outlineLevel="0" collapsed="false">
      <c r="A97" s="3" t="s">
        <v>322</v>
      </c>
      <c r="B97" s="3" t="s">
        <v>180</v>
      </c>
      <c r="C97" s="1" t="s">
        <v>6</v>
      </c>
      <c r="D97" s="1" t="s">
        <v>7</v>
      </c>
      <c r="E97" s="1" t="s">
        <v>253</v>
      </c>
    </row>
    <row r="98" customFormat="false" ht="15" hidden="false" customHeight="false" outlineLevel="0" collapsed="false">
      <c r="A98" s="3" t="s">
        <v>323</v>
      </c>
      <c r="B98" s="3" t="s">
        <v>182</v>
      </c>
      <c r="C98" s="1" t="s">
        <v>6</v>
      </c>
      <c r="D98" s="1" t="s">
        <v>7</v>
      </c>
      <c r="E98" s="1" t="s">
        <v>253</v>
      </c>
    </row>
    <row r="99" customFormat="false" ht="15" hidden="false" customHeight="false" outlineLevel="0" collapsed="false">
      <c r="A99" s="3" t="s">
        <v>324</v>
      </c>
      <c r="B99" s="3" t="s">
        <v>184</v>
      </c>
      <c r="C99" s="1" t="s">
        <v>6</v>
      </c>
      <c r="D99" s="1" t="s">
        <v>7</v>
      </c>
      <c r="E99" s="1" t="s">
        <v>253</v>
      </c>
    </row>
    <row r="100" customFormat="false" ht="15" hidden="false" customHeight="false" outlineLevel="0" collapsed="false">
      <c r="A100" s="3" t="s">
        <v>325</v>
      </c>
      <c r="B100" s="3" t="s">
        <v>186</v>
      </c>
      <c r="C100" s="1" t="s">
        <v>6</v>
      </c>
      <c r="D100" s="1" t="s">
        <v>7</v>
      </c>
      <c r="E100" s="1" t="s">
        <v>253</v>
      </c>
    </row>
    <row r="101" customFormat="false" ht="15" hidden="false" customHeight="false" outlineLevel="0" collapsed="false">
      <c r="A101" s="3" t="s">
        <v>326</v>
      </c>
      <c r="B101" s="3" t="s">
        <v>188</v>
      </c>
      <c r="C101" s="1" t="s">
        <v>6</v>
      </c>
      <c r="D101" s="1" t="s">
        <v>7</v>
      </c>
      <c r="E101" s="1" t="s">
        <v>253</v>
      </c>
    </row>
    <row r="102" customFormat="false" ht="15" hidden="false" customHeight="false" outlineLevel="0" collapsed="false">
      <c r="A102" s="3" t="s">
        <v>327</v>
      </c>
      <c r="B102" s="3" t="s">
        <v>190</v>
      </c>
      <c r="C102" s="1" t="s">
        <v>6</v>
      </c>
      <c r="D102" s="1" t="s">
        <v>7</v>
      </c>
      <c r="E102" s="1" t="s">
        <v>253</v>
      </c>
    </row>
    <row r="103" customFormat="false" ht="15" hidden="false" customHeight="false" outlineLevel="0" collapsed="false">
      <c r="A103" s="3" t="s">
        <v>328</v>
      </c>
      <c r="B103" s="3" t="s">
        <v>192</v>
      </c>
      <c r="C103" s="1" t="s">
        <v>6</v>
      </c>
      <c r="D103" s="1" t="s">
        <v>7</v>
      </c>
      <c r="E103" s="1" t="s">
        <v>253</v>
      </c>
    </row>
    <row r="104" customFormat="false" ht="15" hidden="false" customHeight="false" outlineLevel="0" collapsed="false">
      <c r="A104" s="3" t="s">
        <v>329</v>
      </c>
      <c r="B104" s="3" t="s">
        <v>194</v>
      </c>
      <c r="C104" s="1" t="s">
        <v>6</v>
      </c>
      <c r="D104" s="1" t="s">
        <v>7</v>
      </c>
      <c r="E104" s="1" t="s">
        <v>253</v>
      </c>
    </row>
    <row r="105" customFormat="false" ht="15" hidden="false" customHeight="false" outlineLevel="0" collapsed="false">
      <c r="A105" s="3" t="s">
        <v>330</v>
      </c>
      <c r="B105" s="3" t="s">
        <v>196</v>
      </c>
      <c r="C105" s="1" t="s">
        <v>6</v>
      </c>
      <c r="D105" s="1" t="s">
        <v>7</v>
      </c>
      <c r="E105" s="1" t="s">
        <v>253</v>
      </c>
    </row>
    <row r="106" customFormat="false" ht="15" hidden="false" customHeight="false" outlineLevel="0" collapsed="false">
      <c r="A106" s="3" t="s">
        <v>331</v>
      </c>
      <c r="B106" s="3" t="s">
        <v>198</v>
      </c>
      <c r="C106" s="1" t="s">
        <v>6</v>
      </c>
      <c r="D106" s="1" t="s">
        <v>7</v>
      </c>
      <c r="E106" s="1" t="s">
        <v>253</v>
      </c>
    </row>
    <row r="107" customFormat="false" ht="15" hidden="false" customHeight="false" outlineLevel="0" collapsed="false">
      <c r="A107" s="3" t="s">
        <v>332</v>
      </c>
      <c r="B107" s="3" t="s">
        <v>200</v>
      </c>
      <c r="C107" s="1" t="s">
        <v>6</v>
      </c>
      <c r="D107" s="1" t="s">
        <v>7</v>
      </c>
      <c r="E107" s="1" t="s">
        <v>253</v>
      </c>
    </row>
    <row r="108" customFormat="false" ht="15" hidden="false" customHeight="false" outlineLevel="0" collapsed="false">
      <c r="A108" s="3" t="s">
        <v>333</v>
      </c>
      <c r="B108" s="3" t="s">
        <v>202</v>
      </c>
      <c r="C108" s="1" t="s">
        <v>6</v>
      </c>
      <c r="D108" s="1" t="s">
        <v>7</v>
      </c>
      <c r="E108" s="1" t="s">
        <v>253</v>
      </c>
    </row>
    <row r="109" customFormat="false" ht="15" hidden="false" customHeight="false" outlineLevel="0" collapsed="false">
      <c r="A109" s="3" t="s">
        <v>334</v>
      </c>
      <c r="B109" s="3" t="s">
        <v>204</v>
      </c>
      <c r="C109" s="1" t="s">
        <v>6</v>
      </c>
      <c r="D109" s="1" t="s">
        <v>7</v>
      </c>
      <c r="E109" s="1" t="s">
        <v>253</v>
      </c>
    </row>
    <row r="110" customFormat="false" ht="15" hidden="false" customHeight="false" outlineLevel="0" collapsed="false">
      <c r="A110" s="3" t="s">
        <v>335</v>
      </c>
      <c r="B110" s="3" t="s">
        <v>206</v>
      </c>
      <c r="C110" s="1" t="s">
        <v>6</v>
      </c>
      <c r="D110" s="1" t="s">
        <v>7</v>
      </c>
      <c r="E110" s="1" t="s">
        <v>253</v>
      </c>
    </row>
    <row r="111" customFormat="false" ht="15" hidden="false" customHeight="false" outlineLevel="0" collapsed="false">
      <c r="A111" s="3" t="s">
        <v>336</v>
      </c>
      <c r="B111" s="3" t="s">
        <v>208</v>
      </c>
      <c r="C111" s="1" t="s">
        <v>6</v>
      </c>
      <c r="D111" s="1" t="s">
        <v>7</v>
      </c>
      <c r="E111" s="1" t="s">
        <v>253</v>
      </c>
    </row>
    <row r="112" customFormat="false" ht="15" hidden="false" customHeight="false" outlineLevel="0" collapsed="false">
      <c r="A112" s="3" t="s">
        <v>337</v>
      </c>
      <c r="B112" s="3" t="s">
        <v>210</v>
      </c>
      <c r="C112" s="1" t="s">
        <v>6</v>
      </c>
      <c r="D112" s="1" t="s">
        <v>7</v>
      </c>
      <c r="E112" s="1" t="s">
        <v>253</v>
      </c>
    </row>
    <row r="113" customFormat="false" ht="15" hidden="false" customHeight="false" outlineLevel="0" collapsed="false">
      <c r="A113" s="3" t="s">
        <v>338</v>
      </c>
      <c r="B113" s="3" t="s">
        <v>212</v>
      </c>
      <c r="C113" s="1" t="s">
        <v>6</v>
      </c>
      <c r="D113" s="1" t="s">
        <v>7</v>
      </c>
      <c r="E113" s="1" t="s">
        <v>253</v>
      </c>
    </row>
    <row r="114" customFormat="false" ht="15" hidden="false" customHeight="false" outlineLevel="0" collapsed="false">
      <c r="A114" s="3" t="s">
        <v>339</v>
      </c>
      <c r="B114" s="3" t="s">
        <v>214</v>
      </c>
      <c r="C114" s="1" t="s">
        <v>6</v>
      </c>
      <c r="D114" s="1" t="s">
        <v>7</v>
      </c>
      <c r="E114" s="1" t="s">
        <v>253</v>
      </c>
    </row>
    <row r="115" customFormat="false" ht="15" hidden="false" customHeight="false" outlineLevel="0" collapsed="false">
      <c r="A115" s="3" t="s">
        <v>340</v>
      </c>
      <c r="B115" s="3" t="s">
        <v>216</v>
      </c>
      <c r="C115" s="1" t="s">
        <v>6</v>
      </c>
      <c r="D115" s="1" t="s">
        <v>7</v>
      </c>
      <c r="E115" s="1" t="s">
        <v>253</v>
      </c>
    </row>
    <row r="116" customFormat="false" ht="15" hidden="false" customHeight="false" outlineLevel="0" collapsed="false">
      <c r="A116" s="3" t="s">
        <v>341</v>
      </c>
      <c r="B116" s="3" t="s">
        <v>218</v>
      </c>
      <c r="C116" s="1" t="s">
        <v>6</v>
      </c>
      <c r="D116" s="1" t="s">
        <v>7</v>
      </c>
      <c r="E116" s="1" t="s">
        <v>253</v>
      </c>
    </row>
    <row r="117" customFormat="false" ht="15" hidden="false" customHeight="false" outlineLevel="0" collapsed="false">
      <c r="A117" s="3" t="s">
        <v>342</v>
      </c>
      <c r="B117" s="3" t="s">
        <v>220</v>
      </c>
      <c r="C117" s="1" t="s">
        <v>6</v>
      </c>
      <c r="D117" s="1" t="s">
        <v>7</v>
      </c>
      <c r="E117" s="1" t="s">
        <v>253</v>
      </c>
    </row>
    <row r="118" customFormat="false" ht="15" hidden="false" customHeight="false" outlineLevel="0" collapsed="false">
      <c r="A118" s="3" t="s">
        <v>343</v>
      </c>
      <c r="B118" s="3" t="s">
        <v>222</v>
      </c>
      <c r="C118" s="1" t="s">
        <v>6</v>
      </c>
      <c r="D118" s="1" t="s">
        <v>7</v>
      </c>
      <c r="E118" s="1" t="s">
        <v>253</v>
      </c>
    </row>
    <row r="119" customFormat="false" ht="15" hidden="false" customHeight="false" outlineLevel="0" collapsed="false">
      <c r="A119" s="3" t="s">
        <v>344</v>
      </c>
      <c r="B119" s="3" t="s">
        <v>224</v>
      </c>
      <c r="C119" s="1" t="s">
        <v>6</v>
      </c>
      <c r="D119" s="1" t="s">
        <v>7</v>
      </c>
      <c r="E119" s="1" t="s">
        <v>253</v>
      </c>
    </row>
    <row r="120" customFormat="false" ht="15" hidden="false" customHeight="false" outlineLevel="0" collapsed="false">
      <c r="A120" s="3" t="s">
        <v>345</v>
      </c>
      <c r="B120" s="3" t="s">
        <v>226</v>
      </c>
      <c r="C120" s="1" t="s">
        <v>6</v>
      </c>
      <c r="D120" s="1" t="s">
        <v>7</v>
      </c>
      <c r="E120" s="1" t="s">
        <v>253</v>
      </c>
    </row>
    <row r="121" customFormat="false" ht="15" hidden="false" customHeight="false" outlineLevel="0" collapsed="false">
      <c r="A121" s="3" t="s">
        <v>346</v>
      </c>
      <c r="B121" s="3" t="s">
        <v>228</v>
      </c>
      <c r="C121" s="1" t="s">
        <v>6</v>
      </c>
      <c r="D121" s="1" t="s">
        <v>7</v>
      </c>
      <c r="E121" s="1" t="s">
        <v>253</v>
      </c>
    </row>
    <row r="122" customFormat="false" ht="15" hidden="false" customHeight="false" outlineLevel="0" collapsed="false">
      <c r="A122" s="3" t="s">
        <v>347</v>
      </c>
      <c r="B122" s="3" t="s">
        <v>230</v>
      </c>
      <c r="C122" s="1" t="s">
        <v>6</v>
      </c>
      <c r="D122" s="1" t="s">
        <v>7</v>
      </c>
      <c r="E122" s="1" t="s">
        <v>253</v>
      </c>
    </row>
    <row r="123" customFormat="false" ht="15" hidden="false" customHeight="false" outlineLevel="0" collapsed="false">
      <c r="A123" s="3" t="s">
        <v>348</v>
      </c>
      <c r="B123" s="3" t="s">
        <v>232</v>
      </c>
      <c r="C123" s="1" t="s">
        <v>6</v>
      </c>
      <c r="D123" s="1" t="s">
        <v>7</v>
      </c>
      <c r="E123" s="1" t="s">
        <v>253</v>
      </c>
    </row>
    <row r="124" customFormat="false" ht="15" hidden="false" customHeight="false" outlineLevel="0" collapsed="false">
      <c r="A124" s="3" t="s">
        <v>349</v>
      </c>
      <c r="B124" s="3" t="s">
        <v>234</v>
      </c>
      <c r="C124" s="1" t="s">
        <v>6</v>
      </c>
      <c r="D124" s="1" t="s">
        <v>7</v>
      </c>
      <c r="E124" s="1" t="s">
        <v>253</v>
      </c>
    </row>
    <row r="125" customFormat="false" ht="15" hidden="false" customHeight="false" outlineLevel="0" collapsed="false">
      <c r="A125" s="3" t="s">
        <v>350</v>
      </c>
      <c r="B125" s="3" t="s">
        <v>236</v>
      </c>
      <c r="C125" s="1" t="s">
        <v>6</v>
      </c>
      <c r="D125" s="1" t="s">
        <v>7</v>
      </c>
      <c r="E125" s="1" t="s">
        <v>253</v>
      </c>
    </row>
    <row r="126" customFormat="false" ht="15" hidden="false" customHeight="false" outlineLevel="0" collapsed="false">
      <c r="A126" s="3" t="s">
        <v>351</v>
      </c>
      <c r="B126" s="3" t="s">
        <v>238</v>
      </c>
      <c r="C126" s="1" t="s">
        <v>6</v>
      </c>
      <c r="D126" s="1" t="s">
        <v>7</v>
      </c>
      <c r="E126" s="1" t="s">
        <v>253</v>
      </c>
    </row>
    <row r="127" customFormat="false" ht="15" hidden="false" customHeight="false" outlineLevel="0" collapsed="false">
      <c r="A127" s="3" t="s">
        <v>352</v>
      </c>
      <c r="B127" s="3" t="s">
        <v>240</v>
      </c>
      <c r="C127" s="1" t="s">
        <v>6</v>
      </c>
      <c r="D127" s="1" t="s">
        <v>7</v>
      </c>
      <c r="E127" s="1" t="s">
        <v>253</v>
      </c>
    </row>
    <row r="128" customFormat="false" ht="15" hidden="false" customHeight="false" outlineLevel="0" collapsed="false">
      <c r="A128" s="3" t="s">
        <v>353</v>
      </c>
      <c r="B128" s="3" t="s">
        <v>242</v>
      </c>
      <c r="C128" s="1" t="s">
        <v>6</v>
      </c>
      <c r="D128" s="1" t="s">
        <v>7</v>
      </c>
      <c r="E128" s="1" t="s">
        <v>253</v>
      </c>
    </row>
    <row r="129" customFormat="false" ht="16" hidden="false" customHeight="false" outlineLevel="0" collapsed="false">
      <c r="A129" s="3" t="str">
        <f aca="false">IF(B129=0,"",_xlfn.CONCAT(B129, " [", D129,IF(E129="", "]", "] "),E129  ))</f>
        <v/>
      </c>
      <c r="B129" s="3"/>
    </row>
    <row r="130" customFormat="false" ht="16" hidden="false" customHeight="false" outlineLevel="0" collapsed="false">
      <c r="A130" s="3" t="str">
        <f aca="false">IF(B130=0,"",_xlfn.CONCAT(B130, " [", D130,IF(E130="", "]", "] "),E130  ))</f>
        <v/>
      </c>
      <c r="B130" s="3"/>
    </row>
    <row r="131" customFormat="false" ht="16" hidden="false" customHeight="false" outlineLevel="0" collapsed="false">
      <c r="A131" s="3" t="str">
        <f aca="false">IF(B131=0,"",_xlfn.CONCAT(B131, " [", D131,IF(E131="", "]", "] "),E131  ))</f>
        <v/>
      </c>
      <c r="B131" s="3"/>
    </row>
    <row r="132" customFormat="false" ht="16" hidden="false" customHeight="false" outlineLevel="0" collapsed="false">
      <c r="A132" s="3" t="str">
        <f aca="false">IF(B132=0,"",_xlfn.CONCAT(B132, " [", D132,IF(E132="", "]", "] "),E132  ))</f>
        <v/>
      </c>
      <c r="B132" s="3"/>
    </row>
    <row r="133" customFormat="false" ht="16" hidden="false" customHeight="false" outlineLevel="0" collapsed="false">
      <c r="A133" s="3" t="str">
        <f aca="false">IF(B133=0,"",_xlfn.CONCAT(B133, " [", D133,IF(E133="", "]", "] "),E133  ))</f>
        <v/>
      </c>
      <c r="B133" s="3"/>
    </row>
    <row r="134" customFormat="false" ht="16" hidden="false" customHeight="false" outlineLevel="0" collapsed="false">
      <c r="A134" s="3" t="str">
        <f aca="false">IF(B134=0,"",_xlfn.CONCAT(B134, " [", D134,IF(E134="", "]", "] "),E134  ))</f>
        <v/>
      </c>
      <c r="B134" s="3"/>
    </row>
    <row r="135" customFormat="false" ht="16" hidden="false" customHeight="false" outlineLevel="0" collapsed="false">
      <c r="A135" s="3" t="str">
        <f aca="false">IF(B135=0,"",_xlfn.CONCAT(B135, " [", D135,IF(E135="", "]", "] "),E135  ))</f>
        <v/>
      </c>
      <c r="B135" s="3"/>
    </row>
    <row r="136" customFormat="false" ht="16" hidden="false" customHeight="false" outlineLevel="0" collapsed="false">
      <c r="A136" s="3" t="str">
        <f aca="false">IF(B136=0,"",_xlfn.CONCAT(B136, " [", D136,IF(E136="", "]", "] "),E136  ))</f>
        <v/>
      </c>
      <c r="B136" s="3"/>
    </row>
    <row r="137" customFormat="false" ht="16" hidden="false" customHeight="false" outlineLevel="0" collapsed="false">
      <c r="A137" s="3" t="str">
        <f aca="false">IF(B137=0,"",_xlfn.CONCAT(B137, " [", D137,IF(E137="", "]", "] "),E137  ))</f>
        <v/>
      </c>
      <c r="B137" s="3"/>
    </row>
    <row r="138" customFormat="false" ht="16" hidden="false" customHeight="false" outlineLevel="0" collapsed="false">
      <c r="A138" s="3" t="str">
        <f aca="false">IF(B138=0,"",_xlfn.CONCAT(B138, " [", D138,IF(E138="", "]", "] "),E138  ))</f>
        <v/>
      </c>
      <c r="B138" s="3"/>
    </row>
    <row r="139" customFormat="false" ht="16" hidden="false" customHeight="false" outlineLevel="0" collapsed="false">
      <c r="A139" s="3" t="str">
        <f aca="false">IF(B139=0,"",_xlfn.CONCAT(B139, " [", D139,IF(E139="", "]", "] "),E139  ))</f>
        <v/>
      </c>
      <c r="B139" s="3"/>
    </row>
    <row r="140" customFormat="false" ht="16" hidden="false" customHeight="false" outlineLevel="0" collapsed="false">
      <c r="A140" s="3" t="str">
        <f aca="false">IF(B140=0,"",_xlfn.CONCAT(B140, " [", D140,IF(E140="", "]", "] "),E140  ))</f>
        <v/>
      </c>
      <c r="B140" s="3"/>
    </row>
    <row r="141" customFormat="false" ht="16" hidden="false" customHeight="false" outlineLevel="0" collapsed="false">
      <c r="A141" s="3" t="str">
        <f aca="false">IF(B141=0,"",_xlfn.CONCAT(B141, " [", D141,IF(E141="", "]", "] "),E141  ))</f>
        <v/>
      </c>
      <c r="B141" s="3"/>
    </row>
    <row r="142" customFormat="false" ht="16" hidden="false" customHeight="false" outlineLevel="0" collapsed="false">
      <c r="A142" s="3" t="str">
        <f aca="false">IF(B142=0,"",_xlfn.CONCAT(B142, " [", D142,IF(E142="", "]", "] "),E142  ))</f>
        <v/>
      </c>
      <c r="B142" s="3"/>
    </row>
    <row r="143" customFormat="false" ht="16" hidden="false" customHeight="false" outlineLevel="0" collapsed="false">
      <c r="A143" s="3" t="str">
        <f aca="false">IF(B143=0,"",_xlfn.CONCAT(B143, " [", D143,IF(E143="", "]", "] "),E143  ))</f>
        <v/>
      </c>
      <c r="B143" s="3"/>
    </row>
    <row r="144" customFormat="false" ht="16" hidden="false" customHeight="false" outlineLevel="0" collapsed="false">
      <c r="A144" s="3" t="str">
        <f aca="false">IF(B144=0,"",_xlfn.CONCAT(B144, " [", D144,IF(E144="", "]", "] "),E144  ))</f>
        <v/>
      </c>
      <c r="B144" s="3"/>
    </row>
    <row r="145" customFormat="false" ht="16" hidden="false" customHeight="false" outlineLevel="0" collapsed="false">
      <c r="A145" s="3" t="str">
        <f aca="false">IF(B145=0,"",_xlfn.CONCAT(B145, " [", D145,IF(E145="", "]", "] "),E145  ))</f>
        <v/>
      </c>
      <c r="B145" s="3"/>
    </row>
    <row r="146" customFormat="false" ht="16" hidden="false" customHeight="false" outlineLevel="0" collapsed="false">
      <c r="A146" s="3" t="str">
        <f aca="false">IF(B146=0,"",_xlfn.CONCAT(B146, " [", D146,IF(E146="", "]", "] "),E146  ))</f>
        <v/>
      </c>
      <c r="B146" s="3"/>
    </row>
    <row r="147" customFormat="false" ht="16" hidden="false" customHeight="false" outlineLevel="0" collapsed="false">
      <c r="A147" s="3" t="str">
        <f aca="false">IF(B147=0,"",_xlfn.CONCAT(B147, " [", D147,IF(E147="", "]", "] "),E147  ))</f>
        <v/>
      </c>
      <c r="B147" s="3"/>
    </row>
    <row r="148" customFormat="false" ht="16" hidden="false" customHeight="false" outlineLevel="0" collapsed="false">
      <c r="A148" s="3" t="str">
        <f aca="false">IF(B148=0,"",_xlfn.CONCAT(B148, " [", D148,IF(E148="", "]", "] "),E148  ))</f>
        <v/>
      </c>
      <c r="B148" s="3"/>
    </row>
    <row r="149" customFormat="false" ht="16" hidden="false" customHeight="false" outlineLevel="0" collapsed="false">
      <c r="A149" s="3" t="str">
        <f aca="false">IF(B149=0,"",_xlfn.CONCAT(B149, " [", D149,IF(E149="", "]", "] "),E149  ))</f>
        <v/>
      </c>
      <c r="B149" s="3"/>
    </row>
    <row r="150" customFormat="false" ht="16" hidden="false" customHeight="false" outlineLevel="0" collapsed="false">
      <c r="A150" s="3" t="str">
        <f aca="false">IF(B150=0,"",_xlfn.CONCAT(B150, " [", D150,IF(E150="", "]", "] "),E150  ))</f>
        <v/>
      </c>
      <c r="B150" s="3"/>
    </row>
    <row r="151" customFormat="false" ht="16" hidden="false" customHeight="false" outlineLevel="0" collapsed="false">
      <c r="A151" s="3" t="str">
        <f aca="false">IF(B151=0,"",_xlfn.CONCAT(B151, " [", D151,IF(E151="", "]", "] "),E151  ))</f>
        <v/>
      </c>
      <c r="B151" s="3"/>
    </row>
    <row r="152" customFormat="false" ht="16" hidden="false" customHeight="false" outlineLevel="0" collapsed="false">
      <c r="A152" s="3" t="str">
        <f aca="false">IF(B152=0,"",_xlfn.CONCAT(B152, " [", D152,IF(E152="", "]", "] "),E152  ))</f>
        <v/>
      </c>
      <c r="B152" s="3"/>
    </row>
    <row r="153" customFormat="false" ht="16" hidden="false" customHeight="false" outlineLevel="0" collapsed="false">
      <c r="A153" s="3" t="str">
        <f aca="false">IF(B153=0,"",_xlfn.CONCAT(B153, " [", D153,IF(E153="", "]", "] "),E153  ))</f>
        <v/>
      </c>
      <c r="B153" s="3"/>
    </row>
    <row r="154" customFormat="false" ht="16" hidden="false" customHeight="false" outlineLevel="0" collapsed="false">
      <c r="A154" s="3" t="str">
        <f aca="false">IF(B154=0,"",_xlfn.CONCAT(B154, " [", D154,IF(E154="", "]", "] "),E154  ))</f>
        <v/>
      </c>
      <c r="B154" s="3"/>
    </row>
    <row r="155" customFormat="false" ht="16" hidden="false" customHeight="false" outlineLevel="0" collapsed="false">
      <c r="A155" s="3" t="str">
        <f aca="false">IF(B155=0,"",_xlfn.CONCAT(B155, " [", D155,IF(E155="", "]", "] "),E155  ))</f>
        <v/>
      </c>
      <c r="B155" s="3"/>
    </row>
    <row r="156" customFormat="false" ht="16" hidden="false" customHeight="false" outlineLevel="0" collapsed="false">
      <c r="A156" s="3" t="str">
        <f aca="false">IF(B156=0,"",_xlfn.CONCAT(B156, " [", D156,IF(E156="", "]", "] "),E156  ))</f>
        <v/>
      </c>
      <c r="B156" s="3"/>
    </row>
    <row r="157" customFormat="false" ht="16" hidden="false" customHeight="false" outlineLevel="0" collapsed="false">
      <c r="A157" s="3" t="str">
        <f aca="false">IF(B157=0,"",_xlfn.CONCAT(B157, " [", D157,IF(E157="", "]", "] "),E157  ))</f>
        <v/>
      </c>
      <c r="B157" s="3"/>
    </row>
    <row r="158" customFormat="false" ht="16" hidden="false" customHeight="false" outlineLevel="0" collapsed="false">
      <c r="A158" s="3" t="str">
        <f aca="false">IF(B158=0,"",_xlfn.CONCAT(B158, " [", D158,IF(E158="", "]", "] "),E158  ))</f>
        <v/>
      </c>
      <c r="B158" s="3"/>
    </row>
    <row r="159" customFormat="false" ht="16" hidden="false" customHeight="false" outlineLevel="0" collapsed="false">
      <c r="A159" s="3" t="str">
        <f aca="false">IF(B159=0,"",_xlfn.CONCAT(B159, " [", D159,IF(E159="", "]", "] "),E159  ))</f>
        <v/>
      </c>
      <c r="B159" s="3"/>
    </row>
    <row r="160" customFormat="false" ht="16" hidden="false" customHeight="false" outlineLevel="0" collapsed="false">
      <c r="A160" s="3" t="str">
        <f aca="false">IF(B160=0,"",_xlfn.CONCAT(B160, " [", D160,IF(E160="", "]", "] "),E160  ))</f>
        <v/>
      </c>
      <c r="B160" s="3"/>
    </row>
    <row r="161" customFormat="false" ht="16" hidden="false" customHeight="false" outlineLevel="0" collapsed="false">
      <c r="A161" s="3" t="str">
        <f aca="false">IF(B161=0,"",_xlfn.CONCAT(B161, " [", D161,IF(E161="", "]", "] "),E161  ))</f>
        <v/>
      </c>
      <c r="B161" s="3"/>
    </row>
    <row r="162" customFormat="false" ht="16" hidden="false" customHeight="false" outlineLevel="0" collapsed="false">
      <c r="A162" s="3" t="str">
        <f aca="false">IF(B162=0,"",_xlfn.CONCAT(B162, " [", D162,IF(E162="", "]", "] "),E162  ))</f>
        <v/>
      </c>
      <c r="B162" s="3"/>
    </row>
    <row r="163" customFormat="false" ht="16" hidden="false" customHeight="false" outlineLevel="0" collapsed="false">
      <c r="A163" s="3" t="str">
        <f aca="false">IF(B163=0,"",_xlfn.CONCAT(B163, " [", D163,IF(E163="", "]", "] "),E163  ))</f>
        <v/>
      </c>
      <c r="B163" s="3"/>
    </row>
    <row r="164" customFormat="false" ht="16" hidden="false" customHeight="false" outlineLevel="0" collapsed="false">
      <c r="A164" s="3" t="str">
        <f aca="false">IF(B164=0,"",_xlfn.CONCAT(B164, " [", D164,IF(E164="", "]", "] "),E164  ))</f>
        <v/>
      </c>
      <c r="B164" s="3"/>
    </row>
    <row r="165" customFormat="false" ht="16" hidden="false" customHeight="false" outlineLevel="0" collapsed="false">
      <c r="A165" s="3" t="str">
        <f aca="false">IF(B165=0,"",_xlfn.CONCAT(B165, " [", D165,IF(E165="", "]", "] "),E165  ))</f>
        <v/>
      </c>
      <c r="B165" s="3"/>
    </row>
    <row r="166" customFormat="false" ht="16" hidden="false" customHeight="false" outlineLevel="0" collapsed="false">
      <c r="A166" s="3" t="str">
        <f aca="false">IF(B166=0,"",_xlfn.CONCAT(B166, " [", D166,IF(E166="", "]", "] "),E166  ))</f>
        <v/>
      </c>
      <c r="B166" s="3"/>
    </row>
    <row r="167" customFormat="false" ht="16" hidden="false" customHeight="false" outlineLevel="0" collapsed="false">
      <c r="A167" s="3" t="str">
        <f aca="false">IF(B167=0,"",_xlfn.CONCAT(B167, " [", D167,IF(E167="", "]", "] "),E167  ))</f>
        <v/>
      </c>
      <c r="B167" s="3"/>
    </row>
    <row r="168" customFormat="false" ht="16" hidden="false" customHeight="false" outlineLevel="0" collapsed="false">
      <c r="A168" s="3" t="str">
        <f aca="false">IF(B168=0,"",_xlfn.CONCAT(B168, " [", D168,IF(E168="", "]", "] "),E168  ))</f>
        <v/>
      </c>
      <c r="B168" s="3"/>
    </row>
    <row r="169" customFormat="false" ht="16" hidden="false" customHeight="false" outlineLevel="0" collapsed="false">
      <c r="A169" s="3" t="str">
        <f aca="false">IF(B169=0,"",_xlfn.CONCAT(B169, " [", D169,IF(E169="", "]", "] "),E169  ))</f>
        <v/>
      </c>
      <c r="B169" s="3"/>
    </row>
    <row r="170" customFormat="false" ht="16" hidden="false" customHeight="false" outlineLevel="0" collapsed="false">
      <c r="A170" s="3" t="str">
        <f aca="false">IF(B170=0,"",_xlfn.CONCAT(B170, " [", D170,IF(E170="", "]", "] "),E170  ))</f>
        <v/>
      </c>
      <c r="B170" s="3"/>
    </row>
    <row r="171" customFormat="false" ht="16" hidden="false" customHeight="false" outlineLevel="0" collapsed="false">
      <c r="A171" s="3" t="str">
        <f aca="false">IF(B171=0,"",_xlfn.CONCAT(B171, " [", D171,IF(E171="", "]", "] "),E171  ))</f>
        <v/>
      </c>
      <c r="B171" s="3"/>
    </row>
    <row r="172" customFormat="false" ht="16" hidden="false" customHeight="false" outlineLevel="0" collapsed="false">
      <c r="A172" s="3" t="str">
        <f aca="false">IF(B172=0,"",_xlfn.CONCAT(B172, " [", D172,IF(E172="", "]", "] "),E172  ))</f>
        <v/>
      </c>
      <c r="B172" s="3"/>
    </row>
    <row r="173" customFormat="false" ht="16" hidden="false" customHeight="false" outlineLevel="0" collapsed="false">
      <c r="A173" s="3" t="str">
        <f aca="false">IF(B173=0,"",_xlfn.CONCAT(B173, " [", D173,IF(E173="", "]", "] "),E173  ))</f>
        <v/>
      </c>
      <c r="B173" s="3"/>
    </row>
    <row r="174" customFormat="false" ht="16" hidden="false" customHeight="false" outlineLevel="0" collapsed="false">
      <c r="A174" s="3" t="str">
        <f aca="false">IF(B174=0,"",_xlfn.CONCAT(B174, " [", D174,IF(E174="", "]", "] "),E174  ))</f>
        <v/>
      </c>
      <c r="B174" s="3"/>
    </row>
    <row r="175" customFormat="false" ht="16" hidden="false" customHeight="false" outlineLevel="0" collapsed="false">
      <c r="A175" s="3" t="str">
        <f aca="false">IF(B175=0,"",_xlfn.CONCAT(B175, " [", D175,IF(E175="", "]", "] "),E175  ))</f>
        <v/>
      </c>
      <c r="B175" s="3"/>
    </row>
    <row r="176" customFormat="false" ht="16" hidden="false" customHeight="false" outlineLevel="0" collapsed="false">
      <c r="A176" s="3" t="str">
        <f aca="false">IF(B176=0,"",_xlfn.CONCAT(B176, " [", D176,IF(E176="", "]", "] "),E176  ))</f>
        <v/>
      </c>
      <c r="B176" s="3"/>
    </row>
    <row r="177" customFormat="false" ht="16" hidden="false" customHeight="false" outlineLevel="0" collapsed="false">
      <c r="A177" s="3" t="str">
        <f aca="false">IF(B177=0,"",_xlfn.CONCAT(B177, " [", D177,IF(E177="", "]", "] "),E177  ))</f>
        <v/>
      </c>
      <c r="B177" s="3"/>
    </row>
    <row r="178" customFormat="false" ht="16" hidden="false" customHeight="false" outlineLevel="0" collapsed="false">
      <c r="A178" s="3" t="str">
        <f aca="false">IF(B178=0,"",_xlfn.CONCAT(B178, " [", D178,IF(E178="", "]", "] "),E178  ))</f>
        <v/>
      </c>
      <c r="B178" s="3"/>
    </row>
    <row r="179" customFormat="false" ht="16" hidden="false" customHeight="false" outlineLevel="0" collapsed="false">
      <c r="A179" s="3" t="str">
        <f aca="false">IF(B179=0,"",_xlfn.CONCAT(B179, " [", D179,IF(E179="", "]", "] "),E179  ))</f>
        <v/>
      </c>
      <c r="B179" s="3"/>
    </row>
    <row r="180" customFormat="false" ht="16" hidden="false" customHeight="false" outlineLevel="0" collapsed="false">
      <c r="A180" s="3" t="str">
        <f aca="false">IF(B180=0,"",_xlfn.CONCAT(B180, " [", D180,IF(E180="", "]", "] "),E180  ))</f>
        <v/>
      </c>
      <c r="B180" s="3"/>
    </row>
    <row r="181" customFormat="false" ht="16" hidden="false" customHeight="false" outlineLevel="0" collapsed="false">
      <c r="A181" s="3" t="str">
        <f aca="false">IF(B181=0,"",_xlfn.CONCAT(B181, " [", D181,IF(E181="", "]", "] "),E181  ))</f>
        <v/>
      </c>
      <c r="B181" s="3"/>
    </row>
    <row r="182" customFormat="false" ht="16" hidden="false" customHeight="false" outlineLevel="0" collapsed="false">
      <c r="A182" s="3" t="str">
        <f aca="false">IF(B182=0,"",_xlfn.CONCAT(B182, " [", D182,IF(E182="", "]", "] "),E182  ))</f>
        <v/>
      </c>
      <c r="B182" s="3"/>
    </row>
    <row r="183" customFormat="false" ht="16" hidden="false" customHeight="false" outlineLevel="0" collapsed="false">
      <c r="A183" s="3" t="str">
        <f aca="false">IF(B183=0,"",_xlfn.CONCAT(B183, " [", D183,IF(E183="", "]", "] "),E183  ))</f>
        <v/>
      </c>
      <c r="B183" s="3"/>
    </row>
    <row r="184" customFormat="false" ht="16" hidden="false" customHeight="false" outlineLevel="0" collapsed="false">
      <c r="A184" s="3" t="str">
        <f aca="false">IF(B184=0,"",_xlfn.CONCAT(B184, " [", D184,IF(E184="", "]", "] "),E184  ))</f>
        <v/>
      </c>
      <c r="B184" s="3"/>
    </row>
    <row r="185" customFormat="false" ht="16" hidden="false" customHeight="false" outlineLevel="0" collapsed="false">
      <c r="A185" s="3" t="str">
        <f aca="false">IF(B185=0,"",_xlfn.CONCAT(B185, " [", D185,IF(E185="", "]", "] "),E185  ))</f>
        <v/>
      </c>
      <c r="B185" s="3"/>
    </row>
    <row r="186" customFormat="false" ht="16" hidden="false" customHeight="false" outlineLevel="0" collapsed="false">
      <c r="A186" s="3" t="str">
        <f aca="false">IF(B186=0,"",_xlfn.CONCAT(B186, " [", D186,IF(E186="", "]", "] "),E186  ))</f>
        <v/>
      </c>
      <c r="B186" s="3"/>
    </row>
    <row r="187" customFormat="false" ht="16" hidden="false" customHeight="false" outlineLevel="0" collapsed="false">
      <c r="A187" s="3" t="str">
        <f aca="false">IF(B187=0,"",_xlfn.CONCAT(B187, " [", D187,IF(E187="", "]", "] "),E187  ))</f>
        <v/>
      </c>
      <c r="B187" s="3"/>
    </row>
    <row r="188" customFormat="false" ht="16" hidden="false" customHeight="false" outlineLevel="0" collapsed="false">
      <c r="A188" s="3" t="str">
        <f aca="false">IF(B188=0,"",_xlfn.CONCAT(B188, " [", D188,IF(E188="", "]", "] "),E188  ))</f>
        <v/>
      </c>
      <c r="B188" s="3"/>
    </row>
    <row r="189" customFormat="false" ht="16" hidden="false" customHeight="false" outlineLevel="0" collapsed="false">
      <c r="A189" s="3" t="str">
        <f aca="false">IF(B189=0,"",_xlfn.CONCAT(B189, " [", D189,IF(E189="", "]", "] "),E189  ))</f>
        <v/>
      </c>
      <c r="B189" s="3"/>
    </row>
    <row r="190" customFormat="false" ht="16" hidden="false" customHeight="false" outlineLevel="0" collapsed="false">
      <c r="A190" s="3" t="str">
        <f aca="false">IF(B190=0,"",_xlfn.CONCAT(B190, " [", D190,IF(E190="", "]", "] "),E190  ))</f>
        <v/>
      </c>
      <c r="B190" s="3"/>
    </row>
    <row r="191" customFormat="false" ht="16" hidden="false" customHeight="false" outlineLevel="0" collapsed="false">
      <c r="A191" s="3" t="str">
        <f aca="false">IF(B191=0,"",_xlfn.CONCAT(B191, " [", D191,IF(E191="", "]", "] "),E191  ))</f>
        <v/>
      </c>
      <c r="B191" s="3"/>
    </row>
    <row r="192" customFormat="false" ht="16" hidden="false" customHeight="false" outlineLevel="0" collapsed="false">
      <c r="A192" s="3" t="str">
        <f aca="false">IF(B192=0,"",_xlfn.CONCAT(B192, " [", D192,IF(E192="", "]", "] "),E192  ))</f>
        <v/>
      </c>
      <c r="B192" s="3"/>
    </row>
    <row r="193" customFormat="false" ht="16" hidden="false" customHeight="false" outlineLevel="0" collapsed="false">
      <c r="A193" s="3" t="str">
        <f aca="false">IF(B193=0,"",_xlfn.CONCAT(B193, " [", D193,IF(E193="", "]", "] "),E193  ))</f>
        <v/>
      </c>
      <c r="B193" s="3"/>
    </row>
    <row r="194" customFormat="false" ht="16" hidden="false" customHeight="false" outlineLevel="0" collapsed="false">
      <c r="A194" s="3" t="str">
        <f aca="false">IF(B194=0,"",_xlfn.CONCAT(B194, " [", D194,IF(E194="", "]", "] "),E194  ))</f>
        <v/>
      </c>
      <c r="B194" s="3"/>
    </row>
    <row r="195" customFormat="false" ht="16" hidden="false" customHeight="false" outlineLevel="0" collapsed="false">
      <c r="A195" s="3" t="str">
        <f aca="false">IF(B195=0,"",_xlfn.CONCAT(B195, " [", D195,IF(E195="", "]", "] "),E195  ))</f>
        <v/>
      </c>
      <c r="B195" s="3"/>
    </row>
    <row r="196" customFormat="false" ht="16" hidden="false" customHeight="false" outlineLevel="0" collapsed="false">
      <c r="A196" s="3" t="str">
        <f aca="false">IF(B196=0,"",_xlfn.CONCAT(B196, " [", D196,IF(E196="", "]", "] "),E196  ))</f>
        <v/>
      </c>
      <c r="B196" s="3"/>
    </row>
    <row r="197" customFormat="false" ht="16" hidden="false" customHeight="false" outlineLevel="0" collapsed="false">
      <c r="A197" s="3" t="str">
        <f aca="false">IF(B197=0,"",_xlfn.CONCAT(B197, " [", D197,IF(E197="", "]", "] "),E197  ))</f>
        <v/>
      </c>
      <c r="B197" s="3"/>
    </row>
    <row r="198" customFormat="false" ht="16" hidden="false" customHeight="false" outlineLevel="0" collapsed="false">
      <c r="A198" s="3" t="str">
        <f aca="false">IF(B198=0,"",_xlfn.CONCAT(B198, " [", D198,IF(E198="", "]", "] "),E198  ))</f>
        <v/>
      </c>
      <c r="B198" s="3"/>
    </row>
    <row r="199" customFormat="false" ht="16" hidden="false" customHeight="false" outlineLevel="0" collapsed="false">
      <c r="A199" s="3" t="str">
        <f aca="false">IF(B199=0,"",_xlfn.CONCAT(B199, " [", D199,IF(E199="", "]", "] "),E199  ))</f>
        <v/>
      </c>
      <c r="B199" s="3"/>
    </row>
    <row r="200" customFormat="false" ht="16" hidden="false" customHeight="false" outlineLevel="0" collapsed="false">
      <c r="A200" s="3" t="str">
        <f aca="false">IF(B200=0,"",_xlfn.CONCAT(B200, " [", D200,IF(E200="", "]", "] "),E200  ))</f>
        <v/>
      </c>
      <c r="B200" s="3"/>
    </row>
    <row r="201" customFormat="false" ht="16" hidden="false" customHeight="false" outlineLevel="0" collapsed="false">
      <c r="A201" s="3" t="str">
        <f aca="false">IF(B201=0,"",_xlfn.CONCAT(B201, " [", D201,IF(E201="", "]", "] "),E201  ))</f>
        <v/>
      </c>
      <c r="B201" s="3"/>
    </row>
    <row r="202" customFormat="false" ht="16" hidden="false" customHeight="false" outlineLevel="0" collapsed="false">
      <c r="A202" s="3" t="str">
        <f aca="false">IF(B202=0,"",_xlfn.CONCAT(B202, " [", D202,IF(E202="", "]", "] "),E202  ))</f>
        <v/>
      </c>
      <c r="B202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86" activePane="bottomRight" state="frozen"/>
      <selection pane="topLeft" activeCell="A1" activeCellId="0" sqref="A1"/>
      <selection pane="topRight" activeCell="B1" activeCellId="0" sqref="B1"/>
      <selection pane="bottomLeft" activeCell="A86" activeCellId="0" sqref="A86"/>
      <selection pane="bottomRight" activeCell="C1" activeCellId="0" sqref="C1"/>
    </sheetView>
  </sheetViews>
  <sheetFormatPr defaultColWidth="8.62109375" defaultRowHeight="16" zeroHeight="false" outlineLevelRow="0" outlineLevelCol="0"/>
  <cols>
    <col collapsed="false" customWidth="true" hidden="false" outlineLevel="0" max="1" min="1" style="3" width="22.5"/>
    <col collapsed="false" customWidth="true" hidden="false" outlineLevel="0" max="2" min="2" style="3" width="90"/>
    <col collapsed="false" customWidth="true" hidden="false" outlineLevel="0" max="3" min="3" style="1" width="19.83"/>
    <col collapsed="false" customWidth="true" hidden="false" outlineLevel="0" max="4" min="4" style="1" width="4.33"/>
    <col collapsed="false" customWidth="true" hidden="false" outlineLevel="0" max="5" min="5" style="1" width="36.33"/>
    <col collapsed="false" customWidth="true" hidden="false" outlineLevel="0" max="6" min="6" style="1" width="20.83"/>
    <col collapsed="false" customWidth="true" hidden="false" outlineLevel="0" max="7" min="7" style="1" width="62.84"/>
    <col collapsed="false" customWidth="false" hidden="false" outlineLevel="0" max="1023" min="8" style="1" width="8.67"/>
    <col collapsed="false" customWidth="true" hidden="false" outlineLevel="0" max="1025" min="1024" style="1" width="9.16"/>
  </cols>
  <sheetData>
    <row r="1" s="2" customFormat="true" ht="26.5" hidden="false" customHeight="true" outlineLevel="0" collapsed="false">
      <c r="A1" s="2" t="s">
        <v>354</v>
      </c>
      <c r="B1" s="2" t="s">
        <v>1</v>
      </c>
      <c r="C1" s="2" t="s">
        <v>245</v>
      </c>
      <c r="D1" s="2" t="s">
        <v>3</v>
      </c>
      <c r="E1" s="2" t="s">
        <v>355</v>
      </c>
      <c r="F1" s="2" t="s">
        <v>356</v>
      </c>
      <c r="G1" s="2" t="s">
        <v>357</v>
      </c>
    </row>
    <row r="2" customFormat="false" ht="26.5" hidden="true" customHeight="true" outlineLevel="0" collapsed="false"/>
    <row r="3" customFormat="false" ht="16" hidden="false" customHeight="false" outlineLevel="0" collapsed="false">
      <c r="A3" s="3" t="s">
        <v>358</v>
      </c>
      <c r="B3" s="3" t="s">
        <v>359</v>
      </c>
      <c r="C3" s="1" t="s">
        <v>360</v>
      </c>
      <c r="D3" s="1" t="s">
        <v>7</v>
      </c>
    </row>
    <row r="4" customFormat="false" ht="16" hidden="false" customHeight="false" outlineLevel="0" collapsed="false">
      <c r="A4" s="3" t="s">
        <v>361</v>
      </c>
      <c r="B4" s="3" t="s">
        <v>362</v>
      </c>
      <c r="C4" s="1" t="s">
        <v>360</v>
      </c>
      <c r="D4" s="1" t="s">
        <v>7</v>
      </c>
    </row>
    <row r="5" customFormat="false" ht="16" hidden="false" customHeight="false" outlineLevel="0" collapsed="false">
      <c r="A5" s="3" t="s">
        <v>363</v>
      </c>
      <c r="B5" s="3" t="s">
        <v>364</v>
      </c>
      <c r="C5" s="1" t="s">
        <v>360</v>
      </c>
      <c r="D5" s="1" t="s">
        <v>7</v>
      </c>
    </row>
    <row r="6" customFormat="false" ht="16" hidden="false" customHeight="false" outlineLevel="0" collapsed="false">
      <c r="A6" s="3" t="s">
        <v>365</v>
      </c>
      <c r="B6" s="3" t="s">
        <v>366</v>
      </c>
      <c r="C6" s="1" t="s">
        <v>360</v>
      </c>
      <c r="D6" s="1" t="s">
        <v>7</v>
      </c>
    </row>
    <row r="7" customFormat="false" ht="16" hidden="false" customHeight="false" outlineLevel="0" collapsed="false">
      <c r="A7" s="3" t="s">
        <v>367</v>
      </c>
      <c r="B7" s="3" t="s">
        <v>368</v>
      </c>
      <c r="C7" s="1" t="s">
        <v>360</v>
      </c>
      <c r="D7" s="1" t="s">
        <v>7</v>
      </c>
    </row>
    <row r="8" customFormat="false" ht="16" hidden="false" customHeight="false" outlineLevel="0" collapsed="false">
      <c r="A8" s="3" t="s">
        <v>369</v>
      </c>
      <c r="B8" s="3" t="s">
        <v>370</v>
      </c>
      <c r="C8" s="1" t="s">
        <v>360</v>
      </c>
      <c r="D8" s="1" t="s">
        <v>7</v>
      </c>
    </row>
    <row r="9" customFormat="false" ht="16" hidden="false" customHeight="false" outlineLevel="0" collapsed="false">
      <c r="A9" s="3" t="s">
        <v>371</v>
      </c>
      <c r="B9" s="3" t="s">
        <v>372</v>
      </c>
      <c r="C9" s="1" t="s">
        <v>360</v>
      </c>
      <c r="D9" s="1" t="s">
        <v>7</v>
      </c>
    </row>
    <row r="10" customFormat="false" ht="16" hidden="false" customHeight="false" outlineLevel="0" collapsed="false">
      <c r="A10" s="3" t="s">
        <v>373</v>
      </c>
      <c r="B10" s="3" t="s">
        <v>374</v>
      </c>
      <c r="C10" s="1" t="s">
        <v>360</v>
      </c>
      <c r="D10" s="1" t="s">
        <v>7</v>
      </c>
    </row>
    <row r="11" customFormat="false" ht="16" hidden="false" customHeight="false" outlineLevel="0" collapsed="false">
      <c r="A11" s="3" t="s">
        <v>375</v>
      </c>
      <c r="B11" s="3" t="s">
        <v>376</v>
      </c>
      <c r="C11" s="1" t="s">
        <v>360</v>
      </c>
      <c r="D11" s="1" t="s">
        <v>7</v>
      </c>
    </row>
    <row r="12" customFormat="false" ht="16" hidden="false" customHeight="false" outlineLevel="0" collapsed="false">
      <c r="A12" s="3" t="s">
        <v>377</v>
      </c>
      <c r="B12" s="3" t="s">
        <v>378</v>
      </c>
      <c r="C12" s="1" t="s">
        <v>360</v>
      </c>
      <c r="D12" s="1" t="s">
        <v>7</v>
      </c>
    </row>
    <row r="13" customFormat="false" ht="16" hidden="false" customHeight="false" outlineLevel="0" collapsed="false">
      <c r="A13" s="3" t="s">
        <v>379</v>
      </c>
      <c r="B13" s="3" t="s">
        <v>380</v>
      </c>
      <c r="C13" s="1" t="s">
        <v>360</v>
      </c>
      <c r="D13" s="1" t="s">
        <v>7</v>
      </c>
    </row>
    <row r="14" customFormat="false" ht="16" hidden="false" customHeight="false" outlineLevel="0" collapsed="false">
      <c r="A14" s="3" t="s">
        <v>381</v>
      </c>
      <c r="B14" s="3" t="s">
        <v>382</v>
      </c>
      <c r="C14" s="1" t="s">
        <v>360</v>
      </c>
      <c r="D14" s="1" t="s">
        <v>7</v>
      </c>
    </row>
    <row r="15" customFormat="false" ht="16" hidden="false" customHeight="false" outlineLevel="0" collapsed="false">
      <c r="A15" s="3" t="s">
        <v>383</v>
      </c>
      <c r="B15" s="3" t="s">
        <v>384</v>
      </c>
      <c r="C15" s="1" t="s">
        <v>360</v>
      </c>
      <c r="D15" s="1" t="s">
        <v>7</v>
      </c>
    </row>
    <row r="16" customFormat="false" ht="16" hidden="false" customHeight="false" outlineLevel="0" collapsed="false">
      <c r="A16" s="3" t="s">
        <v>385</v>
      </c>
      <c r="B16" s="3" t="s">
        <v>386</v>
      </c>
      <c r="C16" s="1" t="s">
        <v>360</v>
      </c>
      <c r="D16" s="1" t="s">
        <v>7</v>
      </c>
    </row>
    <row r="17" customFormat="false" ht="16" hidden="false" customHeight="false" outlineLevel="0" collapsed="false">
      <c r="A17" s="3" t="s">
        <v>387</v>
      </c>
      <c r="B17" s="3" t="s">
        <v>388</v>
      </c>
      <c r="C17" s="1" t="s">
        <v>360</v>
      </c>
      <c r="D17" s="1" t="s">
        <v>7</v>
      </c>
    </row>
    <row r="18" customFormat="false" ht="16" hidden="false" customHeight="false" outlineLevel="0" collapsed="false">
      <c r="A18" s="3" t="s">
        <v>389</v>
      </c>
      <c r="B18" s="3" t="s">
        <v>390</v>
      </c>
      <c r="C18" s="1" t="s">
        <v>360</v>
      </c>
      <c r="D18" s="1" t="s">
        <v>7</v>
      </c>
    </row>
    <row r="19" customFormat="false" ht="16" hidden="false" customHeight="false" outlineLevel="0" collapsed="false">
      <c r="A19" s="3" t="s">
        <v>391</v>
      </c>
      <c r="B19" s="3" t="s">
        <v>392</v>
      </c>
      <c r="C19" s="1" t="s">
        <v>360</v>
      </c>
      <c r="D19" s="1" t="s">
        <v>7</v>
      </c>
    </row>
    <row r="20" customFormat="false" ht="16" hidden="false" customHeight="false" outlineLevel="0" collapsed="false">
      <c r="A20" s="3" t="s">
        <v>393</v>
      </c>
      <c r="B20" s="3" t="s">
        <v>394</v>
      </c>
      <c r="C20" s="1" t="s">
        <v>360</v>
      </c>
      <c r="D20" s="1" t="s">
        <v>7</v>
      </c>
    </row>
    <row r="21" customFormat="false" ht="16" hidden="false" customHeight="false" outlineLevel="0" collapsed="false">
      <c r="A21" s="3" t="s">
        <v>395</v>
      </c>
      <c r="B21" s="3" t="s">
        <v>396</v>
      </c>
      <c r="C21" s="1" t="s">
        <v>360</v>
      </c>
      <c r="D21" s="1" t="s">
        <v>7</v>
      </c>
    </row>
    <row r="22" customFormat="false" ht="16" hidden="false" customHeight="false" outlineLevel="0" collapsed="false">
      <c r="A22" s="3" t="s">
        <v>397</v>
      </c>
      <c r="B22" s="3" t="s">
        <v>398</v>
      </c>
      <c r="C22" s="1" t="s">
        <v>360</v>
      </c>
      <c r="D22" s="1" t="s">
        <v>7</v>
      </c>
    </row>
    <row r="23" customFormat="false" ht="16" hidden="false" customHeight="false" outlineLevel="0" collapsed="false">
      <c r="A23" s="3" t="s">
        <v>399</v>
      </c>
      <c r="B23" s="3" t="s">
        <v>400</v>
      </c>
      <c r="C23" s="1" t="s">
        <v>360</v>
      </c>
      <c r="D23" s="1" t="s">
        <v>7</v>
      </c>
    </row>
    <row r="24" customFormat="false" ht="16" hidden="false" customHeight="false" outlineLevel="0" collapsed="false">
      <c r="A24" s="3" t="s">
        <v>401</v>
      </c>
      <c r="B24" s="3" t="s">
        <v>402</v>
      </c>
      <c r="C24" s="1" t="s">
        <v>360</v>
      </c>
      <c r="D24" s="1" t="s">
        <v>7</v>
      </c>
    </row>
    <row r="25" customFormat="false" ht="16" hidden="false" customHeight="false" outlineLevel="0" collapsed="false">
      <c r="A25" s="3" t="s">
        <v>403</v>
      </c>
      <c r="B25" s="3" t="s">
        <v>404</v>
      </c>
      <c r="C25" s="1" t="s">
        <v>360</v>
      </c>
      <c r="D25" s="1" t="s">
        <v>7</v>
      </c>
    </row>
    <row r="26" customFormat="false" ht="16" hidden="false" customHeight="false" outlineLevel="0" collapsed="false">
      <c r="A26" s="3" t="s">
        <v>405</v>
      </c>
      <c r="B26" s="3" t="s">
        <v>406</v>
      </c>
      <c r="C26" s="1" t="s">
        <v>360</v>
      </c>
      <c r="D26" s="1" t="s">
        <v>7</v>
      </c>
    </row>
    <row r="27" customFormat="false" ht="16" hidden="false" customHeight="false" outlineLevel="0" collapsed="false">
      <c r="A27" s="3" t="s">
        <v>407</v>
      </c>
      <c r="B27" s="3" t="s">
        <v>408</v>
      </c>
      <c r="C27" s="1" t="s">
        <v>360</v>
      </c>
      <c r="D27" s="1" t="s">
        <v>7</v>
      </c>
    </row>
    <row r="28" customFormat="false" ht="16" hidden="false" customHeight="false" outlineLevel="0" collapsed="false">
      <c r="A28" s="3" t="s">
        <v>409</v>
      </c>
      <c r="B28" s="3" t="s">
        <v>410</v>
      </c>
      <c r="C28" s="1" t="s">
        <v>360</v>
      </c>
      <c r="D28" s="1" t="s">
        <v>7</v>
      </c>
    </row>
    <row r="29" customFormat="false" ht="16" hidden="false" customHeight="false" outlineLevel="0" collapsed="false">
      <c r="A29" s="3" t="s">
        <v>411</v>
      </c>
      <c r="B29" s="3" t="s">
        <v>412</v>
      </c>
      <c r="C29" s="1" t="s">
        <v>360</v>
      </c>
      <c r="D29" s="1" t="s">
        <v>7</v>
      </c>
    </row>
    <row r="30" customFormat="false" ht="16" hidden="false" customHeight="false" outlineLevel="0" collapsed="false">
      <c r="A30" s="3" t="s">
        <v>413</v>
      </c>
      <c r="B30" s="3" t="s">
        <v>414</v>
      </c>
      <c r="C30" s="1" t="s">
        <v>360</v>
      </c>
      <c r="D30" s="1" t="s">
        <v>7</v>
      </c>
    </row>
    <row r="31" customFormat="false" ht="16" hidden="false" customHeight="false" outlineLevel="0" collapsed="false">
      <c r="A31" s="3" t="s">
        <v>415</v>
      </c>
      <c r="B31" s="3" t="s">
        <v>416</v>
      </c>
      <c r="C31" s="1" t="s">
        <v>360</v>
      </c>
      <c r="D31" s="1" t="s">
        <v>7</v>
      </c>
    </row>
    <row r="32" customFormat="false" ht="16" hidden="false" customHeight="false" outlineLevel="0" collapsed="false">
      <c r="A32" s="3" t="s">
        <v>417</v>
      </c>
      <c r="B32" s="3" t="s">
        <v>418</v>
      </c>
      <c r="C32" s="1" t="s">
        <v>360</v>
      </c>
      <c r="D32" s="1" t="s">
        <v>7</v>
      </c>
    </row>
    <row r="33" customFormat="false" ht="16" hidden="false" customHeight="false" outlineLevel="0" collapsed="false">
      <c r="A33" s="3" t="s">
        <v>419</v>
      </c>
      <c r="B33" s="3" t="s">
        <v>420</v>
      </c>
      <c r="C33" s="1" t="s">
        <v>360</v>
      </c>
      <c r="D33" s="1" t="s">
        <v>7</v>
      </c>
    </row>
    <row r="34" customFormat="false" ht="16" hidden="false" customHeight="false" outlineLevel="0" collapsed="false">
      <c r="A34" s="3" t="s">
        <v>421</v>
      </c>
      <c r="B34" s="3" t="s">
        <v>422</v>
      </c>
      <c r="C34" s="1" t="s">
        <v>360</v>
      </c>
      <c r="D34" s="1" t="s">
        <v>7</v>
      </c>
    </row>
    <row r="35" customFormat="false" ht="16" hidden="false" customHeight="false" outlineLevel="0" collapsed="false">
      <c r="A35" s="3" t="s">
        <v>423</v>
      </c>
      <c r="B35" s="3" t="s">
        <v>424</v>
      </c>
      <c r="C35" s="1" t="s">
        <v>360</v>
      </c>
      <c r="D35" s="1" t="s">
        <v>7</v>
      </c>
    </row>
    <row r="36" customFormat="false" ht="16" hidden="false" customHeight="false" outlineLevel="0" collapsed="false">
      <c r="A36" s="3" t="s">
        <v>425</v>
      </c>
      <c r="B36" s="3" t="s">
        <v>426</v>
      </c>
      <c r="C36" s="1" t="s">
        <v>360</v>
      </c>
      <c r="D36" s="1" t="s">
        <v>7</v>
      </c>
    </row>
    <row r="37" customFormat="false" ht="16" hidden="false" customHeight="false" outlineLevel="0" collapsed="false">
      <c r="A37" s="3" t="s">
        <v>427</v>
      </c>
      <c r="B37" s="3" t="s">
        <v>428</v>
      </c>
      <c r="C37" s="1" t="s">
        <v>360</v>
      </c>
      <c r="D37" s="1" t="s">
        <v>7</v>
      </c>
    </row>
    <row r="38" customFormat="false" ht="16" hidden="false" customHeight="false" outlineLevel="0" collapsed="false">
      <c r="A38" s="3" t="s">
        <v>429</v>
      </c>
      <c r="B38" s="3" t="s">
        <v>430</v>
      </c>
      <c r="C38" s="1" t="s">
        <v>360</v>
      </c>
      <c r="D38" s="1" t="s">
        <v>7</v>
      </c>
    </row>
    <row r="39" customFormat="false" ht="16" hidden="false" customHeight="false" outlineLevel="0" collapsed="false">
      <c r="A39" s="3" t="s">
        <v>431</v>
      </c>
      <c r="B39" s="3" t="s">
        <v>432</v>
      </c>
      <c r="C39" s="1" t="s">
        <v>360</v>
      </c>
      <c r="D39" s="1" t="s">
        <v>7</v>
      </c>
    </row>
    <row r="40" customFormat="false" ht="16" hidden="false" customHeight="false" outlineLevel="0" collapsed="false">
      <c r="A40" s="3" t="s">
        <v>433</v>
      </c>
      <c r="B40" s="3" t="s">
        <v>434</v>
      </c>
      <c r="C40" s="1" t="s">
        <v>360</v>
      </c>
      <c r="D40" s="1" t="s">
        <v>7</v>
      </c>
    </row>
    <row r="41" customFormat="false" ht="16" hidden="false" customHeight="false" outlineLevel="0" collapsed="false">
      <c r="A41" s="3" t="s">
        <v>435</v>
      </c>
      <c r="B41" s="3" t="s">
        <v>436</v>
      </c>
      <c r="C41" s="1" t="s">
        <v>360</v>
      </c>
      <c r="D41" s="1" t="s">
        <v>7</v>
      </c>
    </row>
    <row r="42" customFormat="false" ht="16" hidden="false" customHeight="false" outlineLevel="0" collapsed="false">
      <c r="A42" s="3" t="s">
        <v>437</v>
      </c>
      <c r="B42" s="3" t="s">
        <v>438</v>
      </c>
      <c r="C42" s="1" t="s">
        <v>360</v>
      </c>
      <c r="D42" s="1" t="s">
        <v>7</v>
      </c>
    </row>
    <row r="43" customFormat="false" ht="16" hidden="false" customHeight="false" outlineLevel="0" collapsed="false">
      <c r="A43" s="3" t="s">
        <v>439</v>
      </c>
      <c r="B43" s="3" t="s">
        <v>440</v>
      </c>
      <c r="C43" s="1" t="s">
        <v>360</v>
      </c>
      <c r="D43" s="1" t="s">
        <v>7</v>
      </c>
    </row>
    <row r="44" customFormat="false" ht="16" hidden="false" customHeight="false" outlineLevel="0" collapsed="false">
      <c r="A44" s="3" t="s">
        <v>441</v>
      </c>
      <c r="B44" s="3" t="s">
        <v>442</v>
      </c>
      <c r="C44" s="1" t="s">
        <v>360</v>
      </c>
      <c r="D44" s="1" t="s">
        <v>7</v>
      </c>
    </row>
    <row r="45" customFormat="false" ht="16" hidden="false" customHeight="false" outlineLevel="0" collapsed="false">
      <c r="A45" s="3" t="s">
        <v>443</v>
      </c>
      <c r="B45" s="3" t="s">
        <v>444</v>
      </c>
      <c r="C45" s="1" t="s">
        <v>360</v>
      </c>
      <c r="D45" s="1" t="s">
        <v>7</v>
      </c>
    </row>
    <row r="46" customFormat="false" ht="16" hidden="false" customHeight="false" outlineLevel="0" collapsed="false">
      <c r="A46" s="3" t="s">
        <v>445</v>
      </c>
      <c r="B46" s="3" t="s">
        <v>446</v>
      </c>
      <c r="C46" s="1" t="s">
        <v>360</v>
      </c>
      <c r="D46" s="1" t="s">
        <v>7</v>
      </c>
    </row>
    <row r="47" customFormat="false" ht="16" hidden="false" customHeight="false" outlineLevel="0" collapsed="false">
      <c r="A47" s="3" t="s">
        <v>447</v>
      </c>
      <c r="B47" s="3" t="s">
        <v>448</v>
      </c>
      <c r="C47" s="1" t="s">
        <v>360</v>
      </c>
      <c r="D47" s="1" t="s">
        <v>7</v>
      </c>
    </row>
    <row r="48" customFormat="false" ht="16" hidden="false" customHeight="false" outlineLevel="0" collapsed="false">
      <c r="A48" s="3" t="s">
        <v>449</v>
      </c>
      <c r="B48" s="3" t="s">
        <v>450</v>
      </c>
      <c r="C48" s="1" t="s">
        <v>360</v>
      </c>
      <c r="D48" s="1" t="s">
        <v>7</v>
      </c>
    </row>
    <row r="49" customFormat="false" ht="16" hidden="false" customHeight="false" outlineLevel="0" collapsed="false">
      <c r="A49" s="3" t="s">
        <v>451</v>
      </c>
      <c r="B49" s="3" t="s">
        <v>452</v>
      </c>
      <c r="C49" s="1" t="s">
        <v>360</v>
      </c>
      <c r="D49" s="1" t="s">
        <v>7</v>
      </c>
    </row>
    <row r="50" customFormat="false" ht="16" hidden="false" customHeight="false" outlineLevel="0" collapsed="false">
      <c r="A50" s="3" t="s">
        <v>453</v>
      </c>
      <c r="B50" s="3" t="s">
        <v>454</v>
      </c>
      <c r="C50" s="1" t="s">
        <v>360</v>
      </c>
      <c r="D50" s="1" t="s">
        <v>7</v>
      </c>
    </row>
    <row r="51" customFormat="false" ht="16" hidden="false" customHeight="false" outlineLevel="0" collapsed="false">
      <c r="A51" s="3" t="s">
        <v>455</v>
      </c>
      <c r="B51" s="3" t="s">
        <v>456</v>
      </c>
      <c r="C51" s="1" t="s">
        <v>360</v>
      </c>
      <c r="D51" s="1" t="s">
        <v>7</v>
      </c>
    </row>
    <row r="52" customFormat="false" ht="16" hidden="false" customHeight="false" outlineLevel="0" collapsed="false">
      <c r="A52" s="3" t="s">
        <v>457</v>
      </c>
      <c r="B52" s="3" t="s">
        <v>458</v>
      </c>
      <c r="C52" s="1" t="s">
        <v>360</v>
      </c>
      <c r="D52" s="1" t="s">
        <v>7</v>
      </c>
    </row>
    <row r="53" customFormat="false" ht="16" hidden="false" customHeight="false" outlineLevel="0" collapsed="false">
      <c r="A53" s="3" t="s">
        <v>459</v>
      </c>
      <c r="B53" s="3" t="s">
        <v>460</v>
      </c>
      <c r="C53" s="1" t="s">
        <v>360</v>
      </c>
      <c r="D53" s="1" t="s">
        <v>7</v>
      </c>
    </row>
    <row r="54" customFormat="false" ht="16" hidden="false" customHeight="false" outlineLevel="0" collapsed="false">
      <c r="A54" s="3" t="s">
        <v>461</v>
      </c>
      <c r="B54" s="3" t="s">
        <v>462</v>
      </c>
      <c r="C54" s="1" t="s">
        <v>360</v>
      </c>
      <c r="D54" s="1" t="s">
        <v>7</v>
      </c>
    </row>
    <row r="55" customFormat="false" ht="16" hidden="false" customHeight="false" outlineLevel="0" collapsed="false">
      <c r="A55" s="3" t="s">
        <v>463</v>
      </c>
      <c r="B55" s="3" t="s">
        <v>464</v>
      </c>
      <c r="C55" s="1" t="s">
        <v>360</v>
      </c>
      <c r="D55" s="1" t="s">
        <v>7</v>
      </c>
    </row>
    <row r="56" customFormat="false" ht="16" hidden="false" customHeight="false" outlineLevel="0" collapsed="false">
      <c r="A56" s="3" t="s">
        <v>465</v>
      </c>
      <c r="B56" s="3" t="s">
        <v>466</v>
      </c>
      <c r="C56" s="1" t="s">
        <v>360</v>
      </c>
      <c r="D56" s="1" t="s">
        <v>7</v>
      </c>
    </row>
    <row r="57" customFormat="false" ht="16" hidden="false" customHeight="false" outlineLevel="0" collapsed="false">
      <c r="A57" s="3" t="s">
        <v>467</v>
      </c>
      <c r="B57" s="3" t="s">
        <v>468</v>
      </c>
      <c r="C57" s="1" t="s">
        <v>360</v>
      </c>
      <c r="D57" s="1" t="s">
        <v>7</v>
      </c>
    </row>
    <row r="58" customFormat="false" ht="16" hidden="false" customHeight="false" outlineLevel="0" collapsed="false">
      <c r="A58" s="3" t="s">
        <v>469</v>
      </c>
      <c r="B58" s="3" t="s">
        <v>470</v>
      </c>
      <c r="C58" s="1" t="s">
        <v>360</v>
      </c>
      <c r="D58" s="1" t="s">
        <v>7</v>
      </c>
    </row>
    <row r="59" customFormat="false" ht="16" hidden="false" customHeight="false" outlineLevel="0" collapsed="false">
      <c r="A59" s="3" t="s">
        <v>471</v>
      </c>
      <c r="B59" s="3" t="s">
        <v>472</v>
      </c>
      <c r="C59" s="1" t="s">
        <v>360</v>
      </c>
      <c r="D59" s="1" t="s">
        <v>7</v>
      </c>
    </row>
    <row r="60" customFormat="false" ht="16" hidden="false" customHeight="false" outlineLevel="0" collapsed="false">
      <c r="A60" s="3" t="s">
        <v>473</v>
      </c>
      <c r="B60" s="3" t="s">
        <v>474</v>
      </c>
      <c r="C60" s="1" t="s">
        <v>360</v>
      </c>
      <c r="D60" s="1" t="s">
        <v>7</v>
      </c>
    </row>
    <row r="61" customFormat="false" ht="16" hidden="false" customHeight="false" outlineLevel="0" collapsed="false">
      <c r="A61" s="3" t="s">
        <v>475</v>
      </c>
      <c r="B61" s="3" t="s">
        <v>476</v>
      </c>
      <c r="C61" s="1" t="s">
        <v>360</v>
      </c>
      <c r="D61" s="1" t="s">
        <v>7</v>
      </c>
    </row>
    <row r="62" customFormat="false" ht="16" hidden="false" customHeight="false" outlineLevel="0" collapsed="false">
      <c r="A62" s="3" t="s">
        <v>477</v>
      </c>
      <c r="B62" s="3" t="s">
        <v>478</v>
      </c>
      <c r="C62" s="1" t="s">
        <v>360</v>
      </c>
      <c r="D62" s="1" t="s">
        <v>7</v>
      </c>
    </row>
    <row r="63" customFormat="false" ht="16" hidden="false" customHeight="false" outlineLevel="0" collapsed="false">
      <c r="A63" s="3" t="s">
        <v>479</v>
      </c>
      <c r="B63" s="3" t="s">
        <v>480</v>
      </c>
      <c r="C63" s="1" t="s">
        <v>360</v>
      </c>
      <c r="D63" s="1" t="s">
        <v>7</v>
      </c>
    </row>
    <row r="64" customFormat="false" ht="16" hidden="false" customHeight="false" outlineLevel="0" collapsed="false">
      <c r="A64" s="3" t="s">
        <v>481</v>
      </c>
      <c r="B64" s="3" t="s">
        <v>482</v>
      </c>
      <c r="C64" s="1" t="s">
        <v>360</v>
      </c>
      <c r="D64" s="1" t="s">
        <v>7</v>
      </c>
    </row>
    <row r="65" customFormat="false" ht="16" hidden="false" customHeight="false" outlineLevel="0" collapsed="false">
      <c r="A65" s="3" t="s">
        <v>483</v>
      </c>
      <c r="B65" s="3" t="s">
        <v>484</v>
      </c>
      <c r="C65" s="1" t="s">
        <v>360</v>
      </c>
      <c r="D65" s="1" t="s">
        <v>7</v>
      </c>
    </row>
    <row r="66" customFormat="false" ht="16" hidden="false" customHeight="false" outlineLevel="0" collapsed="false">
      <c r="A66" s="3" t="s">
        <v>485</v>
      </c>
      <c r="B66" s="3" t="s">
        <v>486</v>
      </c>
      <c r="C66" s="1" t="s">
        <v>360</v>
      </c>
      <c r="D66" s="1" t="s">
        <v>7</v>
      </c>
    </row>
    <row r="67" customFormat="false" ht="16" hidden="false" customHeight="false" outlineLevel="0" collapsed="false">
      <c r="A67" s="3" t="s">
        <v>487</v>
      </c>
      <c r="B67" s="3" t="s">
        <v>488</v>
      </c>
      <c r="C67" s="1" t="s">
        <v>360</v>
      </c>
      <c r="D67" s="1" t="s">
        <v>7</v>
      </c>
    </row>
    <row r="68" customFormat="false" ht="16" hidden="false" customHeight="false" outlineLevel="0" collapsed="false">
      <c r="A68" s="3" t="s">
        <v>489</v>
      </c>
      <c r="B68" s="3" t="s">
        <v>490</v>
      </c>
      <c r="C68" s="1" t="s">
        <v>360</v>
      </c>
      <c r="D68" s="1" t="s">
        <v>7</v>
      </c>
    </row>
    <row r="69" customFormat="false" ht="16" hidden="false" customHeight="false" outlineLevel="0" collapsed="false">
      <c r="A69" s="3" t="s">
        <v>491</v>
      </c>
      <c r="B69" s="3" t="s">
        <v>492</v>
      </c>
      <c r="C69" s="1" t="s">
        <v>360</v>
      </c>
      <c r="D69" s="1" t="s">
        <v>7</v>
      </c>
    </row>
    <row r="70" customFormat="false" ht="16" hidden="false" customHeight="false" outlineLevel="0" collapsed="false">
      <c r="A70" s="3" t="s">
        <v>493</v>
      </c>
      <c r="B70" s="3" t="s">
        <v>494</v>
      </c>
      <c r="C70" s="1" t="s">
        <v>360</v>
      </c>
      <c r="D70" s="1" t="s">
        <v>7</v>
      </c>
    </row>
    <row r="71" customFormat="false" ht="16" hidden="false" customHeight="false" outlineLevel="0" collapsed="false">
      <c r="A71" s="3" t="s">
        <v>495</v>
      </c>
      <c r="B71" s="3" t="s">
        <v>496</v>
      </c>
      <c r="C71" s="1" t="s">
        <v>360</v>
      </c>
      <c r="D71" s="1" t="s">
        <v>7</v>
      </c>
    </row>
    <row r="72" customFormat="false" ht="16" hidden="false" customHeight="false" outlineLevel="0" collapsed="false">
      <c r="A72" s="3" t="s">
        <v>497</v>
      </c>
      <c r="B72" s="3" t="s">
        <v>498</v>
      </c>
      <c r="C72" s="1" t="s">
        <v>360</v>
      </c>
      <c r="D72" s="1" t="s">
        <v>7</v>
      </c>
    </row>
    <row r="73" customFormat="false" ht="16" hidden="false" customHeight="false" outlineLevel="0" collapsed="false">
      <c r="A73" s="3" t="s">
        <v>499</v>
      </c>
      <c r="B73" s="3" t="s">
        <v>500</v>
      </c>
      <c r="C73" s="1" t="s">
        <v>360</v>
      </c>
      <c r="D73" s="1" t="s">
        <v>7</v>
      </c>
    </row>
    <row r="74" customFormat="false" ht="16" hidden="false" customHeight="false" outlineLevel="0" collapsed="false">
      <c r="A74" s="3" t="s">
        <v>501</v>
      </c>
      <c r="B74" s="3" t="s">
        <v>502</v>
      </c>
      <c r="C74" s="1" t="s">
        <v>360</v>
      </c>
      <c r="D74" s="1" t="s">
        <v>7</v>
      </c>
    </row>
    <row r="75" customFormat="false" ht="16" hidden="false" customHeight="false" outlineLevel="0" collapsed="false">
      <c r="A75" s="3" t="s">
        <v>503</v>
      </c>
      <c r="B75" s="3" t="s">
        <v>504</v>
      </c>
      <c r="C75" s="1" t="s">
        <v>360</v>
      </c>
      <c r="D75" s="1" t="s">
        <v>7</v>
      </c>
    </row>
    <row r="76" customFormat="false" ht="16" hidden="false" customHeight="false" outlineLevel="0" collapsed="false">
      <c r="A76" s="3" t="s">
        <v>505</v>
      </c>
      <c r="B76" s="3" t="s">
        <v>506</v>
      </c>
      <c r="C76" s="1" t="s">
        <v>360</v>
      </c>
      <c r="D76" s="1" t="s">
        <v>7</v>
      </c>
    </row>
    <row r="77" customFormat="false" ht="16" hidden="false" customHeight="false" outlineLevel="0" collapsed="false">
      <c r="A77" s="3" t="s">
        <v>507</v>
      </c>
      <c r="B77" s="3" t="s">
        <v>508</v>
      </c>
      <c r="C77" s="1" t="s">
        <v>360</v>
      </c>
      <c r="D77" s="1" t="s">
        <v>7</v>
      </c>
    </row>
    <row r="78" customFormat="false" ht="16" hidden="false" customHeight="false" outlineLevel="0" collapsed="false">
      <c r="A78" s="3" t="s">
        <v>509</v>
      </c>
      <c r="B78" s="3" t="s">
        <v>510</v>
      </c>
      <c r="C78" s="1" t="s">
        <v>360</v>
      </c>
      <c r="D78" s="1" t="s">
        <v>7</v>
      </c>
    </row>
    <row r="79" customFormat="false" ht="16" hidden="false" customHeight="false" outlineLevel="0" collapsed="false">
      <c r="A79" s="3" t="s">
        <v>511</v>
      </c>
      <c r="B79" s="3" t="s">
        <v>512</v>
      </c>
      <c r="C79" s="1" t="s">
        <v>360</v>
      </c>
      <c r="D79" s="1" t="s">
        <v>7</v>
      </c>
    </row>
    <row r="80" customFormat="false" ht="16" hidden="false" customHeight="false" outlineLevel="0" collapsed="false">
      <c r="A80" s="3" t="s">
        <v>513</v>
      </c>
      <c r="B80" s="3" t="s">
        <v>514</v>
      </c>
      <c r="C80" s="1" t="s">
        <v>360</v>
      </c>
      <c r="D80" s="1" t="s">
        <v>7</v>
      </c>
    </row>
    <row r="81" customFormat="false" ht="16" hidden="false" customHeight="false" outlineLevel="0" collapsed="false">
      <c r="A81" s="3" t="s">
        <v>515</v>
      </c>
      <c r="B81" s="3" t="s">
        <v>516</v>
      </c>
      <c r="C81" s="1" t="s">
        <v>360</v>
      </c>
      <c r="D81" s="1" t="s">
        <v>7</v>
      </c>
    </row>
    <row r="82" customFormat="false" ht="16" hidden="false" customHeight="false" outlineLevel="0" collapsed="false">
      <c r="A82" s="3" t="s">
        <v>517</v>
      </c>
      <c r="B82" s="3" t="s">
        <v>518</v>
      </c>
      <c r="C82" s="1" t="s">
        <v>360</v>
      </c>
      <c r="D82" s="1" t="s">
        <v>7</v>
      </c>
    </row>
    <row r="83" customFormat="false" ht="16" hidden="false" customHeight="false" outlineLevel="0" collapsed="false">
      <c r="A83" s="3" t="s">
        <v>519</v>
      </c>
      <c r="B83" s="3" t="s">
        <v>520</v>
      </c>
      <c r="C83" s="1" t="s">
        <v>360</v>
      </c>
      <c r="D83" s="1" t="s">
        <v>7</v>
      </c>
    </row>
    <row r="85" customFormat="false" ht="16" hidden="false" customHeight="false" outlineLevel="0" collapsed="false">
      <c r="A85" s="3" t="s">
        <v>521</v>
      </c>
      <c r="B85" s="3" t="s">
        <v>522</v>
      </c>
      <c r="C85" s="1" t="s">
        <v>360</v>
      </c>
      <c r="D85" s="1" t="s">
        <v>7</v>
      </c>
    </row>
    <row r="86" customFormat="false" ht="16" hidden="false" customHeight="false" outlineLevel="0" collapsed="false">
      <c r="A86" s="3" t="s">
        <v>523</v>
      </c>
      <c r="B86" s="3" t="s">
        <v>524</v>
      </c>
      <c r="C86" s="1" t="s">
        <v>360</v>
      </c>
      <c r="D86" s="1" t="s">
        <v>7</v>
      </c>
    </row>
    <row r="87" customFormat="false" ht="16" hidden="false" customHeight="false" outlineLevel="0" collapsed="false">
      <c r="A87" s="3" t="s">
        <v>525</v>
      </c>
      <c r="B87" s="3" t="s">
        <v>526</v>
      </c>
      <c r="C87" s="1" t="s">
        <v>360</v>
      </c>
      <c r="D87" s="1" t="s">
        <v>7</v>
      </c>
    </row>
    <row r="88" customFormat="false" ht="16" hidden="false" customHeight="false" outlineLevel="0" collapsed="false">
      <c r="A88" s="3" t="s">
        <v>527</v>
      </c>
      <c r="B88" s="3" t="s">
        <v>528</v>
      </c>
      <c r="C88" s="1" t="s">
        <v>360</v>
      </c>
      <c r="D88" s="1" t="s">
        <v>7</v>
      </c>
    </row>
    <row r="89" customFormat="false" ht="16" hidden="false" customHeight="false" outlineLevel="0" collapsed="false">
      <c r="A89" s="3" t="s">
        <v>529</v>
      </c>
      <c r="B89" s="3" t="s">
        <v>530</v>
      </c>
      <c r="C89" s="1" t="s">
        <v>360</v>
      </c>
      <c r="D89" s="1" t="s">
        <v>7</v>
      </c>
    </row>
    <row r="90" customFormat="false" ht="16" hidden="false" customHeight="false" outlineLevel="0" collapsed="false">
      <c r="A90" s="3" t="s">
        <v>531</v>
      </c>
      <c r="B90" s="3" t="s">
        <v>532</v>
      </c>
      <c r="C90" s="1" t="s">
        <v>360</v>
      </c>
      <c r="D90" s="1" t="s">
        <v>7</v>
      </c>
    </row>
    <row r="91" customFormat="false" ht="16" hidden="false" customHeight="false" outlineLevel="0" collapsed="false">
      <c r="A91" s="3" t="s">
        <v>533</v>
      </c>
      <c r="B91" s="3" t="s">
        <v>534</v>
      </c>
      <c r="C91" s="1" t="s">
        <v>360</v>
      </c>
      <c r="D91" s="1" t="s">
        <v>7</v>
      </c>
    </row>
    <row r="92" customFormat="false" ht="16" hidden="false" customHeight="false" outlineLevel="0" collapsed="false">
      <c r="A92" s="3" t="s">
        <v>535</v>
      </c>
      <c r="B92" s="3" t="s">
        <v>536</v>
      </c>
      <c r="C92" s="1" t="s">
        <v>360</v>
      </c>
      <c r="D92" s="1" t="s">
        <v>7</v>
      </c>
    </row>
    <row r="93" customFormat="false" ht="16" hidden="false" customHeight="false" outlineLevel="0" collapsed="false">
      <c r="A93" s="3" t="s">
        <v>537</v>
      </c>
      <c r="B93" s="3" t="s">
        <v>538</v>
      </c>
      <c r="C93" s="1" t="s">
        <v>360</v>
      </c>
      <c r="D93" s="1" t="s">
        <v>7</v>
      </c>
    </row>
    <row r="94" customFormat="false" ht="16" hidden="false" customHeight="false" outlineLevel="0" collapsed="false">
      <c r="A94" s="3" t="s">
        <v>539</v>
      </c>
      <c r="B94" s="3" t="s">
        <v>540</v>
      </c>
      <c r="C94" s="1" t="s">
        <v>360</v>
      </c>
      <c r="D94" s="1" t="s">
        <v>7</v>
      </c>
    </row>
    <row r="95" customFormat="false" ht="16" hidden="false" customHeight="false" outlineLevel="0" collapsed="false">
      <c r="A95" s="3" t="s">
        <v>541</v>
      </c>
      <c r="B95" s="3" t="s">
        <v>542</v>
      </c>
      <c r="C95" s="1" t="s">
        <v>360</v>
      </c>
      <c r="D95" s="1" t="s">
        <v>7</v>
      </c>
    </row>
    <row r="96" customFormat="false" ht="16" hidden="false" customHeight="false" outlineLevel="0" collapsed="false">
      <c r="A96" s="3" t="s">
        <v>543</v>
      </c>
      <c r="B96" s="3" t="s">
        <v>544</v>
      </c>
      <c r="C96" s="1" t="s">
        <v>360</v>
      </c>
      <c r="D96" s="1" t="s">
        <v>7</v>
      </c>
    </row>
    <row r="97" customFormat="false" ht="16" hidden="false" customHeight="false" outlineLevel="0" collapsed="false">
      <c r="A97" s="3" t="s">
        <v>545</v>
      </c>
      <c r="B97" s="3" t="s">
        <v>546</v>
      </c>
      <c r="C97" s="1" t="s">
        <v>360</v>
      </c>
      <c r="D97" s="1" t="s">
        <v>7</v>
      </c>
    </row>
    <row r="98" customFormat="false" ht="16" hidden="false" customHeight="false" outlineLevel="0" collapsed="false">
      <c r="A98" s="3" t="s">
        <v>547</v>
      </c>
      <c r="B98" s="3" t="s">
        <v>548</v>
      </c>
      <c r="C98" s="1" t="s">
        <v>360</v>
      </c>
      <c r="D98" s="1" t="s">
        <v>7</v>
      </c>
    </row>
    <row r="99" customFormat="false" ht="16" hidden="false" customHeight="false" outlineLevel="0" collapsed="false">
      <c r="A99" s="3" t="s">
        <v>549</v>
      </c>
      <c r="B99" s="3" t="s">
        <v>550</v>
      </c>
      <c r="C99" s="1" t="s">
        <v>360</v>
      </c>
      <c r="D99" s="1" t="s">
        <v>7</v>
      </c>
    </row>
    <row r="100" customFormat="false" ht="16" hidden="false" customHeight="false" outlineLevel="0" collapsed="false">
      <c r="A100" s="3" t="s">
        <v>551</v>
      </c>
      <c r="B100" s="3" t="s">
        <v>552</v>
      </c>
      <c r="C100" s="1" t="s">
        <v>360</v>
      </c>
      <c r="D100" s="1" t="s">
        <v>7</v>
      </c>
    </row>
    <row r="101" customFormat="false" ht="16" hidden="false" customHeight="false" outlineLevel="0" collapsed="false">
      <c r="A101" s="3" t="s">
        <v>553</v>
      </c>
      <c r="B101" s="3" t="s">
        <v>554</v>
      </c>
      <c r="C101" s="1" t="s">
        <v>360</v>
      </c>
      <c r="D101" s="1" t="s">
        <v>7</v>
      </c>
    </row>
    <row r="102" customFormat="false" ht="16" hidden="false" customHeight="false" outlineLevel="0" collapsed="false">
      <c r="A102" s="3" t="s">
        <v>555</v>
      </c>
      <c r="B102" s="3" t="s">
        <v>556</v>
      </c>
      <c r="C102" s="1" t="s">
        <v>360</v>
      </c>
      <c r="D102" s="1" t="s">
        <v>7</v>
      </c>
    </row>
    <row r="103" customFormat="false" ht="16" hidden="false" customHeight="false" outlineLevel="0" collapsed="false">
      <c r="A103" s="3" t="s">
        <v>557</v>
      </c>
      <c r="B103" s="3" t="s">
        <v>558</v>
      </c>
      <c r="C103" s="1" t="s">
        <v>360</v>
      </c>
      <c r="D103" s="1" t="s">
        <v>7</v>
      </c>
    </row>
    <row r="104" customFormat="false" ht="16" hidden="false" customHeight="false" outlineLevel="0" collapsed="false">
      <c r="A104" s="3" t="s">
        <v>559</v>
      </c>
      <c r="B104" s="3" t="s">
        <v>560</v>
      </c>
      <c r="C104" s="1" t="s">
        <v>360</v>
      </c>
      <c r="D104" s="1" t="s">
        <v>7</v>
      </c>
    </row>
    <row r="105" customFormat="false" ht="16" hidden="false" customHeight="false" outlineLevel="0" collapsed="false">
      <c r="A105" s="3" t="s">
        <v>561</v>
      </c>
      <c r="B105" s="3" t="s">
        <v>562</v>
      </c>
      <c r="C105" s="1" t="s">
        <v>360</v>
      </c>
      <c r="D105" s="1" t="s">
        <v>7</v>
      </c>
    </row>
    <row r="106" customFormat="false" ht="16" hidden="false" customHeight="false" outlineLevel="0" collapsed="false">
      <c r="A106" s="3" t="s">
        <v>563</v>
      </c>
      <c r="B106" s="3" t="s">
        <v>564</v>
      </c>
      <c r="C106" s="1" t="s">
        <v>360</v>
      </c>
      <c r="D106" s="1" t="s">
        <v>7</v>
      </c>
    </row>
    <row r="107" customFormat="false" ht="16" hidden="false" customHeight="false" outlineLevel="0" collapsed="false">
      <c r="A107" s="3" t="s">
        <v>565</v>
      </c>
      <c r="B107" s="3" t="s">
        <v>566</v>
      </c>
      <c r="C107" s="1" t="s">
        <v>360</v>
      </c>
      <c r="D107" s="1" t="s">
        <v>7</v>
      </c>
    </row>
    <row r="108" customFormat="false" ht="16" hidden="false" customHeight="false" outlineLevel="0" collapsed="false">
      <c r="A108" s="3" t="s">
        <v>567</v>
      </c>
      <c r="B108" s="3" t="s">
        <v>568</v>
      </c>
      <c r="C108" s="1" t="s">
        <v>360</v>
      </c>
      <c r="D108" s="1" t="s">
        <v>7</v>
      </c>
    </row>
    <row r="109" customFormat="false" ht="16" hidden="false" customHeight="false" outlineLevel="0" collapsed="false">
      <c r="A109" s="3" t="s">
        <v>569</v>
      </c>
      <c r="B109" s="3" t="s">
        <v>570</v>
      </c>
      <c r="C109" s="1" t="s">
        <v>360</v>
      </c>
      <c r="D109" s="1" t="s">
        <v>7</v>
      </c>
    </row>
    <row r="110" customFormat="false" ht="16" hidden="false" customHeight="false" outlineLevel="0" collapsed="false">
      <c r="A110" s="3" t="s">
        <v>571</v>
      </c>
      <c r="B110" s="3" t="s">
        <v>572</v>
      </c>
      <c r="C110" s="1" t="s">
        <v>360</v>
      </c>
      <c r="D110" s="1" t="s">
        <v>7</v>
      </c>
    </row>
    <row r="111" customFormat="false" ht="16" hidden="false" customHeight="false" outlineLevel="0" collapsed="false">
      <c r="A111" s="3" t="s">
        <v>573</v>
      </c>
      <c r="B111" s="3" t="s">
        <v>574</v>
      </c>
      <c r="C111" s="1" t="s">
        <v>360</v>
      </c>
      <c r="D111" s="1" t="s">
        <v>7</v>
      </c>
    </row>
    <row r="112" customFormat="false" ht="16" hidden="false" customHeight="false" outlineLevel="0" collapsed="false">
      <c r="A112" s="3" t="s">
        <v>575</v>
      </c>
      <c r="B112" s="3" t="s">
        <v>576</v>
      </c>
      <c r="C112" s="1" t="s">
        <v>360</v>
      </c>
      <c r="D112" s="1" t="s">
        <v>7</v>
      </c>
    </row>
    <row r="114" customFormat="false" ht="16" hidden="false" customHeight="false" outlineLevel="0" collapsed="false">
      <c r="A114" s="3" t="s">
        <v>577</v>
      </c>
      <c r="B114" s="3" t="s">
        <v>522</v>
      </c>
      <c r="C114" s="1" t="s">
        <v>360</v>
      </c>
      <c r="D114" s="1" t="s">
        <v>7</v>
      </c>
    </row>
    <row r="115" customFormat="false" ht="16" hidden="false" customHeight="false" outlineLevel="0" collapsed="false">
      <c r="A115" s="3" t="s">
        <v>578</v>
      </c>
      <c r="B115" s="3" t="s">
        <v>524</v>
      </c>
      <c r="C115" s="1" t="s">
        <v>360</v>
      </c>
      <c r="D115" s="1" t="s">
        <v>7</v>
      </c>
    </row>
    <row r="116" customFormat="false" ht="16" hidden="false" customHeight="false" outlineLevel="0" collapsed="false">
      <c r="A116" s="3" t="s">
        <v>579</v>
      </c>
      <c r="B116" s="3" t="s">
        <v>526</v>
      </c>
      <c r="C116" s="1" t="s">
        <v>360</v>
      </c>
      <c r="D116" s="1" t="s">
        <v>7</v>
      </c>
    </row>
    <row r="117" customFormat="false" ht="16" hidden="false" customHeight="false" outlineLevel="0" collapsed="false">
      <c r="A117" s="3" t="s">
        <v>580</v>
      </c>
      <c r="B117" s="3" t="s">
        <v>528</v>
      </c>
      <c r="C117" s="1" t="s">
        <v>360</v>
      </c>
      <c r="D117" s="1" t="s">
        <v>7</v>
      </c>
    </row>
    <row r="118" customFormat="false" ht="16" hidden="false" customHeight="false" outlineLevel="0" collapsed="false">
      <c r="A118" s="3" t="s">
        <v>581</v>
      </c>
      <c r="B118" s="3" t="s">
        <v>530</v>
      </c>
      <c r="C118" s="1" t="s">
        <v>360</v>
      </c>
      <c r="D118" s="1" t="s">
        <v>7</v>
      </c>
    </row>
    <row r="119" customFormat="false" ht="16" hidden="false" customHeight="false" outlineLevel="0" collapsed="false">
      <c r="A119" s="3" t="s">
        <v>582</v>
      </c>
      <c r="B119" s="3" t="s">
        <v>583</v>
      </c>
      <c r="C119" s="1" t="s">
        <v>360</v>
      </c>
      <c r="D119" s="1" t="s">
        <v>7</v>
      </c>
    </row>
    <row r="120" customFormat="false" ht="16" hidden="false" customHeight="false" outlineLevel="0" collapsed="false">
      <c r="A120" s="3" t="s">
        <v>584</v>
      </c>
      <c r="B120" s="3" t="s">
        <v>540</v>
      </c>
      <c r="C120" s="1" t="s">
        <v>360</v>
      </c>
      <c r="D120" s="1" t="s">
        <v>7</v>
      </c>
    </row>
    <row r="121" customFormat="false" ht="16" hidden="false" customHeight="false" outlineLevel="0" collapsed="false">
      <c r="A121" s="3" t="s">
        <v>585</v>
      </c>
      <c r="B121" s="3" t="s">
        <v>586</v>
      </c>
      <c r="C121" s="1" t="s">
        <v>360</v>
      </c>
      <c r="D121" s="1" t="s">
        <v>7</v>
      </c>
    </row>
    <row r="122" customFormat="false" ht="16" hidden="false" customHeight="false" outlineLevel="0" collapsed="false">
      <c r="A122" s="3" t="s">
        <v>587</v>
      </c>
      <c r="B122" s="3" t="s">
        <v>588</v>
      </c>
      <c r="C122" s="1" t="s">
        <v>360</v>
      </c>
      <c r="D122" s="1" t="s">
        <v>7</v>
      </c>
    </row>
    <row r="123" customFormat="false" ht="16" hidden="false" customHeight="false" outlineLevel="0" collapsed="false">
      <c r="A123" s="3" t="s">
        <v>589</v>
      </c>
      <c r="B123" s="3" t="s">
        <v>590</v>
      </c>
      <c r="C123" s="1" t="s">
        <v>360</v>
      </c>
      <c r="D123" s="1" t="s">
        <v>7</v>
      </c>
    </row>
    <row r="124" customFormat="false" ht="16" hidden="false" customHeight="false" outlineLevel="0" collapsed="false">
      <c r="A124" s="3" t="s">
        <v>591</v>
      </c>
      <c r="B124" s="3" t="s">
        <v>592</v>
      </c>
      <c r="C124" s="1" t="s">
        <v>360</v>
      </c>
      <c r="D124" s="1" t="s">
        <v>7</v>
      </c>
    </row>
    <row r="125" customFormat="false" ht="16" hidden="false" customHeight="false" outlineLevel="0" collapsed="false">
      <c r="A125" s="3" t="s">
        <v>593</v>
      </c>
      <c r="B125" s="3" t="s">
        <v>594</v>
      </c>
      <c r="C125" s="1" t="s">
        <v>360</v>
      </c>
      <c r="D125" s="1" t="s">
        <v>7</v>
      </c>
    </row>
    <row r="126" customFormat="false" ht="16" hidden="false" customHeight="false" outlineLevel="0" collapsed="false">
      <c r="A126" s="3" t="s">
        <v>595</v>
      </c>
      <c r="B126" s="3" t="s">
        <v>596</v>
      </c>
      <c r="C126" s="1" t="s">
        <v>360</v>
      </c>
      <c r="D126" s="1" t="s">
        <v>7</v>
      </c>
    </row>
    <row r="128" customFormat="false" ht="16" hidden="false" customHeight="false" outlineLevel="0" collapsed="false">
      <c r="A128" s="3" t="s">
        <v>597</v>
      </c>
      <c r="B128" s="3" t="s">
        <v>598</v>
      </c>
      <c r="C128" s="1" t="s">
        <v>360</v>
      </c>
      <c r="D128" s="1" t="s">
        <v>7</v>
      </c>
    </row>
    <row r="129" customFormat="false" ht="16" hidden="false" customHeight="false" outlineLevel="0" collapsed="false">
      <c r="A129" s="3" t="s">
        <v>599</v>
      </c>
      <c r="B129" s="3" t="s">
        <v>600</v>
      </c>
      <c r="C129" s="1" t="s">
        <v>360</v>
      </c>
      <c r="D129" s="1" t="s">
        <v>7</v>
      </c>
    </row>
    <row r="131" customFormat="false" ht="16" hidden="false" customHeight="false" outlineLevel="0" collapsed="false">
      <c r="A131" s="3" t="s">
        <v>601</v>
      </c>
      <c r="B131" s="3" t="s">
        <v>602</v>
      </c>
      <c r="C131" s="1" t="s">
        <v>360</v>
      </c>
      <c r="D131" s="1" t="s">
        <v>7</v>
      </c>
    </row>
    <row r="132" customFormat="false" ht="16" hidden="false" customHeight="false" outlineLevel="0" collapsed="false">
      <c r="A132" s="3" t="s">
        <v>603</v>
      </c>
      <c r="B132" s="3" t="s">
        <v>604</v>
      </c>
      <c r="C132" s="1" t="s">
        <v>360</v>
      </c>
      <c r="D132" s="1" t="s">
        <v>7</v>
      </c>
    </row>
    <row r="133" customFormat="false" ht="16" hidden="false" customHeight="false" outlineLevel="0" collapsed="false">
      <c r="A133" s="3" t="s">
        <v>605</v>
      </c>
      <c r="B133" s="3" t="s">
        <v>606</v>
      </c>
      <c r="C133" s="1" t="s">
        <v>360</v>
      </c>
      <c r="D133" s="1" t="s">
        <v>7</v>
      </c>
    </row>
    <row r="134" customFormat="false" ht="16" hidden="false" customHeight="false" outlineLevel="0" collapsed="false">
      <c r="A134" s="3" t="s">
        <v>607</v>
      </c>
      <c r="B134" s="3" t="s">
        <v>608</v>
      </c>
      <c r="C134" s="1" t="s">
        <v>360</v>
      </c>
      <c r="D134" s="1" t="s">
        <v>7</v>
      </c>
    </row>
    <row r="135" customFormat="false" ht="16" hidden="false" customHeight="false" outlineLevel="0" collapsed="false">
      <c r="A135" s="3" t="s">
        <v>609</v>
      </c>
      <c r="B135" s="3" t="s">
        <v>610</v>
      </c>
      <c r="C135" s="1" t="s">
        <v>360</v>
      </c>
      <c r="D135" s="1" t="s">
        <v>7</v>
      </c>
    </row>
    <row r="136" customFormat="false" ht="16" hidden="false" customHeight="false" outlineLevel="0" collapsed="false">
      <c r="A136" s="3" t="s">
        <v>611</v>
      </c>
      <c r="B136" s="3" t="s">
        <v>612</v>
      </c>
      <c r="C136" s="1" t="s">
        <v>360</v>
      </c>
      <c r="D136" s="1" t="s">
        <v>7</v>
      </c>
    </row>
    <row r="137" customFormat="false" ht="16" hidden="false" customHeight="false" outlineLevel="0" collapsed="false">
      <c r="A137" s="3" t="s">
        <v>613</v>
      </c>
      <c r="B137" s="3" t="s">
        <v>614</v>
      </c>
      <c r="C137" s="1" t="s">
        <v>360</v>
      </c>
      <c r="D137" s="1" t="s">
        <v>7</v>
      </c>
    </row>
    <row r="138" customFormat="false" ht="16" hidden="false" customHeight="false" outlineLevel="0" collapsed="false">
      <c r="A138" s="3" t="s">
        <v>615</v>
      </c>
      <c r="B138" s="3" t="s">
        <v>616</v>
      </c>
      <c r="C138" s="1" t="s">
        <v>360</v>
      </c>
      <c r="D138" s="1" t="s">
        <v>7</v>
      </c>
    </row>
    <row r="140" customFormat="false" ht="16" hidden="false" customHeight="false" outlineLevel="0" collapsed="false">
      <c r="A140" s="3" t="s">
        <v>617</v>
      </c>
      <c r="B140" s="3" t="s">
        <v>618</v>
      </c>
      <c r="C140" s="1" t="s">
        <v>360</v>
      </c>
      <c r="D140" s="1" t="s">
        <v>7</v>
      </c>
    </row>
    <row r="141" customFormat="false" ht="16" hidden="false" customHeight="false" outlineLevel="0" collapsed="false">
      <c r="A141" s="3" t="s">
        <v>619</v>
      </c>
      <c r="B141" s="3" t="s">
        <v>620</v>
      </c>
      <c r="C141" s="1" t="s">
        <v>360</v>
      </c>
      <c r="D141" s="1" t="s">
        <v>621</v>
      </c>
    </row>
    <row r="143" customFormat="false" ht="16" hidden="false" customHeight="false" outlineLevel="0" collapsed="false">
      <c r="A143" s="3" t="s">
        <v>622</v>
      </c>
      <c r="B143" s="3" t="s">
        <v>623</v>
      </c>
      <c r="C143" s="1" t="s">
        <v>360</v>
      </c>
      <c r="D143" s="1" t="s">
        <v>7</v>
      </c>
    </row>
    <row r="144" customFormat="false" ht="16" hidden="false" customHeight="false" outlineLevel="0" collapsed="false">
      <c r="A144" s="3" t="s">
        <v>624</v>
      </c>
      <c r="B144" s="3" t="s">
        <v>625</v>
      </c>
      <c r="C144" s="1" t="s">
        <v>360</v>
      </c>
      <c r="D144" s="1" t="s">
        <v>7</v>
      </c>
    </row>
    <row r="145" customFormat="false" ht="16" hidden="false" customHeight="false" outlineLevel="0" collapsed="false">
      <c r="A145" s="3" t="s">
        <v>626</v>
      </c>
      <c r="B145" s="3" t="s">
        <v>627</v>
      </c>
      <c r="C145" s="1" t="s">
        <v>360</v>
      </c>
      <c r="D145" s="1" t="s">
        <v>7</v>
      </c>
    </row>
    <row r="146" customFormat="false" ht="16" hidden="false" customHeight="false" outlineLevel="0" collapsed="false">
      <c r="A146" s="3" t="s">
        <v>628</v>
      </c>
      <c r="B146" s="3" t="s">
        <v>629</v>
      </c>
      <c r="C146" s="1" t="s">
        <v>360</v>
      </c>
      <c r="D146" s="1" t="s">
        <v>7</v>
      </c>
    </row>
    <row r="147" customFormat="false" ht="16" hidden="false" customHeight="false" outlineLevel="0" collapsed="false">
      <c r="A147" s="3" t="s">
        <v>630</v>
      </c>
      <c r="B147" s="3" t="s">
        <v>630</v>
      </c>
      <c r="C147" s="1" t="s">
        <v>631</v>
      </c>
      <c r="D147" s="1" t="s">
        <v>632</v>
      </c>
      <c r="E147" s="1" t="s">
        <v>633</v>
      </c>
      <c r="F147" s="1" t="s">
        <v>634</v>
      </c>
    </row>
    <row r="148" customFormat="false" ht="16" hidden="false" customHeight="false" outlineLevel="0" collapsed="false">
      <c r="A148" s="3" t="s">
        <v>635</v>
      </c>
      <c r="B148" s="3" t="s">
        <v>635</v>
      </c>
      <c r="C148" s="1" t="s">
        <v>636</v>
      </c>
      <c r="D148" s="1" t="s">
        <v>637</v>
      </c>
      <c r="E148" s="1" t="s">
        <v>638</v>
      </c>
      <c r="F148" s="1" t="s">
        <v>639</v>
      </c>
    </row>
    <row r="149" customFormat="false" ht="16" hidden="false" customHeight="false" outlineLevel="0" collapsed="false">
      <c r="A149" s="3" t="s">
        <v>640</v>
      </c>
      <c r="B149" s="3" t="s">
        <v>641</v>
      </c>
      <c r="C149" s="1" t="s">
        <v>642</v>
      </c>
      <c r="D149" s="1" t="s">
        <v>643</v>
      </c>
      <c r="E149" s="4" t="s">
        <v>644</v>
      </c>
      <c r="F149" s="4" t="s">
        <v>645</v>
      </c>
    </row>
    <row r="151" customFormat="false" ht="16" hidden="false" customHeight="false" outlineLevel="0" collapsed="false">
      <c r="A151" s="3" t="s">
        <v>646</v>
      </c>
      <c r="B151" s="3" t="s">
        <v>647</v>
      </c>
      <c r="C151" s="1" t="s">
        <v>360</v>
      </c>
      <c r="D151" s="1" t="s">
        <v>7</v>
      </c>
    </row>
    <row r="152" customFormat="false" ht="16" hidden="false" customHeight="false" outlineLevel="0" collapsed="false">
      <c r="A152" s="3" t="s">
        <v>648</v>
      </c>
      <c r="B152" s="3" t="s">
        <v>649</v>
      </c>
      <c r="C152" s="5" t="s">
        <v>360</v>
      </c>
      <c r="D152" s="5" t="s">
        <v>7</v>
      </c>
      <c r="E152" s="5"/>
      <c r="F152" s="5"/>
    </row>
    <row r="154" customFormat="false" ht="16" hidden="false" customHeight="false" outlineLevel="0" collapsed="false">
      <c r="A154" s="6" t="s">
        <v>650</v>
      </c>
      <c r="B154" s="7" t="s">
        <v>651</v>
      </c>
      <c r="C154" s="1" t="s">
        <v>360</v>
      </c>
      <c r="D154" s="1" t="s">
        <v>7</v>
      </c>
    </row>
    <row r="157" customFormat="false" ht="16" hidden="false" customHeight="false" outlineLevel="0" collapsed="false">
      <c r="A157" s="3" t="s">
        <v>652</v>
      </c>
      <c r="B157" s="8" t="s">
        <v>653</v>
      </c>
      <c r="C157" s="1" t="s">
        <v>360</v>
      </c>
      <c r="D157" s="1" t="s">
        <v>7</v>
      </c>
      <c r="E157" s="4" t="s">
        <v>654</v>
      </c>
      <c r="F157" s="4" t="s">
        <v>655</v>
      </c>
      <c r="G157" s="4" t="s">
        <v>656</v>
      </c>
    </row>
    <row r="159" customFormat="false" ht="16" hidden="false" customHeight="false" outlineLevel="0" collapsed="false">
      <c r="A159" s="3" t="s">
        <v>657</v>
      </c>
      <c r="B159" s="8" t="s">
        <v>658</v>
      </c>
      <c r="C159" s="1" t="s">
        <v>360</v>
      </c>
      <c r="D159" s="1" t="s">
        <v>7</v>
      </c>
      <c r="E159" s="4" t="s">
        <v>659</v>
      </c>
      <c r="F159" s="4" t="s">
        <v>660</v>
      </c>
      <c r="G159" s="4" t="s">
        <v>661</v>
      </c>
    </row>
    <row r="161" customFormat="false" ht="16" hidden="false" customHeight="false" outlineLevel="0" collapsed="false">
      <c r="A161" s="3" t="s">
        <v>662</v>
      </c>
      <c r="B161" s="3" t="s">
        <v>663</v>
      </c>
      <c r="C161" s="1" t="s">
        <v>360</v>
      </c>
      <c r="D161" s="1" t="s">
        <v>7</v>
      </c>
    </row>
    <row r="162" customFormat="false" ht="16" hidden="false" customHeight="false" outlineLevel="0" collapsed="false">
      <c r="A162" s="3" t="s">
        <v>664</v>
      </c>
      <c r="B162" s="3" t="s">
        <v>665</v>
      </c>
      <c r="C162" s="1" t="s">
        <v>360</v>
      </c>
      <c r="D162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3" activePane="bottomLeft" state="frozen"/>
      <selection pane="topLeft" activeCell="A1" activeCellId="0" sqref="A1"/>
      <selection pane="bottomLeft" activeCell="E13" activeCellId="0" sqref="E13"/>
    </sheetView>
  </sheetViews>
  <sheetFormatPr defaultColWidth="8.62109375" defaultRowHeight="16" zeroHeight="false" outlineLevelRow="0" outlineLevelCol="0"/>
  <cols>
    <col collapsed="false" customWidth="true" hidden="false" outlineLevel="0" max="1" min="1" style="1" width="16.84"/>
    <col collapsed="false" customWidth="true" hidden="false" outlineLevel="0" max="2" min="2" style="1" width="35"/>
    <col collapsed="false" customWidth="true" hidden="false" outlineLevel="0" max="3" min="3" style="1" width="17"/>
    <col collapsed="false" customWidth="true" hidden="true" outlineLevel="0" max="4" min="4" style="1" width="30.33"/>
    <col collapsed="false" customWidth="false" hidden="false" outlineLevel="0" max="1025" min="5" style="1" width="8.67"/>
  </cols>
  <sheetData>
    <row r="1" s="11" customFormat="true" ht="26.5" hidden="false" customHeight="true" outlineLevel="0" collapsed="false">
      <c r="A1" s="9" t="s">
        <v>666</v>
      </c>
      <c r="B1" s="9" t="s">
        <v>1</v>
      </c>
      <c r="C1" s="9" t="s">
        <v>667</v>
      </c>
      <c r="D1" s="10"/>
    </row>
    <row r="2" customFormat="false" ht="16" hidden="true" customHeight="false" outlineLevel="0" collapsed="false"/>
    <row r="3" customFormat="false" ht="16" hidden="false" customHeight="false" outlineLevel="0" collapsed="false">
      <c r="A3" s="1" t="s">
        <v>668</v>
      </c>
      <c r="B3" s="1" t="s">
        <v>669</v>
      </c>
      <c r="C3" s="1" t="s">
        <v>670</v>
      </c>
      <c r="D3" s="1" t="str">
        <f aca="false">IF(B3&amp;" "&amp;C3=" ","",B3&amp;" "&amp;C3)</f>
        <v>Aggrégation Recyc-Qc vers T2_SWOLF GLO</v>
      </c>
    </row>
    <row r="4" customFormat="false" ht="16" hidden="false" customHeight="false" outlineLevel="0" collapsed="false">
      <c r="A4" s="1" t="s">
        <v>671</v>
      </c>
      <c r="B4" s="1" t="s">
        <v>672</v>
      </c>
      <c r="C4" s="1" t="s">
        <v>670</v>
      </c>
      <c r="D4" s="1" t="str">
        <f aca="false">IF(B4&amp;" "&amp;C4=" ","",B4&amp;" "&amp;C4)</f>
        <v>Aggrégation T2_SWOLF vers T25_SWOLF GLO</v>
      </c>
    </row>
    <row r="5" customFormat="false" ht="16" hidden="false" customHeight="false" outlineLevel="0" collapsed="false">
      <c r="A5" s="1" t="s">
        <v>673</v>
      </c>
      <c r="B5" s="1" t="s">
        <v>674</v>
      </c>
      <c r="C5" s="1" t="s">
        <v>675</v>
      </c>
      <c r="D5" s="1" t="str">
        <f aca="false">IF(B5&amp;" "&amp;C5=" ","",B5&amp;" "&amp;C5)</f>
        <v>Pre_Screening_1 QC</v>
      </c>
    </row>
    <row r="6" customFormat="false" ht="16" hidden="false" customHeight="false" outlineLevel="0" collapsed="false">
      <c r="A6" s="1" t="s">
        <v>676</v>
      </c>
      <c r="B6" s="1" t="s">
        <v>677</v>
      </c>
      <c r="C6" s="1" t="s">
        <v>675</v>
      </c>
      <c r="D6" s="1" t="str">
        <f aca="false">IF(B6&amp;" "&amp;C6=" ","",B6&amp;" "&amp;C6)</f>
        <v>Pre_Screening_2 QC</v>
      </c>
    </row>
    <row r="7" customFormat="false" ht="16" hidden="false" customHeight="false" outlineLevel="0" collapsed="false">
      <c r="A7" s="1" t="s">
        <v>678</v>
      </c>
      <c r="B7" s="1" t="s">
        <v>679</v>
      </c>
      <c r="C7" s="1" t="s">
        <v>675</v>
      </c>
      <c r="D7" s="1" t="str">
        <f aca="false">IF(B7&amp;" "&amp;C7=" ","",B7&amp;" "&amp;C7)</f>
        <v>Active_Composting QC</v>
      </c>
    </row>
    <row r="8" customFormat="false" ht="16" hidden="false" customHeight="false" outlineLevel="0" collapsed="false">
      <c r="A8" s="1" t="s">
        <v>680</v>
      </c>
      <c r="B8" s="1" t="s">
        <v>681</v>
      </c>
      <c r="C8" s="1" t="s">
        <v>675</v>
      </c>
      <c r="D8" s="1" t="str">
        <f aca="false">IF(B8&amp;" "&amp;C8=" ","",B8&amp;" "&amp;C8)</f>
        <v>Post_Screening QC</v>
      </c>
    </row>
    <row r="9" customFormat="false" ht="16" hidden="false" customHeight="false" outlineLevel="0" collapsed="false">
      <c r="A9" s="1" t="s">
        <v>682</v>
      </c>
      <c r="B9" s="1" t="s">
        <v>683</v>
      </c>
      <c r="C9" s="1" t="s">
        <v>675</v>
      </c>
      <c r="D9" s="1" t="e">
        <f aca="false">IF(#REF!&amp;" "&amp;C9=" ","",#REF!&amp;" "&amp;C9)</f>
        <v>#REF!</v>
      </c>
    </row>
    <row r="10" customFormat="false" ht="16" hidden="false" customHeight="false" outlineLevel="0" collapsed="false">
      <c r="A10" s="1" t="s">
        <v>684</v>
      </c>
      <c r="B10" s="1" t="s">
        <v>685</v>
      </c>
      <c r="C10" s="1" t="s">
        <v>675</v>
      </c>
      <c r="D10" s="1" t="str">
        <f aca="false">IF(B10&amp;" "&amp;C10=" ","",B10&amp;" "&amp;C10)</f>
        <v>Mixing_before_activecomposting QC</v>
      </c>
    </row>
    <row r="11" customFormat="false" ht="16" hidden="false" customHeight="false" outlineLevel="0" collapsed="false">
      <c r="A11" s="1" t="s">
        <v>686</v>
      </c>
      <c r="B11" s="1" t="s">
        <v>687</v>
      </c>
      <c r="C11" s="1" t="s">
        <v>670</v>
      </c>
      <c r="D11" s="1" t="str">
        <f aca="false">IF(B9&amp;" "&amp;C11=" ","",B9&amp;" "&amp;C11)</f>
        <v>Vacuum GLO</v>
      </c>
    </row>
    <row r="12" customFormat="false" ht="16" hidden="false" customHeight="false" outlineLevel="0" collapsed="false">
      <c r="D12" s="1" t="str">
        <f aca="false">IF(B12&amp;" "&amp;C12=" ","",B12&amp;" "&amp;C12)</f>
        <v/>
      </c>
    </row>
    <row r="13" customFormat="false" ht="16" hidden="false" customHeight="false" outlineLevel="0" collapsed="false">
      <c r="A13" s="1" t="s">
        <v>688</v>
      </c>
      <c r="B13" s="1" t="s">
        <v>689</v>
      </c>
      <c r="C13" s="1" t="s">
        <v>675</v>
      </c>
      <c r="D13" s="1" t="str">
        <f aca="false">IF(B13&amp;" "&amp;C13=" ","",B13&amp;" "&amp;C13)</f>
        <v>Compost QC</v>
      </c>
    </row>
    <row r="14" customFormat="false" ht="16" hidden="false" customHeight="false" outlineLevel="0" collapsed="false">
      <c r="D14" s="1" t="str">
        <f aca="false">IF(B14&amp;" "&amp;C14=" ","",B14&amp;" "&amp;C14)</f>
        <v/>
      </c>
    </row>
    <row r="15" customFormat="false" ht="16" hidden="false" customHeight="false" outlineLevel="0" collapsed="false">
      <c r="D15" s="1" t="str">
        <f aca="false">IF(B15&amp;" "&amp;C15=" ","",B15&amp;" "&amp;C15)</f>
        <v/>
      </c>
    </row>
    <row r="16" customFormat="false" ht="16" hidden="false" customHeight="false" outlineLevel="0" collapsed="false">
      <c r="D16" s="1" t="str">
        <f aca="false">IF(B16&amp;" "&amp;C16=" ","",B16&amp;" "&amp;C16)</f>
        <v/>
      </c>
    </row>
    <row r="18" customFormat="false" ht="16" hidden="false" customHeight="false" outlineLevel="0" collapsed="false">
      <c r="D18" s="1" t="str">
        <f aca="false">IF(B18&amp;" "&amp;C18=" ","",B18&amp;" "&amp;C18)</f>
        <v/>
      </c>
    </row>
    <row r="19" customFormat="false" ht="16" hidden="false" customHeight="false" outlineLevel="0" collapsed="false">
      <c r="D19" s="1" t="str">
        <f aca="false">IF(B19&amp;" "&amp;C19=" ","",B19&amp;" "&amp;C19)</f>
        <v/>
      </c>
    </row>
    <row r="20" customFormat="false" ht="16" hidden="false" customHeight="false" outlineLevel="0" collapsed="false">
      <c r="D20" s="1" t="str">
        <f aca="false">IF(B20&amp;" "&amp;C20=" ","",B20&amp;" "&amp;C20)</f>
        <v/>
      </c>
    </row>
    <row r="21" customFormat="false" ht="16" hidden="false" customHeight="false" outlineLevel="0" collapsed="false">
      <c r="D21" s="1" t="str">
        <f aca="false">IF(B21&amp;" "&amp;C21=" ","",B21&amp;" "&amp;C21)</f>
        <v/>
      </c>
    </row>
    <row r="22" customFormat="false" ht="16" hidden="false" customHeight="false" outlineLevel="0" collapsed="false">
      <c r="D22" s="1" t="str">
        <f aca="false">IF(B22&amp;" "&amp;C22=" ","",B22&amp;" "&amp;C22)</f>
        <v/>
      </c>
    </row>
    <row r="23" customFormat="false" ht="16" hidden="false" customHeight="false" outlineLevel="0" collapsed="false">
      <c r="D23" s="1" t="str">
        <f aca="false">IF(B23&amp;" "&amp;C23=" ","",B23&amp;" "&amp;C23)</f>
        <v/>
      </c>
    </row>
    <row r="24" customFormat="false" ht="16" hidden="false" customHeight="false" outlineLevel="0" collapsed="false">
      <c r="D24" s="1" t="str">
        <f aca="false">IF(B24&amp;" "&amp;C24=" ","",B24&amp;" "&amp;C24)</f>
        <v/>
      </c>
    </row>
    <row r="25" customFormat="false" ht="16" hidden="false" customHeight="false" outlineLevel="0" collapsed="false">
      <c r="D25" s="1" t="str">
        <f aca="false">IF(B25&amp;" "&amp;C25=" ","",B25&amp;" "&amp;C25)</f>
        <v/>
      </c>
    </row>
    <row r="26" customFormat="false" ht="16" hidden="false" customHeight="false" outlineLevel="0" collapsed="false">
      <c r="D26" s="1" t="str">
        <f aca="false">IF(B26&amp;" "&amp;C26=" ","",B26&amp;" "&amp;C26)</f>
        <v/>
      </c>
    </row>
    <row r="27" customFormat="false" ht="16" hidden="false" customHeight="false" outlineLevel="0" collapsed="false">
      <c r="D27" s="1" t="str">
        <f aca="false">IF(B27&amp;" "&amp;C27=" ","",B27&amp;" "&amp;C27)</f>
        <v/>
      </c>
    </row>
    <row r="28" customFormat="false" ht="16" hidden="false" customHeight="false" outlineLevel="0" collapsed="false">
      <c r="D28" s="1" t="str">
        <f aca="false">IF(B28&amp;" "&amp;C28=" ","",B28&amp;" "&amp;C28)</f>
        <v/>
      </c>
    </row>
    <row r="29" customFormat="false" ht="16" hidden="false" customHeight="false" outlineLevel="0" collapsed="false">
      <c r="D29" s="1" t="str">
        <f aca="false">IF(B29&amp;" "&amp;C29=" ","",B29&amp;" "&amp;C29)</f>
        <v/>
      </c>
    </row>
    <row r="30" customFormat="false" ht="16" hidden="false" customHeight="false" outlineLevel="0" collapsed="false">
      <c r="D30" s="1" t="str">
        <f aca="false">IF(B30&amp;" "&amp;C30=" ","",B30&amp;" "&amp;C30)</f>
        <v/>
      </c>
    </row>
    <row r="31" customFormat="false" ht="16" hidden="false" customHeight="false" outlineLevel="0" collapsed="false">
      <c r="D31" s="1" t="str">
        <f aca="false">IF(B31&amp;" "&amp;C31=" ","",B31&amp;" "&amp;C31)</f>
        <v/>
      </c>
    </row>
    <row r="32" customFormat="false" ht="16" hidden="false" customHeight="false" outlineLevel="0" collapsed="false">
      <c r="D32" s="1" t="str">
        <f aca="false">IF(B32&amp;" "&amp;C32=" ","",B32&amp;" "&amp;C32)</f>
        <v/>
      </c>
    </row>
    <row r="33" customFormat="false" ht="16" hidden="false" customHeight="false" outlineLevel="0" collapsed="false">
      <c r="D33" s="1" t="str">
        <f aca="false">IF(B33&amp;" "&amp;C33=" ","",B33&amp;" "&amp;C33)</f>
        <v/>
      </c>
    </row>
    <row r="34" customFormat="false" ht="16" hidden="false" customHeight="false" outlineLevel="0" collapsed="false">
      <c r="D34" s="1" t="str">
        <f aca="false">IF(B34&amp;" "&amp;C34=" ","",B34&amp;" "&amp;C34)</f>
        <v/>
      </c>
    </row>
    <row r="35" customFormat="false" ht="16" hidden="false" customHeight="false" outlineLevel="0" collapsed="false">
      <c r="D35" s="1" t="str">
        <f aca="false">IF(B35&amp;" "&amp;C35=" ","",B35&amp;" "&amp;C35)</f>
        <v/>
      </c>
    </row>
    <row r="36" customFormat="false" ht="16" hidden="false" customHeight="false" outlineLevel="0" collapsed="false">
      <c r="D36" s="1" t="str">
        <f aca="false">IF(B36&amp;" "&amp;C36=" ","",B36&amp;" "&amp;C36)</f>
        <v/>
      </c>
    </row>
    <row r="37" customFormat="false" ht="16" hidden="false" customHeight="false" outlineLevel="0" collapsed="false">
      <c r="D37" s="1" t="str">
        <f aca="false">IF(B37&amp;" "&amp;C37=" ","",B37&amp;" "&amp;C37)</f>
        <v/>
      </c>
    </row>
    <row r="38" customFormat="false" ht="16" hidden="false" customHeight="false" outlineLevel="0" collapsed="false">
      <c r="D38" s="1" t="str">
        <f aca="false">IF(B38&amp;" "&amp;C38=" ","",B38&amp;" "&amp;C38)</f>
        <v/>
      </c>
    </row>
    <row r="39" customFormat="false" ht="16" hidden="false" customHeight="false" outlineLevel="0" collapsed="false">
      <c r="D39" s="1" t="str">
        <f aca="false">IF(B39&amp;" "&amp;C39=" ","",B39&amp;" "&amp;C39)</f>
        <v/>
      </c>
    </row>
    <row r="40" customFormat="false" ht="16" hidden="false" customHeight="false" outlineLevel="0" collapsed="false">
      <c r="D40" s="1" t="str">
        <f aca="false">IF(B40&amp;" "&amp;C40=" ","",B40&amp;" "&amp;C40)</f>
        <v/>
      </c>
    </row>
    <row r="41" customFormat="false" ht="16" hidden="false" customHeight="false" outlineLevel="0" collapsed="false">
      <c r="D41" s="1" t="str">
        <f aca="false">IF(B41&amp;" "&amp;C41=" ","",B41&amp;" "&amp;C41)</f>
        <v/>
      </c>
    </row>
    <row r="42" customFormat="false" ht="16" hidden="false" customHeight="false" outlineLevel="0" collapsed="false">
      <c r="D42" s="1" t="str">
        <f aca="false">IF(B42&amp;" "&amp;C42=" ","",B42&amp;" "&amp;C42)</f>
        <v/>
      </c>
    </row>
    <row r="43" customFormat="false" ht="16" hidden="false" customHeight="false" outlineLevel="0" collapsed="false">
      <c r="D43" s="1" t="str">
        <f aca="false">IF(B43&amp;" "&amp;C43=" ","",B43&amp;" "&amp;C43)</f>
        <v/>
      </c>
    </row>
    <row r="44" customFormat="false" ht="16" hidden="false" customHeight="false" outlineLevel="0" collapsed="false">
      <c r="D44" s="1" t="str">
        <f aca="false">IF(B44&amp;" "&amp;C44=" ","",B44&amp;" "&amp;C44)</f>
        <v/>
      </c>
    </row>
    <row r="45" customFormat="false" ht="16" hidden="false" customHeight="false" outlineLevel="0" collapsed="false">
      <c r="D45" s="1" t="str">
        <f aca="false">IF(B45&amp;" "&amp;C45=" ","",B45&amp;" "&amp;C45)</f>
        <v/>
      </c>
    </row>
    <row r="46" customFormat="false" ht="16" hidden="false" customHeight="false" outlineLevel="0" collapsed="false">
      <c r="D46" s="1" t="str">
        <f aca="false">IF(B46&amp;" "&amp;C46=" ","",B46&amp;" "&amp;C46)</f>
        <v/>
      </c>
    </row>
    <row r="47" customFormat="false" ht="16" hidden="false" customHeight="false" outlineLevel="0" collapsed="false">
      <c r="D47" s="1" t="str">
        <f aca="false">IF(B47&amp;" "&amp;C47=" ","",B47&amp;" "&amp;C47)</f>
        <v/>
      </c>
    </row>
    <row r="48" customFormat="false" ht="16" hidden="false" customHeight="false" outlineLevel="0" collapsed="false">
      <c r="D48" s="1" t="str">
        <f aca="false">IF(B48&amp;" "&amp;C48=" ","",B48&amp;" "&amp;C48)</f>
        <v/>
      </c>
    </row>
    <row r="49" customFormat="false" ht="16" hidden="false" customHeight="false" outlineLevel="0" collapsed="false">
      <c r="D49" s="1" t="str">
        <f aca="false">IF(B49&amp;" "&amp;C49=" ","",B49&amp;" "&amp;C49)</f>
        <v/>
      </c>
    </row>
    <row r="50" customFormat="false" ht="16" hidden="false" customHeight="false" outlineLevel="0" collapsed="false">
      <c r="D50" s="1" t="str">
        <f aca="false">IF(B50&amp;" "&amp;C50=" ","",B50&amp;" "&amp;C50)</f>
        <v/>
      </c>
    </row>
    <row r="51" customFormat="false" ht="16" hidden="false" customHeight="false" outlineLevel="0" collapsed="false">
      <c r="D51" s="1" t="str">
        <f aca="false">IF(B51&amp;" "&amp;C51=" ","",B51&amp;" "&amp;C51)</f>
        <v/>
      </c>
    </row>
    <row r="52" customFormat="false" ht="16" hidden="false" customHeight="false" outlineLevel="0" collapsed="false">
      <c r="D52" s="1" t="str">
        <f aca="false">IF(B52&amp;" "&amp;C52=" ","",B52&amp;" "&amp;C52)</f>
        <v/>
      </c>
    </row>
    <row r="53" customFormat="false" ht="16" hidden="false" customHeight="false" outlineLevel="0" collapsed="false">
      <c r="D53" s="1" t="str">
        <f aca="false">IF(B53&amp;" "&amp;C53=" ","",B53&amp;" "&amp;C53)</f>
        <v/>
      </c>
    </row>
    <row r="54" customFormat="false" ht="16" hidden="false" customHeight="false" outlineLevel="0" collapsed="false">
      <c r="D54" s="1" t="str">
        <f aca="false">IF(B54&amp;" "&amp;C54=" ","",B54&amp;" "&amp;C54)</f>
        <v/>
      </c>
    </row>
    <row r="55" customFormat="false" ht="16" hidden="false" customHeight="false" outlineLevel="0" collapsed="false">
      <c r="D55" s="1" t="str">
        <f aca="false">IF(B55&amp;" "&amp;C55=" ","",B55&amp;" "&amp;C55)</f>
        <v/>
      </c>
    </row>
    <row r="56" customFormat="false" ht="16" hidden="false" customHeight="false" outlineLevel="0" collapsed="false">
      <c r="D56" s="1" t="str">
        <f aca="false">IF(B56&amp;" "&amp;C56=" ","",B56&amp;" "&amp;C56)</f>
        <v/>
      </c>
    </row>
    <row r="57" customFormat="false" ht="16" hidden="false" customHeight="false" outlineLevel="0" collapsed="false">
      <c r="D57" s="1" t="str">
        <f aca="false">IF(B57&amp;" "&amp;C57=" ","",B57&amp;" "&amp;C57)</f>
        <v/>
      </c>
    </row>
    <row r="58" customFormat="false" ht="16" hidden="false" customHeight="false" outlineLevel="0" collapsed="false">
      <c r="D58" s="1" t="str">
        <f aca="false">IF(B58&amp;" "&amp;C58=" ","",B58&amp;" "&amp;C58)</f>
        <v/>
      </c>
    </row>
    <row r="59" customFormat="false" ht="16" hidden="false" customHeight="false" outlineLevel="0" collapsed="false">
      <c r="D59" s="1" t="str">
        <f aca="false">IF(B59&amp;" "&amp;C59=" ","",B59&amp;" "&amp;C59)</f>
        <v/>
      </c>
    </row>
    <row r="60" customFormat="false" ht="16" hidden="false" customHeight="false" outlineLevel="0" collapsed="false">
      <c r="D60" s="1" t="str">
        <f aca="false">IF(B60&amp;" "&amp;C60=" ","",B60&amp;" "&amp;C60)</f>
        <v/>
      </c>
    </row>
    <row r="61" customFormat="false" ht="16" hidden="false" customHeight="false" outlineLevel="0" collapsed="false">
      <c r="D61" s="1" t="str">
        <f aca="false">IF(B61&amp;" "&amp;C61=" ","",B61&amp;" "&amp;C61)</f>
        <v/>
      </c>
    </row>
    <row r="62" customFormat="false" ht="16" hidden="false" customHeight="false" outlineLevel="0" collapsed="false">
      <c r="D62" s="1" t="str">
        <f aca="false">IF(B62&amp;" "&amp;C62=" ","",B62&amp;" "&amp;C62)</f>
        <v/>
      </c>
    </row>
    <row r="63" customFormat="false" ht="16" hidden="false" customHeight="false" outlineLevel="0" collapsed="false">
      <c r="D63" s="1" t="str">
        <f aca="false">IF(B63&amp;" "&amp;C63=" ","",B63&amp;" "&amp;C63)</f>
        <v/>
      </c>
    </row>
    <row r="64" customFormat="false" ht="16" hidden="false" customHeight="false" outlineLevel="0" collapsed="false">
      <c r="D64" s="1" t="str">
        <f aca="false">IF(B64&amp;" "&amp;C64=" ","",B64&amp;" "&amp;C64)</f>
        <v/>
      </c>
    </row>
    <row r="65" customFormat="false" ht="16" hidden="false" customHeight="false" outlineLevel="0" collapsed="false">
      <c r="D65" s="1" t="str">
        <f aca="false">IF(B65&amp;" "&amp;C65=" ","",B65&amp;" "&amp;C65)</f>
        <v/>
      </c>
    </row>
    <row r="66" customFormat="false" ht="16" hidden="false" customHeight="false" outlineLevel="0" collapsed="false">
      <c r="D66" s="1" t="str">
        <f aca="false">IF(B66&amp;" "&amp;C66=" ","",B66&amp;" "&amp;C66)</f>
        <v/>
      </c>
    </row>
    <row r="67" customFormat="false" ht="16" hidden="false" customHeight="false" outlineLevel="0" collapsed="false">
      <c r="D67" s="1" t="str">
        <f aca="false">IF(B67&amp;" "&amp;C67=" ","",B67&amp;" "&amp;C67)</f>
        <v/>
      </c>
    </row>
    <row r="68" customFormat="false" ht="16" hidden="false" customHeight="false" outlineLevel="0" collapsed="false">
      <c r="D68" s="1" t="str">
        <f aca="false">IF(B68&amp;" "&amp;C68=" ","",B68&amp;" "&amp;C68)</f>
        <v/>
      </c>
    </row>
    <row r="69" customFormat="false" ht="16" hidden="false" customHeight="false" outlineLevel="0" collapsed="false">
      <c r="D69" s="1" t="str">
        <f aca="false">IF(B69&amp;" "&amp;C69=" ","",B69&amp;" "&amp;C69)</f>
        <v/>
      </c>
    </row>
    <row r="70" customFormat="false" ht="16" hidden="false" customHeight="false" outlineLevel="0" collapsed="false">
      <c r="D70" s="1" t="str">
        <f aca="false">IF(B70&amp;" "&amp;C70=" ","",B70&amp;" "&amp;C70)</f>
        <v/>
      </c>
    </row>
    <row r="71" customFormat="false" ht="16" hidden="false" customHeight="false" outlineLevel="0" collapsed="false">
      <c r="D71" s="1" t="str">
        <f aca="false">IF(B71&amp;" "&amp;C71=" ","",B71&amp;" "&amp;C71)</f>
        <v/>
      </c>
    </row>
    <row r="72" customFormat="false" ht="16" hidden="false" customHeight="false" outlineLevel="0" collapsed="false">
      <c r="D72" s="1" t="str">
        <f aca="false">IF(B72&amp;" "&amp;C72=" ","",B72&amp;" "&amp;C72)</f>
        <v/>
      </c>
    </row>
    <row r="73" customFormat="false" ht="16" hidden="false" customHeight="false" outlineLevel="0" collapsed="false">
      <c r="D73" s="1" t="str">
        <f aca="false">IF(B73&amp;" "&amp;C73=" ","",B73&amp;" "&amp;C73)</f>
        <v/>
      </c>
    </row>
    <row r="74" customFormat="false" ht="16" hidden="false" customHeight="false" outlineLevel="0" collapsed="false">
      <c r="D74" s="1" t="str">
        <f aca="false">IF(B74&amp;" "&amp;C74=" ","",B74&amp;" "&amp;C74)</f>
        <v/>
      </c>
    </row>
    <row r="75" customFormat="false" ht="16" hidden="false" customHeight="false" outlineLevel="0" collapsed="false">
      <c r="D75" s="1" t="str">
        <f aca="false">IF(B75&amp;" "&amp;C75=" ","",B75&amp;" "&amp;C75)</f>
        <v/>
      </c>
    </row>
    <row r="76" customFormat="false" ht="16" hidden="false" customHeight="false" outlineLevel="0" collapsed="false">
      <c r="D76" s="1" t="str">
        <f aca="false">IF(B76&amp;" "&amp;C76=" ","",B76&amp;" "&amp;C76)</f>
        <v/>
      </c>
    </row>
    <row r="77" customFormat="false" ht="16" hidden="false" customHeight="false" outlineLevel="0" collapsed="false">
      <c r="D77" s="1" t="str">
        <f aca="false">IF(B77&amp;" "&amp;C77=" ","",B77&amp;" "&amp;C77)</f>
        <v/>
      </c>
    </row>
    <row r="78" customFormat="false" ht="16" hidden="false" customHeight="false" outlineLevel="0" collapsed="false">
      <c r="D78" s="1" t="str">
        <f aca="false">IF(B78&amp;" "&amp;C78=" ","",B78&amp;" "&amp;C78)</f>
        <v/>
      </c>
    </row>
    <row r="79" customFormat="false" ht="16" hidden="false" customHeight="false" outlineLevel="0" collapsed="false">
      <c r="D79" s="1" t="str">
        <f aca="false">IF(B79&amp;" "&amp;C79=" ","",B79&amp;" "&amp;C79)</f>
        <v/>
      </c>
    </row>
    <row r="80" customFormat="false" ht="16" hidden="false" customHeight="false" outlineLevel="0" collapsed="false">
      <c r="D80" s="1" t="str">
        <f aca="false">IF(B80&amp;" "&amp;C80=" ","",B80&amp;" "&amp;C80)</f>
        <v/>
      </c>
    </row>
    <row r="81" customFormat="false" ht="16" hidden="false" customHeight="false" outlineLevel="0" collapsed="false">
      <c r="D81" s="1" t="str">
        <f aca="false">IF(B81&amp;" "&amp;C81=" ","",B81&amp;" "&amp;C81)</f>
        <v/>
      </c>
    </row>
    <row r="82" customFormat="false" ht="16" hidden="false" customHeight="false" outlineLevel="0" collapsed="false">
      <c r="D82" s="1" t="str">
        <f aca="false">IF(B82&amp;" "&amp;C82=" ","",B82&amp;" "&amp;C82)</f>
        <v/>
      </c>
    </row>
    <row r="83" customFormat="false" ht="16" hidden="false" customHeight="false" outlineLevel="0" collapsed="false">
      <c r="D83" s="1" t="str">
        <f aca="false">IF(B83&amp;" "&amp;C83=" ","",B83&amp;" "&amp;C83)</f>
        <v/>
      </c>
    </row>
    <row r="84" customFormat="false" ht="16" hidden="false" customHeight="false" outlineLevel="0" collapsed="false">
      <c r="D84" s="1" t="str">
        <f aca="false">IF(B84&amp;" "&amp;C84=" ","",B84&amp;" "&amp;C84)</f>
        <v/>
      </c>
    </row>
    <row r="85" customFormat="false" ht="16" hidden="false" customHeight="false" outlineLevel="0" collapsed="false">
      <c r="D85" s="1" t="str">
        <f aca="false">IF(B85&amp;" "&amp;C85=" ","",B85&amp;" "&amp;C85)</f>
        <v/>
      </c>
    </row>
    <row r="86" customFormat="false" ht="16" hidden="false" customHeight="false" outlineLevel="0" collapsed="false">
      <c r="D86" s="1" t="str">
        <f aca="false">IF(B86&amp;" "&amp;C86=" ","",B86&amp;" "&amp;C86)</f>
        <v/>
      </c>
    </row>
    <row r="87" customFormat="false" ht="16" hidden="false" customHeight="false" outlineLevel="0" collapsed="false">
      <c r="D87" s="1" t="str">
        <f aca="false">IF(B87&amp;" "&amp;C87=" ","",B87&amp;" "&amp;C87)</f>
        <v/>
      </c>
    </row>
    <row r="88" customFormat="false" ht="16" hidden="false" customHeight="false" outlineLevel="0" collapsed="false">
      <c r="D88" s="1" t="str">
        <f aca="false">IF(B88&amp;" "&amp;C88=" ","",B88&amp;" "&amp;C88)</f>
        <v/>
      </c>
    </row>
    <row r="89" customFormat="false" ht="16" hidden="false" customHeight="false" outlineLevel="0" collapsed="false">
      <c r="D89" s="1" t="str">
        <f aca="false">IF(B89&amp;" "&amp;C89=" ","",B89&amp;" "&amp;C89)</f>
        <v/>
      </c>
    </row>
    <row r="90" customFormat="false" ht="16" hidden="false" customHeight="false" outlineLevel="0" collapsed="false">
      <c r="D90" s="1" t="str">
        <f aca="false">IF(B90&amp;" "&amp;C90=" ","",B90&amp;" "&amp;C90)</f>
        <v/>
      </c>
    </row>
    <row r="91" customFormat="false" ht="16" hidden="false" customHeight="false" outlineLevel="0" collapsed="false">
      <c r="D91" s="1" t="str">
        <f aca="false">IF(B91&amp;" "&amp;C91=" ","",B91&amp;" "&amp;C91)</f>
        <v/>
      </c>
    </row>
    <row r="92" customFormat="false" ht="16" hidden="false" customHeight="false" outlineLevel="0" collapsed="false">
      <c r="D92" s="1" t="str">
        <f aca="false">IF(B92&amp;" "&amp;C92=" ","",B92&amp;" "&amp;C92)</f>
        <v/>
      </c>
    </row>
    <row r="93" customFormat="false" ht="16" hidden="false" customHeight="false" outlineLevel="0" collapsed="false">
      <c r="D93" s="1" t="str">
        <f aca="false">IF(B93&amp;" "&amp;C93=" ","",B93&amp;" "&amp;C93)</f>
        <v/>
      </c>
    </row>
    <row r="94" customFormat="false" ht="16" hidden="false" customHeight="false" outlineLevel="0" collapsed="false">
      <c r="D94" s="1" t="str">
        <f aca="false">IF(B94&amp;" "&amp;C94=" ","",B94&amp;" "&amp;C94)</f>
        <v/>
      </c>
    </row>
    <row r="95" customFormat="false" ht="16" hidden="false" customHeight="false" outlineLevel="0" collapsed="false">
      <c r="D95" s="1" t="str">
        <f aca="false">IF(B95&amp;" "&amp;C95=" ","",B95&amp;" "&amp;C95)</f>
        <v/>
      </c>
    </row>
    <row r="96" customFormat="false" ht="16" hidden="false" customHeight="false" outlineLevel="0" collapsed="false">
      <c r="D96" s="1" t="str">
        <f aca="false">IF(B96&amp;" "&amp;C96=" ","",B96&amp;" "&amp;C96)</f>
        <v/>
      </c>
    </row>
    <row r="97" customFormat="false" ht="16" hidden="false" customHeight="false" outlineLevel="0" collapsed="false">
      <c r="D97" s="1" t="str">
        <f aca="false">IF(B97&amp;" "&amp;C97=" ","",B97&amp;" "&amp;C97)</f>
        <v/>
      </c>
    </row>
    <row r="98" customFormat="false" ht="16" hidden="false" customHeight="false" outlineLevel="0" collapsed="false">
      <c r="D98" s="1" t="str">
        <f aca="false">IF(B98&amp;" "&amp;C98=" ","",B98&amp;" "&amp;C98)</f>
        <v/>
      </c>
    </row>
    <row r="99" customFormat="false" ht="16" hidden="false" customHeight="false" outlineLevel="0" collapsed="false">
      <c r="D99" s="1" t="str">
        <f aca="false">IF(B99&amp;" "&amp;C99=" ","",B99&amp;" "&amp;C99)</f>
        <v/>
      </c>
    </row>
    <row r="100" customFormat="false" ht="16" hidden="false" customHeight="false" outlineLevel="0" collapsed="false">
      <c r="D100" s="1" t="str">
        <f aca="false">IF(B100&amp;" "&amp;C100=" ","",B100&amp;" "&amp;C100)</f>
        <v/>
      </c>
    </row>
    <row r="101" customFormat="false" ht="16" hidden="false" customHeight="false" outlineLevel="0" collapsed="false">
      <c r="D101" s="1" t="str">
        <f aca="false">IF(B101&amp;" "&amp;C101=" ","",B101&amp;" "&amp;C101)</f>
        <v/>
      </c>
    </row>
    <row r="102" customFormat="false" ht="16" hidden="false" customHeight="false" outlineLevel="0" collapsed="false">
      <c r="D102" s="1" t="str">
        <f aca="false">IF(B102&amp;" "&amp;C102=" ","",B102&amp;" "&amp;C102)</f>
        <v/>
      </c>
    </row>
    <row r="103" customFormat="false" ht="16" hidden="false" customHeight="false" outlineLevel="0" collapsed="false">
      <c r="D103" s="1" t="str">
        <f aca="false">IF(B103&amp;" "&amp;C103=" ","",B103&amp;" "&amp;C103)</f>
        <v/>
      </c>
    </row>
    <row r="104" customFormat="false" ht="16" hidden="false" customHeight="false" outlineLevel="0" collapsed="false">
      <c r="D104" s="1" t="str">
        <f aca="false">IF(B104&amp;" "&amp;C104=" ","",B104&amp;" "&amp;C104)</f>
        <v/>
      </c>
    </row>
    <row r="105" customFormat="false" ht="16" hidden="false" customHeight="false" outlineLevel="0" collapsed="false">
      <c r="D105" s="1" t="str">
        <f aca="false">IF(B105&amp;" "&amp;C105=" ","",B105&amp;" "&amp;C105)</f>
        <v/>
      </c>
    </row>
    <row r="106" customFormat="false" ht="16" hidden="false" customHeight="false" outlineLevel="0" collapsed="false">
      <c r="D106" s="1" t="str">
        <f aca="false">IF(B106&amp;" "&amp;C106=" ","",B106&amp;" "&amp;C106)</f>
        <v/>
      </c>
    </row>
    <row r="107" customFormat="false" ht="16" hidden="false" customHeight="false" outlineLevel="0" collapsed="false">
      <c r="D107" s="1" t="str">
        <f aca="false">IF(B107&amp;" "&amp;C107=" ","",B107&amp;" "&amp;C107)</f>
        <v/>
      </c>
    </row>
    <row r="108" customFormat="false" ht="16" hidden="false" customHeight="false" outlineLevel="0" collapsed="false">
      <c r="D108" s="1" t="str">
        <f aca="false">IF(B108&amp;" "&amp;C108=" ","",B108&amp;" "&amp;C108)</f>
        <v/>
      </c>
    </row>
    <row r="109" customFormat="false" ht="16" hidden="false" customHeight="false" outlineLevel="0" collapsed="false">
      <c r="D109" s="1" t="str">
        <f aca="false">IF(B109&amp;" "&amp;C109=" ","",B109&amp;" "&amp;C109)</f>
        <v/>
      </c>
    </row>
    <row r="110" customFormat="false" ht="16" hidden="false" customHeight="false" outlineLevel="0" collapsed="false">
      <c r="D110" s="1" t="str">
        <f aca="false">IF(B110&amp;" "&amp;C110=" ","",B110&amp;" "&amp;C110)</f>
        <v/>
      </c>
    </row>
    <row r="111" customFormat="false" ht="16" hidden="false" customHeight="false" outlineLevel="0" collapsed="false">
      <c r="D111" s="1" t="str">
        <f aca="false">IF(B111&amp;" "&amp;C111=" ","",B111&amp;" "&amp;C111)</f>
        <v/>
      </c>
    </row>
    <row r="112" customFormat="false" ht="16" hidden="false" customHeight="false" outlineLevel="0" collapsed="false">
      <c r="D112" s="1" t="str">
        <f aca="false">IF(B112&amp;" "&amp;C112=" ","",B112&amp;" "&amp;C112)</f>
        <v/>
      </c>
    </row>
    <row r="113" customFormat="false" ht="16" hidden="false" customHeight="false" outlineLevel="0" collapsed="false">
      <c r="D113" s="1" t="str">
        <f aca="false">IF(B113&amp;" "&amp;C113=" ","",B113&amp;" "&amp;C113)</f>
        <v/>
      </c>
    </row>
    <row r="114" customFormat="false" ht="16" hidden="false" customHeight="false" outlineLevel="0" collapsed="false">
      <c r="D114" s="1" t="str">
        <f aca="false">IF(B114&amp;" "&amp;C114=" ","",B114&amp;" "&amp;C114)</f>
        <v/>
      </c>
    </row>
    <row r="115" customFormat="false" ht="16" hidden="false" customHeight="false" outlineLevel="0" collapsed="false">
      <c r="D115" s="1" t="str">
        <f aca="false">IF(B115&amp;" "&amp;C115=" ","",B115&amp;" "&amp;C115)</f>
        <v/>
      </c>
    </row>
    <row r="116" customFormat="false" ht="16" hidden="false" customHeight="false" outlineLevel="0" collapsed="false">
      <c r="D116" s="1" t="str">
        <f aca="false">IF(B116&amp;" "&amp;C116=" ","",B116&amp;" "&amp;C116)</f>
        <v/>
      </c>
    </row>
    <row r="117" customFormat="false" ht="16" hidden="false" customHeight="false" outlineLevel="0" collapsed="false">
      <c r="D117" s="1" t="str">
        <f aca="false">IF(B117&amp;" "&amp;C117=" ","",B117&amp;" "&amp;C117)</f>
        <v/>
      </c>
    </row>
    <row r="118" customFormat="false" ht="16" hidden="false" customHeight="false" outlineLevel="0" collapsed="false">
      <c r="D118" s="1" t="str">
        <f aca="false">IF(B118&amp;" "&amp;C118=" ","",B118&amp;" "&amp;C118)</f>
        <v/>
      </c>
    </row>
    <row r="119" customFormat="false" ht="16" hidden="false" customHeight="false" outlineLevel="0" collapsed="false">
      <c r="D119" s="1" t="str">
        <f aca="false">IF(B119&amp;" "&amp;C119=" ","",B119&amp;" "&amp;C119)</f>
        <v/>
      </c>
    </row>
    <row r="120" customFormat="false" ht="16" hidden="false" customHeight="false" outlineLevel="0" collapsed="false">
      <c r="D120" s="1" t="str">
        <f aca="false">IF(B120&amp;" "&amp;C120=" ","",B120&amp;" "&amp;C120)</f>
        <v/>
      </c>
    </row>
    <row r="121" customFormat="false" ht="16" hidden="false" customHeight="false" outlineLevel="0" collapsed="false">
      <c r="D121" s="1" t="str">
        <f aca="false">IF(B121&amp;" "&amp;C121=" ","",B121&amp;" "&amp;C121)</f>
        <v/>
      </c>
    </row>
    <row r="122" customFormat="false" ht="16" hidden="false" customHeight="false" outlineLevel="0" collapsed="false">
      <c r="D122" s="1" t="str">
        <f aca="false">IF(B122&amp;" "&amp;C122=" ","",B122&amp;" "&amp;C122)</f>
        <v/>
      </c>
    </row>
    <row r="123" customFormat="false" ht="16" hidden="false" customHeight="false" outlineLevel="0" collapsed="false">
      <c r="D123" s="1" t="str">
        <f aca="false">IF(B123&amp;" "&amp;C123=" ","",B123&amp;" "&amp;C123)</f>
        <v/>
      </c>
    </row>
    <row r="124" customFormat="false" ht="16" hidden="false" customHeight="false" outlineLevel="0" collapsed="false">
      <c r="D124" s="1" t="str">
        <f aca="false">IF(B124&amp;" "&amp;C124=" ","",B124&amp;" "&amp;C124)</f>
        <v/>
      </c>
    </row>
    <row r="125" customFormat="false" ht="16" hidden="false" customHeight="false" outlineLevel="0" collapsed="false">
      <c r="D125" s="1" t="str">
        <f aca="false">IF(B125&amp;" "&amp;C125=" ","",B125&amp;" "&amp;C125)</f>
        <v/>
      </c>
    </row>
    <row r="126" customFormat="false" ht="16" hidden="false" customHeight="false" outlineLevel="0" collapsed="false">
      <c r="D126" s="1" t="str">
        <f aca="false">IF(B126&amp;" "&amp;C126=" ","",B126&amp;" "&amp;C126)</f>
        <v/>
      </c>
    </row>
    <row r="127" customFormat="false" ht="16" hidden="false" customHeight="false" outlineLevel="0" collapsed="false">
      <c r="D127" s="1" t="str">
        <f aca="false">IF(B127&amp;" "&amp;C127=" ","",B127&amp;" "&amp;C127)</f>
        <v/>
      </c>
    </row>
    <row r="128" customFormat="false" ht="16" hidden="false" customHeight="false" outlineLevel="0" collapsed="false">
      <c r="D128" s="1" t="str">
        <f aca="false">IF(B128&amp;" "&amp;C128=" ","",B128&amp;" "&amp;C128)</f>
        <v/>
      </c>
    </row>
    <row r="129" customFormat="false" ht="16" hidden="false" customHeight="false" outlineLevel="0" collapsed="false">
      <c r="D129" s="1" t="str">
        <f aca="false">IF(B129&amp;" "&amp;C129=" ","",B129&amp;" "&amp;C129)</f>
        <v/>
      </c>
    </row>
    <row r="130" customFormat="false" ht="16" hidden="false" customHeight="false" outlineLevel="0" collapsed="false">
      <c r="D130" s="1" t="str">
        <f aca="false">IF(B130&amp;" "&amp;C130=" ","",B130&amp;" "&amp;C130)</f>
        <v/>
      </c>
    </row>
    <row r="131" customFormat="false" ht="16" hidden="false" customHeight="false" outlineLevel="0" collapsed="false">
      <c r="D131" s="1" t="str">
        <f aca="false">IF(B131&amp;" "&amp;C131=" ","",B131&amp;" "&amp;C131)</f>
        <v/>
      </c>
    </row>
    <row r="132" customFormat="false" ht="16" hidden="false" customHeight="false" outlineLevel="0" collapsed="false">
      <c r="D132" s="1" t="str">
        <f aca="false">IF(B132&amp;" "&amp;C132=" ","",B132&amp;" "&amp;C132)</f>
        <v/>
      </c>
    </row>
    <row r="133" customFormat="false" ht="16" hidden="false" customHeight="false" outlineLevel="0" collapsed="false">
      <c r="D133" s="1" t="str">
        <f aca="false">IF(B133&amp;" "&amp;C133=" ","",B133&amp;" "&amp;C133)</f>
        <v/>
      </c>
    </row>
    <row r="134" customFormat="false" ht="16" hidden="false" customHeight="false" outlineLevel="0" collapsed="false">
      <c r="D134" s="1" t="str">
        <f aca="false">IF(B134&amp;" "&amp;C134=" ","",B134&amp;" "&amp;C134)</f>
        <v/>
      </c>
    </row>
    <row r="135" customFormat="false" ht="16" hidden="false" customHeight="false" outlineLevel="0" collapsed="false">
      <c r="D135" s="1" t="str">
        <f aca="false">IF(B135&amp;" "&amp;C135=" ","",B135&amp;" "&amp;C135)</f>
        <v/>
      </c>
    </row>
    <row r="136" customFormat="false" ht="16" hidden="false" customHeight="false" outlineLevel="0" collapsed="false">
      <c r="D136" s="1" t="str">
        <f aca="false">IF(B136&amp;" "&amp;C136=" ","",B136&amp;" "&amp;C136)</f>
        <v/>
      </c>
    </row>
    <row r="137" customFormat="false" ht="16" hidden="false" customHeight="false" outlineLevel="0" collapsed="false">
      <c r="D137" s="1" t="str">
        <f aca="false">IF(B137&amp;" "&amp;C137=" ","",B137&amp;" "&amp;C137)</f>
        <v/>
      </c>
    </row>
    <row r="138" customFormat="false" ht="16" hidden="false" customHeight="false" outlineLevel="0" collapsed="false">
      <c r="D138" s="1" t="str">
        <f aca="false">IF(B138&amp;" "&amp;C138=" ","",B138&amp;" "&amp;C138)</f>
        <v/>
      </c>
    </row>
    <row r="139" customFormat="false" ht="16" hidden="false" customHeight="false" outlineLevel="0" collapsed="false">
      <c r="D139" s="1" t="str">
        <f aca="false">IF(B139&amp;" "&amp;C139=" ","",B139&amp;" "&amp;C139)</f>
        <v/>
      </c>
    </row>
    <row r="140" customFormat="false" ht="16" hidden="false" customHeight="false" outlineLevel="0" collapsed="false">
      <c r="D140" s="1" t="str">
        <f aca="false">IF(B140&amp;" "&amp;C140=" ","",B140&amp;" "&amp;C140)</f>
        <v/>
      </c>
    </row>
    <row r="141" customFormat="false" ht="16" hidden="false" customHeight="false" outlineLevel="0" collapsed="false">
      <c r="D141" s="1" t="str">
        <f aca="false">IF(B141&amp;" "&amp;C141=" ","",B141&amp;" "&amp;C141)</f>
        <v/>
      </c>
    </row>
    <row r="142" customFormat="false" ht="16" hidden="false" customHeight="false" outlineLevel="0" collapsed="false">
      <c r="D142" s="1" t="str">
        <f aca="false">IF(B142&amp;" "&amp;C142=" ","",B142&amp;" "&amp;C142)</f>
        <v/>
      </c>
    </row>
    <row r="143" customFormat="false" ht="16" hidden="false" customHeight="false" outlineLevel="0" collapsed="false">
      <c r="D143" s="1" t="str">
        <f aca="false">IF(B143&amp;" "&amp;C143=" ","",B143&amp;" "&amp;C143)</f>
        <v/>
      </c>
    </row>
    <row r="144" customFormat="false" ht="16" hidden="false" customHeight="false" outlineLevel="0" collapsed="false">
      <c r="D144" s="1" t="str">
        <f aca="false">IF(B144&amp;" "&amp;C144=" ","",B144&amp;" "&amp;C144)</f>
        <v/>
      </c>
    </row>
    <row r="145" customFormat="false" ht="16" hidden="false" customHeight="false" outlineLevel="0" collapsed="false">
      <c r="D145" s="1" t="str">
        <f aca="false">IF(B145&amp;" "&amp;C145=" ","",B145&amp;" "&amp;C145)</f>
        <v/>
      </c>
    </row>
    <row r="146" customFormat="false" ht="16" hidden="false" customHeight="false" outlineLevel="0" collapsed="false">
      <c r="D146" s="1" t="str">
        <f aca="false">IF(B146&amp;" "&amp;C146=" ","",B146&amp;" "&amp;C146)</f>
        <v/>
      </c>
    </row>
    <row r="147" customFormat="false" ht="16" hidden="false" customHeight="false" outlineLevel="0" collapsed="false">
      <c r="D147" s="1" t="str">
        <f aca="false">IF(B147&amp;" "&amp;C147=" ","",B147&amp;" "&amp;C147)</f>
        <v/>
      </c>
    </row>
    <row r="148" customFormat="false" ht="16" hidden="false" customHeight="false" outlineLevel="0" collapsed="false">
      <c r="D148" s="1" t="str">
        <f aca="false">IF(B148&amp;" "&amp;C148=" ","",B148&amp;" "&amp;C148)</f>
        <v/>
      </c>
    </row>
    <row r="149" customFormat="false" ht="16" hidden="false" customHeight="false" outlineLevel="0" collapsed="false">
      <c r="D149" s="1" t="str">
        <f aca="false">IF(B149&amp;" "&amp;C149=" ","",B149&amp;" "&amp;C149)</f>
        <v/>
      </c>
    </row>
    <row r="150" customFormat="false" ht="16" hidden="false" customHeight="false" outlineLevel="0" collapsed="false">
      <c r="D150" s="1" t="str">
        <f aca="false">IF(B150&amp;" "&amp;C150=" ","",B150&amp;" "&amp;C150)</f>
        <v/>
      </c>
    </row>
    <row r="151" customFormat="false" ht="16" hidden="false" customHeight="false" outlineLevel="0" collapsed="false">
      <c r="D151" s="1" t="str">
        <f aca="false">IF(B151&amp;" "&amp;C151=" ","",B151&amp;" "&amp;C151)</f>
        <v/>
      </c>
    </row>
    <row r="152" customFormat="false" ht="16" hidden="false" customHeight="false" outlineLevel="0" collapsed="false">
      <c r="D152" s="1" t="str">
        <f aca="false">IF(B152&amp;" "&amp;C152=" ","",B152&amp;" "&amp;C152)</f>
        <v/>
      </c>
    </row>
    <row r="153" customFormat="false" ht="16" hidden="false" customHeight="false" outlineLevel="0" collapsed="false">
      <c r="D153" s="1" t="str">
        <f aca="false">IF(B153&amp;" "&amp;C153=" ","",B153&amp;" "&amp;C153)</f>
        <v/>
      </c>
    </row>
    <row r="154" customFormat="false" ht="16" hidden="false" customHeight="false" outlineLevel="0" collapsed="false">
      <c r="D154" s="1" t="str">
        <f aca="false">IF(B154&amp;" "&amp;C154=" ","",B154&amp;" "&amp;C154)</f>
        <v/>
      </c>
    </row>
    <row r="155" customFormat="false" ht="16" hidden="false" customHeight="false" outlineLevel="0" collapsed="false">
      <c r="D155" s="1" t="str">
        <f aca="false">IF(B155&amp;" "&amp;C155=" ","",B155&amp;" "&amp;C155)</f>
        <v/>
      </c>
    </row>
    <row r="156" customFormat="false" ht="16" hidden="false" customHeight="false" outlineLevel="0" collapsed="false">
      <c r="D156" s="1" t="str">
        <f aca="false">IF(B156&amp;" "&amp;C156=" ","",B156&amp;" "&amp;C156)</f>
        <v/>
      </c>
    </row>
    <row r="157" customFormat="false" ht="16" hidden="false" customHeight="false" outlineLevel="0" collapsed="false">
      <c r="D157" s="1" t="str">
        <f aca="false">IF(B157&amp;" "&amp;C157=" ","",B157&amp;" "&amp;C157)</f>
        <v/>
      </c>
    </row>
    <row r="158" customFormat="false" ht="16" hidden="false" customHeight="false" outlineLevel="0" collapsed="false">
      <c r="D158" s="1" t="str">
        <f aca="false">IF(B158&amp;" "&amp;C158=" ","",B158&amp;" "&amp;C158)</f>
        <v/>
      </c>
    </row>
    <row r="159" customFormat="false" ht="16" hidden="false" customHeight="false" outlineLevel="0" collapsed="false">
      <c r="D159" s="1" t="str">
        <f aca="false">IF(B159&amp;" "&amp;C159=" ","",B159&amp;" "&amp;C159)</f>
        <v/>
      </c>
    </row>
    <row r="160" customFormat="false" ht="16" hidden="false" customHeight="false" outlineLevel="0" collapsed="false">
      <c r="D160" s="1" t="str">
        <f aca="false">IF(B160&amp;" "&amp;C160=" ","",B160&amp;" "&amp;C160)</f>
        <v/>
      </c>
    </row>
    <row r="161" customFormat="false" ht="16" hidden="false" customHeight="false" outlineLevel="0" collapsed="false">
      <c r="D161" s="1" t="str">
        <f aca="false">IF(B161&amp;" "&amp;C161=" ","",B161&amp;" "&amp;C161)</f>
        <v/>
      </c>
    </row>
    <row r="162" customFormat="false" ht="16" hidden="false" customHeight="false" outlineLevel="0" collapsed="false">
      <c r="D162" s="1" t="str">
        <f aca="false">IF(B162&amp;" "&amp;C162=" ","",B162&amp;" "&amp;C162)</f>
        <v/>
      </c>
    </row>
    <row r="163" customFormat="false" ht="16" hidden="false" customHeight="false" outlineLevel="0" collapsed="false">
      <c r="D163" s="1" t="str">
        <f aca="false">IF(B163&amp;" "&amp;C163=" ","",B163&amp;" "&amp;C163)</f>
        <v/>
      </c>
    </row>
    <row r="164" customFormat="false" ht="16" hidden="false" customHeight="false" outlineLevel="0" collapsed="false">
      <c r="D164" s="1" t="str">
        <f aca="false">IF(B164&amp;" "&amp;C164=" ","",B164&amp;" "&amp;C164)</f>
        <v/>
      </c>
    </row>
    <row r="165" customFormat="false" ht="16" hidden="false" customHeight="false" outlineLevel="0" collapsed="false">
      <c r="D165" s="1" t="str">
        <f aca="false">IF(B165&amp;" "&amp;C165=" ","",B165&amp;" "&amp;C165)</f>
        <v/>
      </c>
    </row>
    <row r="166" customFormat="false" ht="16" hidden="false" customHeight="false" outlineLevel="0" collapsed="false">
      <c r="D166" s="1" t="str">
        <f aca="false">IF(B166&amp;" "&amp;C166=" ","",B166&amp;" "&amp;C166)</f>
        <v/>
      </c>
    </row>
    <row r="167" customFormat="false" ht="16" hidden="false" customHeight="false" outlineLevel="0" collapsed="false">
      <c r="D167" s="1" t="str">
        <f aca="false">IF(B167&amp;" "&amp;C167=" ","",B167&amp;" "&amp;C167)</f>
        <v/>
      </c>
    </row>
    <row r="168" customFormat="false" ht="16" hidden="false" customHeight="false" outlineLevel="0" collapsed="false">
      <c r="D168" s="1" t="str">
        <f aca="false">IF(B168&amp;" "&amp;C168=" ","",B168&amp;" "&amp;C168)</f>
        <v/>
      </c>
    </row>
    <row r="169" customFormat="false" ht="16" hidden="false" customHeight="false" outlineLevel="0" collapsed="false">
      <c r="D169" s="1" t="str">
        <f aca="false">IF(B169&amp;" "&amp;C169=" ","",B169&amp;" "&amp;C169)</f>
        <v/>
      </c>
    </row>
    <row r="170" customFormat="false" ht="16" hidden="false" customHeight="false" outlineLevel="0" collapsed="false">
      <c r="D170" s="1" t="str">
        <f aca="false">IF(B170&amp;" "&amp;C170=" ","",B170&amp;" "&amp;C170)</f>
        <v/>
      </c>
    </row>
    <row r="171" customFormat="false" ht="16" hidden="false" customHeight="false" outlineLevel="0" collapsed="false">
      <c r="D171" s="1" t="str">
        <f aca="false">IF(B171&amp;" "&amp;C171=" ","",B171&amp;" "&amp;C171)</f>
        <v/>
      </c>
    </row>
    <row r="172" customFormat="false" ht="16" hidden="false" customHeight="false" outlineLevel="0" collapsed="false">
      <c r="D172" s="1" t="str">
        <f aca="false">IF(B172&amp;" "&amp;C172=" ","",B172&amp;" "&amp;C172)</f>
        <v/>
      </c>
    </row>
    <row r="173" customFormat="false" ht="16" hidden="false" customHeight="false" outlineLevel="0" collapsed="false">
      <c r="D173" s="1" t="str">
        <f aca="false">IF(B173&amp;" "&amp;C173=" ","",B173&amp;" "&amp;C173)</f>
        <v/>
      </c>
    </row>
    <row r="174" customFormat="false" ht="16" hidden="false" customHeight="false" outlineLevel="0" collapsed="false">
      <c r="D174" s="1" t="str">
        <f aca="false">IF(B174&amp;" "&amp;C174=" ","",B174&amp;" "&amp;C174)</f>
        <v/>
      </c>
    </row>
    <row r="175" customFormat="false" ht="16" hidden="false" customHeight="false" outlineLevel="0" collapsed="false">
      <c r="D175" s="1" t="str">
        <f aca="false">IF(B175&amp;" "&amp;C175=" ","",B175&amp;" "&amp;C175)</f>
        <v/>
      </c>
    </row>
    <row r="176" customFormat="false" ht="16" hidden="false" customHeight="false" outlineLevel="0" collapsed="false">
      <c r="D176" s="1" t="str">
        <f aca="false">IF(B176&amp;" "&amp;C176=" ","",B176&amp;" "&amp;C176)</f>
        <v/>
      </c>
    </row>
    <row r="177" customFormat="false" ht="16" hidden="false" customHeight="false" outlineLevel="0" collapsed="false">
      <c r="D177" s="1" t="str">
        <f aca="false">IF(B177&amp;" "&amp;C177=" ","",B177&amp;" "&amp;C177)</f>
        <v/>
      </c>
    </row>
    <row r="178" customFormat="false" ht="16" hidden="false" customHeight="false" outlineLevel="0" collapsed="false">
      <c r="D178" s="1" t="str">
        <f aca="false">IF(B178&amp;" "&amp;C178=" ","",B178&amp;" "&amp;C178)</f>
        <v/>
      </c>
    </row>
    <row r="179" customFormat="false" ht="16" hidden="false" customHeight="false" outlineLevel="0" collapsed="false">
      <c r="D179" s="1" t="str">
        <f aca="false">IF(B179&amp;" "&amp;C179=" ","",B179&amp;" "&amp;C179)</f>
        <v/>
      </c>
    </row>
    <row r="180" customFormat="false" ht="16" hidden="false" customHeight="false" outlineLevel="0" collapsed="false">
      <c r="D180" s="1" t="str">
        <f aca="false">IF(B180&amp;" "&amp;C180=" ","",B180&amp;" "&amp;C180)</f>
        <v/>
      </c>
    </row>
    <row r="181" customFormat="false" ht="16" hidden="false" customHeight="false" outlineLevel="0" collapsed="false">
      <c r="D181" s="1" t="str">
        <f aca="false">IF(B181&amp;" "&amp;C181=" ","",B181&amp;" "&amp;C181)</f>
        <v/>
      </c>
    </row>
    <row r="182" customFormat="false" ht="16" hidden="false" customHeight="false" outlineLevel="0" collapsed="false">
      <c r="D182" s="1" t="str">
        <f aca="false">IF(B182&amp;" "&amp;C182=" ","",B182&amp;" "&amp;C182)</f>
        <v/>
      </c>
    </row>
    <row r="183" customFormat="false" ht="16" hidden="false" customHeight="false" outlineLevel="0" collapsed="false">
      <c r="D183" s="1" t="str">
        <f aca="false">IF(B183&amp;" "&amp;C183=" ","",B183&amp;" "&amp;C183)</f>
        <v/>
      </c>
    </row>
    <row r="184" customFormat="false" ht="16" hidden="false" customHeight="false" outlineLevel="0" collapsed="false">
      <c r="D184" s="1" t="str">
        <f aca="false">IF(B184&amp;" "&amp;C184=" ","",B184&amp;" "&amp;C184)</f>
        <v/>
      </c>
    </row>
    <row r="185" customFormat="false" ht="16" hidden="false" customHeight="false" outlineLevel="0" collapsed="false">
      <c r="D185" s="1" t="str">
        <f aca="false">IF(B185&amp;" "&amp;C185=" ","",B185&amp;" "&amp;C185)</f>
        <v/>
      </c>
    </row>
    <row r="186" customFormat="false" ht="16" hidden="false" customHeight="false" outlineLevel="0" collapsed="false">
      <c r="D186" s="1" t="str">
        <f aca="false">IF(B186&amp;" "&amp;C186=" ","",B186&amp;" "&amp;C186)</f>
        <v/>
      </c>
    </row>
    <row r="187" customFormat="false" ht="16" hidden="false" customHeight="false" outlineLevel="0" collapsed="false">
      <c r="D187" s="1" t="str">
        <f aca="false">IF(B187&amp;" "&amp;C187=" ","",B187&amp;" "&amp;C187)</f>
        <v/>
      </c>
    </row>
    <row r="188" customFormat="false" ht="16" hidden="false" customHeight="false" outlineLevel="0" collapsed="false">
      <c r="D188" s="1" t="str">
        <f aca="false">IF(B188&amp;" "&amp;C188=" ","",B188&amp;" "&amp;C188)</f>
        <v/>
      </c>
    </row>
    <row r="189" customFormat="false" ht="16" hidden="false" customHeight="false" outlineLevel="0" collapsed="false">
      <c r="D189" s="1" t="str">
        <f aca="false">IF(B189&amp;" "&amp;C189=" ","",B189&amp;" "&amp;C189)</f>
        <v/>
      </c>
    </row>
    <row r="190" customFormat="false" ht="16" hidden="false" customHeight="false" outlineLevel="0" collapsed="false">
      <c r="D190" s="1" t="str">
        <f aca="false">IF(B190&amp;" "&amp;C190=" ","",B190&amp;" "&amp;C190)</f>
        <v/>
      </c>
    </row>
    <row r="191" customFormat="false" ht="16" hidden="false" customHeight="false" outlineLevel="0" collapsed="false">
      <c r="D191" s="1" t="str">
        <f aca="false">IF(B191&amp;" "&amp;C191=" ","",B191&amp;" "&amp;C191)</f>
        <v/>
      </c>
    </row>
    <row r="192" customFormat="false" ht="16" hidden="false" customHeight="false" outlineLevel="0" collapsed="false">
      <c r="D192" s="1" t="str">
        <f aca="false">IF(B192&amp;" "&amp;C192=" ","",B192&amp;" "&amp;C192)</f>
        <v/>
      </c>
    </row>
    <row r="193" customFormat="false" ht="16" hidden="false" customHeight="false" outlineLevel="0" collapsed="false">
      <c r="D193" s="1" t="str">
        <f aca="false">IF(B193&amp;" "&amp;C193=" ","",B193&amp;" "&amp;C193)</f>
        <v/>
      </c>
    </row>
    <row r="194" customFormat="false" ht="16" hidden="false" customHeight="false" outlineLevel="0" collapsed="false">
      <c r="D194" s="1" t="str">
        <f aca="false">IF(B194&amp;" "&amp;C194=" ","",B194&amp;" "&amp;C194)</f>
        <v/>
      </c>
    </row>
    <row r="195" customFormat="false" ht="16" hidden="false" customHeight="false" outlineLevel="0" collapsed="false">
      <c r="D195" s="1" t="str">
        <f aca="false">IF(B195&amp;" "&amp;C195=" ","",B195&amp;" "&amp;C195)</f>
        <v/>
      </c>
    </row>
    <row r="196" customFormat="false" ht="16" hidden="false" customHeight="false" outlineLevel="0" collapsed="false">
      <c r="D196" s="1" t="str">
        <f aca="false">IF(B196&amp;" "&amp;C196=" ","",B196&amp;" "&amp;C196)</f>
        <v/>
      </c>
    </row>
    <row r="197" customFormat="false" ht="16" hidden="false" customHeight="false" outlineLevel="0" collapsed="false">
      <c r="D197" s="1" t="str">
        <f aca="false">IF(B197&amp;" "&amp;C197=" ","",B197&amp;" "&amp;C197)</f>
        <v/>
      </c>
    </row>
    <row r="198" customFormat="false" ht="16" hidden="false" customHeight="false" outlineLevel="0" collapsed="false">
      <c r="D198" s="1" t="str">
        <f aca="false">IF(B198&amp;" "&amp;C198=" ","",B198&amp;" "&amp;C198)</f>
        <v/>
      </c>
    </row>
    <row r="199" customFormat="false" ht="16" hidden="false" customHeight="false" outlineLevel="0" collapsed="false">
      <c r="D199" s="1" t="str">
        <f aca="false">IF(B199&amp;" "&amp;C199=" ","",B199&amp;" "&amp;C199)</f>
        <v/>
      </c>
    </row>
    <row r="200" customFormat="false" ht="16" hidden="false" customHeight="false" outlineLevel="0" collapsed="false">
      <c r="D200" s="1" t="str">
        <f aca="false">IF(B200&amp;" "&amp;C200=" ","",B200&amp;" "&amp;C200)</f>
        <v/>
      </c>
    </row>
    <row r="201" customFormat="false" ht="16" hidden="false" customHeight="false" outlineLevel="0" collapsed="false">
      <c r="D201" s="1" t="str">
        <f aca="false">IF(B201&amp;" "&amp;C201=" ","",B201&amp;" "&amp;C201)</f>
        <v/>
      </c>
    </row>
    <row r="202" customFormat="false" ht="16" hidden="false" customHeight="false" outlineLevel="0" collapsed="false">
      <c r="D202" s="1" t="str">
        <f aca="false">IF(B202&amp;" "&amp;C202=" ","",B202&amp;" "&amp;C202)</f>
        <v/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E8" activeCellId="0" sqref="E8"/>
    </sheetView>
  </sheetViews>
  <sheetFormatPr defaultColWidth="8.62109375" defaultRowHeight="16" zeroHeight="false" outlineLevelRow="0" outlineLevelCol="0"/>
  <cols>
    <col collapsed="false" customWidth="true" hidden="false" outlineLevel="0" max="1" min="1" style="1" width="40.5"/>
    <col collapsed="false" customWidth="true" hidden="false" outlineLevel="0" max="2" min="2" style="1" width="28.33"/>
    <col collapsed="false" customWidth="true" hidden="false" outlineLevel="0" max="3" min="3" style="1" width="17.67"/>
    <col collapsed="false" customWidth="true" hidden="false" outlineLevel="0" max="4" min="4" style="1" width="15.51"/>
    <col collapsed="false" customWidth="true" hidden="false" outlineLevel="0" max="5" min="5" style="1" width="8.5"/>
    <col collapsed="false" customWidth="true" hidden="false" outlineLevel="0" max="6" min="6" style="1" width="21.82"/>
    <col collapsed="false" customWidth="true" hidden="false" outlineLevel="0" max="7" min="7" style="1" width="35.33"/>
    <col collapsed="false" customWidth="false" hidden="false" outlineLevel="0" max="8" min="8" style="1" width="8.67"/>
    <col collapsed="false" customWidth="true" hidden="false" outlineLevel="0" max="9" min="9" style="1" width="21.82"/>
    <col collapsed="false" customWidth="false" hidden="false" outlineLevel="0" max="1025" min="10" style="1" width="8.67"/>
  </cols>
  <sheetData>
    <row r="1" customFormat="false" ht="26.5" hidden="false" customHeight="true" outlineLevel="0" collapsed="false">
      <c r="A1" s="1" t="s">
        <v>690</v>
      </c>
      <c r="B1" s="1" t="s">
        <v>1</v>
      </c>
      <c r="C1" s="12" t="s">
        <v>245</v>
      </c>
      <c r="D1" s="1" t="s">
        <v>691</v>
      </c>
      <c r="E1" s="1" t="s">
        <v>692</v>
      </c>
      <c r="F1" s="12" t="s">
        <v>3</v>
      </c>
    </row>
    <row r="2" customFormat="false" ht="16" hidden="true" customHeight="false" outlineLevel="0" collapsed="false">
      <c r="M2" s="1" t="s">
        <v>355</v>
      </c>
      <c r="N2" s="1" t="s">
        <v>356</v>
      </c>
      <c r="O2" s="1" t="s">
        <v>357</v>
      </c>
    </row>
    <row r="3" customFormat="false" ht="16" hidden="false" customHeight="false" outlineLevel="0" collapsed="false">
      <c r="A3" s="4"/>
      <c r="B3" s="4"/>
      <c r="D3" s="5"/>
      <c r="E3" s="5"/>
      <c r="F3" s="5"/>
      <c r="G3" s="5"/>
    </row>
    <row r="4" s="5" customFormat="true" ht="16" hidden="false" customHeight="false" outlineLevel="0" collapsed="false">
      <c r="A4" s="13" t="s">
        <v>693</v>
      </c>
      <c r="B4" s="13" t="s">
        <v>694</v>
      </c>
      <c r="C4" s="5" t="s">
        <v>360</v>
      </c>
      <c r="D4" s="13" t="s">
        <v>695</v>
      </c>
      <c r="E4" s="13" t="s">
        <v>696</v>
      </c>
      <c r="F4" s="13" t="s">
        <v>7</v>
      </c>
    </row>
    <row r="5" customFormat="false" ht="16" hidden="false" customHeight="false" outlineLevel="0" collapsed="false">
      <c r="A5" s="4" t="s">
        <v>697</v>
      </c>
      <c r="B5" s="4" t="s">
        <v>698</v>
      </c>
      <c r="C5" s="1" t="s">
        <v>360</v>
      </c>
      <c r="D5" s="4" t="s">
        <v>695</v>
      </c>
      <c r="E5" s="4" t="s">
        <v>696</v>
      </c>
      <c r="F5" s="4" t="s">
        <v>7</v>
      </c>
    </row>
    <row r="6" customFormat="false" ht="16" hidden="false" customHeight="false" outlineLevel="0" collapsed="false">
      <c r="A6" s="4" t="s">
        <v>699</v>
      </c>
      <c r="B6" s="4" t="s">
        <v>262</v>
      </c>
      <c r="C6" s="14" t="s">
        <v>360</v>
      </c>
      <c r="D6" s="4" t="s">
        <v>695</v>
      </c>
      <c r="E6" s="4" t="s">
        <v>696</v>
      </c>
      <c r="F6" s="4" t="s">
        <v>7</v>
      </c>
    </row>
    <row r="7" s="14" customFormat="true" ht="16" hidden="false" customHeight="false" outlineLevel="0" collapsed="false">
      <c r="A7" s="4" t="s">
        <v>700</v>
      </c>
      <c r="B7" s="4" t="s">
        <v>701</v>
      </c>
      <c r="C7" s="14" t="s">
        <v>360</v>
      </c>
      <c r="D7" s="4" t="s">
        <v>695</v>
      </c>
      <c r="E7" s="4" t="s">
        <v>696</v>
      </c>
      <c r="F7" s="4" t="s">
        <v>7</v>
      </c>
    </row>
    <row r="8" customFormat="false" ht="16" hidden="false" customHeight="false" outlineLevel="0" collapsed="false">
      <c r="A8" s="4" t="s">
        <v>702</v>
      </c>
      <c r="B8" s="4" t="s">
        <v>21</v>
      </c>
      <c r="C8" s="14" t="s">
        <v>360</v>
      </c>
      <c r="D8" s="4" t="s">
        <v>703</v>
      </c>
      <c r="E8" s="4" t="s">
        <v>704</v>
      </c>
      <c r="F8" s="4" t="s">
        <v>7</v>
      </c>
    </row>
    <row r="9" s="14" customFormat="true" ht="16" hidden="false" customHeight="false" outlineLevel="0" collapsed="false">
      <c r="A9" s="4" t="s">
        <v>705</v>
      </c>
      <c r="B9" s="4" t="s">
        <v>25</v>
      </c>
      <c r="C9" s="14" t="s">
        <v>360</v>
      </c>
      <c r="D9" s="4" t="s">
        <v>703</v>
      </c>
      <c r="E9" s="4" t="s">
        <v>704</v>
      </c>
      <c r="F9" s="4" t="s">
        <v>7</v>
      </c>
    </row>
    <row r="10" s="14" customFormat="true" ht="16" hidden="false" customHeight="false" outlineLevel="0" collapsed="false"/>
    <row r="15" customFormat="false" ht="16" hidden="false" customHeight="false" outlineLevel="0" collapsed="false">
      <c r="D15" s="4"/>
    </row>
    <row r="17" customFormat="false" ht="16" hidden="false" customHeight="false" outlineLevel="0" collapsed="false">
      <c r="B17" s="1" t="s">
        <v>706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C2" activeCellId="0" sqref="C2"/>
    </sheetView>
  </sheetViews>
  <sheetFormatPr defaultColWidth="8.62109375" defaultRowHeight="16" zeroHeight="false" outlineLevelRow="0" outlineLevelCol="0"/>
  <cols>
    <col collapsed="false" customWidth="true" hidden="false" outlineLevel="0" max="1" min="1" style="1" width="38.67"/>
    <col collapsed="false" customWidth="true" hidden="false" outlineLevel="0" max="2" min="2" style="1" width="12.83"/>
    <col collapsed="false" customWidth="true" hidden="false" outlineLevel="0" max="3" min="3" style="1" width="29.33"/>
    <col collapsed="false" customWidth="true" hidden="false" outlineLevel="0" max="4" min="4" style="1" width="90"/>
    <col collapsed="false" customWidth="true" hidden="false" outlineLevel="0" max="5" min="5" style="1" width="11.17"/>
    <col collapsed="false" customWidth="true" hidden="false" outlineLevel="0" max="6" min="6" style="1" width="8.84"/>
    <col collapsed="false" customWidth="true" hidden="false" outlineLevel="0" max="7" min="7" style="1" width="9.16"/>
    <col collapsed="false" customWidth="true" hidden="false" outlineLevel="0" max="8" min="8" style="1" width="17.84"/>
    <col collapsed="false" customWidth="true" hidden="false" outlineLevel="0" max="1025" min="9" style="1" width="9.16"/>
  </cols>
  <sheetData>
    <row r="1" s="15" customFormat="true" ht="26" hidden="false" customHeight="true" outlineLevel="0" collapsed="false">
      <c r="B1" s="15" t="s">
        <v>354</v>
      </c>
      <c r="C1" s="15" t="s">
        <v>707</v>
      </c>
      <c r="E1" s="15" t="s">
        <v>708</v>
      </c>
    </row>
    <row r="2" customFormat="false" ht="16" hidden="false" customHeight="false" outlineLevel="0" collapsed="false">
      <c r="B2" s="1" t="s">
        <v>615</v>
      </c>
      <c r="C2" s="1" t="s">
        <v>487</v>
      </c>
      <c r="E2" s="16" t="n">
        <v>20568455.7344782</v>
      </c>
    </row>
    <row r="3" customFormat="false" ht="16" hidden="false" customHeight="false" outlineLevel="0" collapsed="false">
      <c r="B3" s="1" t="s">
        <v>615</v>
      </c>
      <c r="C3" s="1" t="s">
        <v>487</v>
      </c>
      <c r="E3" s="16" t="n">
        <v>7548862.99344373</v>
      </c>
      <c r="H3" s="17"/>
    </row>
    <row r="4" customFormat="false" ht="16" hidden="false" customHeight="false" outlineLevel="0" collapsed="false">
      <c r="B4" s="1" t="s">
        <v>615</v>
      </c>
      <c r="C4" s="1" t="s">
        <v>481</v>
      </c>
      <c r="E4" s="16" t="n">
        <v>8273071.74813272</v>
      </c>
    </row>
    <row r="5" customFormat="false" ht="16" hidden="false" customHeight="false" outlineLevel="0" collapsed="false">
      <c r="B5" s="1" t="s">
        <v>615</v>
      </c>
      <c r="C5" s="1" t="s">
        <v>483</v>
      </c>
      <c r="E5" s="18" t="n">
        <v>8273071.74813272</v>
      </c>
    </row>
    <row r="6" customFormat="false" ht="16" hidden="false" customHeight="false" outlineLevel="0" collapsed="false">
      <c r="B6" s="1" t="s">
        <v>615</v>
      </c>
      <c r="C6" s="1" t="s">
        <v>485</v>
      </c>
      <c r="E6" s="16" t="n">
        <v>266838.774704873</v>
      </c>
    </row>
    <row r="7" customFormat="false" ht="16" hidden="false" customHeight="false" outlineLevel="0" collapsed="false">
      <c r="B7" s="1" t="s">
        <v>615</v>
      </c>
      <c r="C7" s="1" t="s">
        <v>358</v>
      </c>
      <c r="E7" s="16" t="n">
        <v>254834.001321714</v>
      </c>
    </row>
    <row r="8" customFormat="false" ht="16" hidden="false" customHeight="false" outlineLevel="0" collapsed="false">
      <c r="B8" s="1" t="s">
        <v>615</v>
      </c>
      <c r="C8" s="1" t="s">
        <v>369</v>
      </c>
      <c r="E8" s="18" t="n">
        <v>254834.001321714</v>
      </c>
    </row>
    <row r="9" customFormat="false" ht="16" hidden="false" customHeight="false" outlineLevel="0" collapsed="false">
      <c r="B9" s="1" t="s">
        <v>615</v>
      </c>
      <c r="C9" s="1" t="s">
        <v>489</v>
      </c>
      <c r="E9" s="16" t="n">
        <v>1722150.1143425</v>
      </c>
    </row>
    <row r="10" customFormat="false" ht="16" hidden="false" customHeight="false" outlineLevel="0" collapsed="false">
      <c r="B10" s="1" t="s">
        <v>615</v>
      </c>
      <c r="C10" s="1" t="s">
        <v>503</v>
      </c>
      <c r="E10" s="16" t="n">
        <v>15095.1110857545</v>
      </c>
    </row>
    <row r="11" customFormat="false" ht="16" hidden="false" customHeight="false" outlineLevel="0" collapsed="false">
      <c r="B11" s="1" t="s">
        <v>615</v>
      </c>
      <c r="C11" s="1" t="s">
        <v>411</v>
      </c>
      <c r="E11" s="16" t="n">
        <v>24009.5467663182</v>
      </c>
    </row>
    <row r="12" customFormat="false" ht="16" hidden="false" customHeight="false" outlineLevel="0" collapsed="false">
      <c r="B12" s="1" t="s">
        <v>615</v>
      </c>
      <c r="C12" s="1" t="s">
        <v>425</v>
      </c>
      <c r="E12" s="16" t="n">
        <v>23652.9693390956</v>
      </c>
    </row>
    <row r="13" customFormat="false" ht="16" hidden="false" customHeight="false" outlineLevel="0" collapsed="false">
      <c r="B13" s="1" t="s">
        <v>615</v>
      </c>
      <c r="C13" s="1" t="s">
        <v>461</v>
      </c>
      <c r="E13" s="16" t="n">
        <v>24247.2650511332</v>
      </c>
    </row>
    <row r="14" customFormat="false" ht="16" hidden="false" customHeight="false" outlineLevel="0" collapsed="false">
      <c r="B14" s="1" t="s">
        <v>615</v>
      </c>
      <c r="C14" s="1" t="s">
        <v>457</v>
      </c>
      <c r="E14" s="18" t="n">
        <v>24247.2650511332</v>
      </c>
    </row>
    <row r="15" customFormat="false" ht="16" hidden="false" customHeight="false" outlineLevel="0" collapsed="false">
      <c r="B15" s="1" t="s">
        <v>615</v>
      </c>
      <c r="C15" s="1" t="s">
        <v>505</v>
      </c>
      <c r="E15" s="18" t="n">
        <v>51584.8678048618</v>
      </c>
    </row>
    <row r="16" customFormat="false" ht="16" hidden="false" customHeight="false" outlineLevel="0" collapsed="false">
      <c r="B16" s="1" t="s">
        <v>615</v>
      </c>
      <c r="C16" s="1" t="s">
        <v>509</v>
      </c>
      <c r="E16" s="18" t="n">
        <v>2377.18284815031</v>
      </c>
    </row>
    <row r="17" customFormat="false" ht="16" hidden="false" customHeight="false" outlineLevel="0" collapsed="false">
      <c r="B17" s="1" t="s">
        <v>615</v>
      </c>
      <c r="C17" s="1" t="s">
        <v>473</v>
      </c>
      <c r="E17" s="18" t="n">
        <v>789700.142155535</v>
      </c>
    </row>
    <row r="18" customFormat="false" ht="16" hidden="false" customHeight="false" outlineLevel="0" collapsed="false">
      <c r="B18" s="1" t="s">
        <v>615</v>
      </c>
      <c r="C18" s="1" t="s">
        <v>493</v>
      </c>
      <c r="E18" s="18" t="n">
        <v>1339661.39407511</v>
      </c>
    </row>
    <row r="19" customFormat="false" ht="16" hidden="false" customHeight="false" outlineLevel="0" collapsed="false">
      <c r="B19" s="1" t="s">
        <v>615</v>
      </c>
      <c r="C19" s="1" t="s">
        <v>491</v>
      </c>
      <c r="E19" s="18" t="n">
        <v>5942.95712037579</v>
      </c>
    </row>
    <row r="20" customFormat="false" ht="16" hidden="false" customHeight="false" outlineLevel="0" collapsed="false">
      <c r="B20" s="1" t="s">
        <v>615</v>
      </c>
      <c r="C20" s="1" t="s">
        <v>509</v>
      </c>
      <c r="E20" s="18" t="n">
        <v>528923.183713445</v>
      </c>
    </row>
    <row r="21" customFormat="false" ht="16" hidden="false" customHeight="false" outlineLevel="0" collapsed="false">
      <c r="B21" s="1" t="s">
        <v>615</v>
      </c>
      <c r="C21" s="1" t="s">
        <v>509</v>
      </c>
      <c r="E21" s="18" t="n">
        <v>8438.99911093362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O20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K1" activeCellId="0" sqref="AK1"/>
    </sheetView>
  </sheetViews>
  <sheetFormatPr defaultColWidth="8.62109375" defaultRowHeight="16" zeroHeight="false" outlineLevelRow="0" outlineLevelCol="0"/>
  <cols>
    <col collapsed="false" customWidth="true" hidden="false" outlineLevel="0" max="1" min="1" style="1" width="24.33"/>
    <col collapsed="false" customWidth="true" hidden="false" outlineLevel="0" max="2" min="2" style="1" width="19.83"/>
    <col collapsed="false" customWidth="true" hidden="false" outlineLevel="0" max="3" min="3" style="1" width="15.66"/>
    <col collapsed="false" customWidth="true" hidden="false" outlineLevel="0" max="4" min="4" style="1" width="19.67"/>
    <col collapsed="false" customWidth="true" hidden="false" outlineLevel="0" max="5" min="5" style="1" width="15.51"/>
    <col collapsed="false" customWidth="true" hidden="false" outlineLevel="0" max="35" min="6" style="1" width="11.5"/>
    <col collapsed="false" customWidth="true" hidden="false" outlineLevel="0" max="36" min="36" style="1" width="12.17"/>
    <col collapsed="false" customWidth="true" hidden="false" outlineLevel="0" max="37" min="37" style="1" width="11.83"/>
    <col collapsed="false" customWidth="true" hidden="false" outlineLevel="0" max="38" min="38" style="1" width="13.33"/>
    <col collapsed="false" customWidth="true" hidden="false" outlineLevel="0" max="51" min="39" style="1" width="11.5"/>
    <col collapsed="false" customWidth="true" hidden="false" outlineLevel="0" max="52" min="52" style="1" width="13.33"/>
    <col collapsed="false" customWidth="true" hidden="false" outlineLevel="0" max="66" min="53" style="1" width="11.5"/>
    <col collapsed="false" customWidth="true" hidden="false" outlineLevel="0" max="67" min="67" style="1" width="11.33"/>
    <col collapsed="false" customWidth="true" hidden="false" outlineLevel="0" max="1025" min="68" style="1" width="11.5"/>
  </cols>
  <sheetData>
    <row r="1" s="19" customFormat="true" ht="16" hidden="false" customHeight="false" outlineLevel="0" collapsed="false">
      <c r="A1" s="19" t="s">
        <v>709</v>
      </c>
      <c r="B1" s="19" t="str">
        <f aca="false" t="array" ref="B1:GO1">IF(TRANSPOSE(l_goods!A3:A197)=0,"",TRANSPOSE(l_goods!A3:A197))</f>
        <v>A-01</v>
      </c>
      <c r="C1" s="19" t="str">
        <v>A-02</v>
      </c>
      <c r="D1" s="19" t="str">
        <v>A-03</v>
      </c>
      <c r="E1" s="19" t="str">
        <v>A-04</v>
      </c>
      <c r="F1" s="19" t="str">
        <v>A-05</v>
      </c>
      <c r="G1" s="19" t="str">
        <v>A-06</v>
      </c>
      <c r="H1" s="19" t="str">
        <v>A-07</v>
      </c>
      <c r="I1" s="19" t="str">
        <v>A-08</v>
      </c>
      <c r="J1" s="19" t="str">
        <v>A-09</v>
      </c>
      <c r="K1" s="19" t="str">
        <v>B-01</v>
      </c>
      <c r="L1" s="19" t="str">
        <v>B-02</v>
      </c>
      <c r="M1" s="19" t="str">
        <v>B-03</v>
      </c>
      <c r="N1" s="19" t="str">
        <v>B-04</v>
      </c>
      <c r="O1" s="19" t="str">
        <v>B-05</v>
      </c>
      <c r="P1" s="19" t="str">
        <v>B-06</v>
      </c>
      <c r="Q1" s="19" t="str">
        <v>B-07</v>
      </c>
      <c r="R1" s="19" t="str">
        <v>B-08</v>
      </c>
      <c r="S1" s="19" t="str">
        <v>B-09</v>
      </c>
      <c r="T1" s="19" t="str">
        <v>B-10</v>
      </c>
      <c r="U1" s="19" t="str">
        <v>B-11</v>
      </c>
      <c r="V1" s="19" t="str">
        <v>B-12</v>
      </c>
      <c r="W1" s="19" t="str">
        <v>C-01</v>
      </c>
      <c r="X1" s="19" t="str">
        <v>C-02</v>
      </c>
      <c r="Y1" s="19" t="str">
        <v>C-03</v>
      </c>
      <c r="Z1" s="19" t="str">
        <v>C-04</v>
      </c>
      <c r="AA1" s="19" t="str">
        <v>C-05</v>
      </c>
      <c r="AB1" s="19" t="str">
        <v>C-06</v>
      </c>
      <c r="AC1" s="19" t="str">
        <v>D-01</v>
      </c>
      <c r="AD1" s="19" t="str">
        <v>D-02</v>
      </c>
      <c r="AE1" s="19" t="str">
        <v>D-03</v>
      </c>
      <c r="AF1" s="19" t="str">
        <v>D-04</v>
      </c>
      <c r="AG1" s="19" t="str">
        <v>D-05</v>
      </c>
      <c r="AH1" s="19" t="str">
        <v>D-06</v>
      </c>
      <c r="AI1" s="19" t="str">
        <v>D-07</v>
      </c>
      <c r="AJ1" s="19" t="str">
        <v>E-01</v>
      </c>
      <c r="AK1" s="19" t="str">
        <v>E-02</v>
      </c>
      <c r="AL1" s="19" t="str">
        <v>E-03</v>
      </c>
      <c r="AM1" s="19" t="str">
        <v>E-04</v>
      </c>
      <c r="AN1" s="19" t="str">
        <v>E-05</v>
      </c>
      <c r="AO1" s="19" t="str">
        <v>E-06</v>
      </c>
      <c r="AP1" s="19" t="str">
        <v>E-07</v>
      </c>
      <c r="AQ1" s="19" t="str">
        <v>E-08</v>
      </c>
      <c r="AR1" s="19" t="str">
        <v>E-09</v>
      </c>
      <c r="AS1" s="19" t="str">
        <v>E-10</v>
      </c>
      <c r="AT1" s="19" t="str">
        <v>E-11</v>
      </c>
      <c r="AU1" s="19" t="str">
        <v>E-12</v>
      </c>
      <c r="AV1" s="19" t="str">
        <v>E-13</v>
      </c>
      <c r="AW1" s="19" t="str">
        <v>E-14</v>
      </c>
      <c r="AX1" s="19" t="str">
        <v>E-15</v>
      </c>
      <c r="AY1" s="19" t="str">
        <v>E-16</v>
      </c>
      <c r="AZ1" s="19" t="str">
        <v>E-17</v>
      </c>
      <c r="BA1" s="19" t="str">
        <v>E-18</v>
      </c>
      <c r="BB1" s="19" t="str">
        <v>E-19</v>
      </c>
      <c r="BC1" s="19" t="str">
        <v>E-20</v>
      </c>
      <c r="BD1" s="19" t="str">
        <v>E-21</v>
      </c>
      <c r="BE1" s="19" t="str">
        <v>E-22</v>
      </c>
      <c r="BF1" s="19" t="str">
        <v>E-23</v>
      </c>
      <c r="BG1" s="19" t="str">
        <v>E-24</v>
      </c>
      <c r="BH1" s="19" t="str">
        <v>E-25</v>
      </c>
      <c r="BI1" s="19" t="str">
        <v>E-26</v>
      </c>
      <c r="BJ1" s="19" t="str">
        <v>E-27</v>
      </c>
      <c r="BK1" s="19" t="str">
        <v>F-01</v>
      </c>
      <c r="BL1" s="19" t="str">
        <v>F-02</v>
      </c>
      <c r="BM1" s="19" t="str">
        <v>F-03</v>
      </c>
      <c r="BN1" s="19" t="str">
        <v>F-04</v>
      </c>
      <c r="BO1" s="19" t="str">
        <v>F-05</v>
      </c>
      <c r="BP1" s="19" t="str">
        <v>G-01</v>
      </c>
      <c r="BQ1" s="19" t="str">
        <v>G-02</v>
      </c>
      <c r="BR1" s="19" t="str">
        <v>H-01</v>
      </c>
      <c r="BS1" s="19" t="str">
        <v>H-02</v>
      </c>
      <c r="BT1" s="19" t="str">
        <v>H-03</v>
      </c>
      <c r="BU1" s="19" t="str">
        <v>H-04</v>
      </c>
      <c r="BV1" s="19" t="str">
        <v>H-05</v>
      </c>
      <c r="BW1" s="19" t="str">
        <v>H-06</v>
      </c>
      <c r="BX1" s="19" t="str">
        <v>G-03</v>
      </c>
      <c r="BY1" s="19" t="str">
        <v>G-04</v>
      </c>
      <c r="BZ1" s="19" t="str">
        <v>H-07</v>
      </c>
      <c r="CA1" s="19" t="str">
        <v>H-08</v>
      </c>
      <c r="CB1" s="19" t="str">
        <v>H-09</v>
      </c>
      <c r="CC1" s="19" t="str">
        <v>H-10</v>
      </c>
      <c r="CD1" s="19" t="str">
        <v>H-11</v>
      </c>
      <c r="CE1" s="19" t="str">
        <v/>
      </c>
      <c r="CF1" s="19" t="str">
        <v>T2-01</v>
      </c>
      <c r="CG1" s="19" t="str">
        <v>T2-02</v>
      </c>
      <c r="CH1" s="19" t="str">
        <v>T2-03</v>
      </c>
      <c r="CI1" s="19" t="str">
        <v>T2-04</v>
      </c>
      <c r="CJ1" s="19" t="str">
        <v>T2-05</v>
      </c>
      <c r="CK1" s="19" t="str">
        <v>T2-06</v>
      </c>
      <c r="CL1" s="19" t="str">
        <v>T2-07</v>
      </c>
      <c r="CM1" s="19" t="str">
        <v>T2-08</v>
      </c>
      <c r="CN1" s="19" t="str">
        <v>T2-09</v>
      </c>
      <c r="CO1" s="19" t="str">
        <v>T2-10</v>
      </c>
      <c r="CP1" s="19" t="str">
        <v>T2-11</v>
      </c>
      <c r="CQ1" s="19" t="str">
        <v>T2-12</v>
      </c>
      <c r="CR1" s="19" t="str">
        <v>T2-13</v>
      </c>
      <c r="CS1" s="19" t="str">
        <v>T2-14</v>
      </c>
      <c r="CT1" s="19" t="str">
        <v>T2-15</v>
      </c>
      <c r="CU1" s="19" t="str">
        <v>T2-16</v>
      </c>
      <c r="CV1" s="19" t="str">
        <v>T2-17</v>
      </c>
      <c r="CW1" s="19" t="str">
        <v>T2-18</v>
      </c>
      <c r="CX1" s="19" t="str">
        <v>T2-19</v>
      </c>
      <c r="CY1" s="19" t="str">
        <v>T2-20</v>
      </c>
      <c r="CZ1" s="19" t="str">
        <v>T2-21</v>
      </c>
      <c r="DA1" s="19" t="str">
        <v>T2-22</v>
      </c>
      <c r="DB1" s="19" t="str">
        <v>T2-23</v>
      </c>
      <c r="DC1" s="19" t="str">
        <v>T2-24</v>
      </c>
      <c r="DD1" s="19" t="str">
        <v>T2-25</v>
      </c>
      <c r="DE1" s="19" t="str">
        <v>T2-26</v>
      </c>
      <c r="DF1" s="19" t="str">
        <v>T2-27</v>
      </c>
      <c r="DG1" s="19" t="str">
        <v>T2-28</v>
      </c>
      <c r="DH1" s="19" t="str">
        <v/>
      </c>
      <c r="DI1" s="19" t="str">
        <v>T25-01</v>
      </c>
      <c r="DJ1" s="19" t="str">
        <v>T25-02</v>
      </c>
      <c r="DK1" s="19" t="str">
        <v>T25-03</v>
      </c>
      <c r="DL1" s="19" t="str">
        <v>T25-04</v>
      </c>
      <c r="DM1" s="19" t="str">
        <v>T25-05</v>
      </c>
      <c r="DN1" s="19" t="str">
        <v>T25-06</v>
      </c>
      <c r="DO1" s="19" t="str">
        <v>T25-07</v>
      </c>
      <c r="DP1" s="19" t="str">
        <v>T25-08</v>
      </c>
      <c r="DQ1" s="19" t="str">
        <v>T25-09</v>
      </c>
      <c r="DR1" s="19" t="str">
        <v>T25-10</v>
      </c>
      <c r="DS1" s="19" t="str">
        <v>T25-11</v>
      </c>
      <c r="DT1" s="19" t="str">
        <v>T25-12</v>
      </c>
      <c r="DU1" s="19" t="str">
        <v>T25-13</v>
      </c>
      <c r="DV1" s="19" t="str">
        <v/>
      </c>
      <c r="DW1" s="19" t="str">
        <v>overs_1</v>
      </c>
      <c r="DX1" s="19" t="str">
        <v>unders_1</v>
      </c>
      <c r="DY1" s="19" t="str">
        <v/>
      </c>
      <c r="DZ1" s="19" t="str">
        <v>overs_2</v>
      </c>
      <c r="EA1" s="19" t="str">
        <v>unders_2</v>
      </c>
      <c r="EB1" s="19" t="str">
        <v>amendment_carbon</v>
      </c>
      <c r="EC1" s="19" t="str">
        <v>mixed</v>
      </c>
      <c r="ED1" s="19" t="str">
        <v>compost_1</v>
      </c>
      <c r="EE1" s="19" t="str">
        <v>off_gas_1</v>
      </c>
      <c r="EF1" s="19" t="str">
        <v>off_gas</v>
      </c>
      <c r="EG1" s="19" t="str">
        <v>collecte_orga</v>
      </c>
      <c r="EH1" s="19" t="str">
        <v/>
      </c>
      <c r="EI1" s="19" t="str">
        <v>overs_postscreen</v>
      </c>
      <c r="EJ1" s="19" t="str">
        <v>unders_postscreen</v>
      </c>
      <c r="EK1" s="19" t="str">
        <v/>
      </c>
      <c r="EL1" s="19" t="str">
        <v>vac_out</v>
      </c>
      <c r="EM1" s="19" t="str">
        <v>compost_final</v>
      </c>
      <c r="EN1" s="19" t="str">
        <v>compost_mature</v>
      </c>
      <c r="EO1" s="19" t="str">
        <v>gisement_coll_orga</v>
      </c>
      <c r="EP1" s="19" t="str">
        <v>electricity</v>
      </c>
      <c r="EQ1" s="19" t="str">
        <v>diesel</v>
      </c>
      <c r="ER1" s="19" t="str">
        <v>composting_facility_open</v>
      </c>
      <c r="ES1" s="19" t="str">
        <v/>
      </c>
      <c r="ET1" s="19" t="str">
        <v>compost_1_subst</v>
      </c>
      <c r="EU1" s="19" t="str">
        <v>compost_1_rem</v>
      </c>
      <c r="EV1" s="19" t="str">
        <v/>
      </c>
      <c r="EW1" s="19" t="str">
        <v>oxygen_from_airtank</v>
      </c>
      <c r="EX1" s="19" t="str">
        <v/>
      </c>
      <c r="EY1" s="19" t="str">
        <v/>
      </c>
      <c r="EZ1" s="19" t="str">
        <v>fertiliser_N</v>
      </c>
      <c r="FA1" s="19" t="str">
        <v/>
      </c>
      <c r="FB1" s="19" t="str">
        <v>fertiliser_P2O5</v>
      </c>
      <c r="FC1" s="19" t="str">
        <v/>
      </c>
      <c r="FD1" s="19" t="str">
        <v>overs_end</v>
      </c>
      <c r="FE1" s="19" t="str">
        <v>unders_end</v>
      </c>
      <c r="FF1" s="19" t="str">
        <v/>
      </c>
      <c r="FG1" s="19" t="str">
        <v/>
      </c>
      <c r="FH1" s="19" t="str">
        <v/>
      </c>
      <c r="FI1" s="19" t="str">
        <v/>
      </c>
      <c r="FJ1" s="19" t="str">
        <v/>
      </c>
      <c r="FK1" s="19" t="str">
        <v/>
      </c>
      <c r="FL1" s="19" t="str">
        <v/>
      </c>
      <c r="FM1" s="19" t="str">
        <v/>
      </c>
      <c r="FN1" s="19" t="str">
        <v/>
      </c>
      <c r="FO1" s="19" t="str">
        <v/>
      </c>
      <c r="FP1" s="19" t="str">
        <v/>
      </c>
      <c r="FQ1" s="19" t="str">
        <v/>
      </c>
      <c r="FR1" s="19" t="str">
        <v/>
      </c>
      <c r="FS1" s="19" t="str">
        <v/>
      </c>
      <c r="FT1" s="19" t="str">
        <v/>
      </c>
      <c r="FU1" s="19" t="str">
        <v/>
      </c>
      <c r="FV1" s="19" t="str">
        <v/>
      </c>
      <c r="FW1" s="19" t="str">
        <v/>
      </c>
      <c r="FX1" s="19" t="str">
        <v/>
      </c>
      <c r="FY1" s="19" t="str">
        <v/>
      </c>
      <c r="FZ1" s="19" t="str">
        <v/>
      </c>
      <c r="GA1" s="19" t="str">
        <v/>
      </c>
      <c r="GB1" s="19" t="str">
        <v/>
      </c>
      <c r="GC1" s="19" t="str">
        <v/>
      </c>
      <c r="GD1" s="19" t="str">
        <v/>
      </c>
      <c r="GE1" s="19" t="str">
        <v/>
      </c>
      <c r="GF1" s="19" t="str">
        <v/>
      </c>
      <c r="GG1" s="19" t="str">
        <v/>
      </c>
      <c r="GH1" s="19" t="str">
        <v/>
      </c>
      <c r="GI1" s="19" t="str">
        <v/>
      </c>
      <c r="GJ1" s="19" t="str">
        <v/>
      </c>
      <c r="GK1" s="19" t="str">
        <v/>
      </c>
      <c r="GL1" s="19" t="str">
        <v/>
      </c>
      <c r="GM1" s="19" t="str">
        <v/>
      </c>
      <c r="GN1" s="19" t="str">
        <v/>
      </c>
      <c r="GO1" s="19" t="e">
        <v>#N/A</v>
      </c>
    </row>
    <row r="2" s="19" customFormat="true" ht="16" hidden="false" customHeight="false" outlineLevel="0" collapsed="false"/>
    <row r="3" s="19" customFormat="true" ht="16" hidden="false" customHeight="false" outlineLevel="0" collapsed="false"/>
    <row r="4" customFormat="false" ht="16" hidden="false" customHeight="false" outlineLevel="0" collapsed="false">
      <c r="A4" s="20" t="str">
        <f aca="false">l_trans!$A$3</f>
        <v>CO2</v>
      </c>
    </row>
    <row r="5" customFormat="false" ht="16" hidden="false" customHeight="false" outlineLevel="0" collapsed="false">
      <c r="A5" s="20" t="str">
        <f aca="false">l_trans!$A4</f>
        <v>CH4</v>
      </c>
    </row>
    <row r="6" customFormat="false" ht="16" hidden="false" customHeight="false" outlineLevel="0" collapsed="false">
      <c r="A6" s="20"/>
    </row>
    <row r="7" customFormat="false" ht="16" hidden="false" customHeight="false" outlineLevel="0" collapsed="false">
      <c r="A7" s="20" t="str">
        <f aca="false">l_trans!$A5</f>
        <v>C n.e.s.</v>
      </c>
    </row>
    <row r="8" customFormat="false" ht="16" hidden="false" customHeight="false" outlineLevel="0" collapsed="false">
      <c r="A8" s="20" t="str">
        <f aca="false">l_trans!$A6</f>
        <v>C_bio</v>
      </c>
      <c r="B8" s="1" t="n">
        <v>0.446</v>
      </c>
      <c r="C8" s="1" t="n">
        <v>0.344</v>
      </c>
      <c r="D8" s="1" t="n">
        <v>0.34</v>
      </c>
      <c r="E8" s="1" t="n">
        <v>0.34</v>
      </c>
      <c r="F8" s="1" t="n">
        <v>0.404</v>
      </c>
      <c r="G8" s="1" t="n">
        <v>0.373</v>
      </c>
      <c r="H8" s="1" t="n">
        <v>0.381</v>
      </c>
      <c r="I8" s="1" t="n">
        <v>0.404</v>
      </c>
      <c r="J8" s="1" t="n">
        <v>0.407</v>
      </c>
      <c r="K8" s="1" t="n">
        <v>0.407</v>
      </c>
      <c r="L8" s="1" t="n">
        <v>0.409</v>
      </c>
      <c r="M8" s="1" t="n">
        <v>0.407</v>
      </c>
      <c r="N8" s="1" t="n">
        <v>0.407</v>
      </c>
      <c r="O8" s="1" t="n">
        <v>0.409</v>
      </c>
      <c r="P8" s="1" t="n">
        <v>0.409</v>
      </c>
      <c r="Q8" s="1" t="n">
        <v>0.506</v>
      </c>
      <c r="R8" s="1" t="n">
        <v>0.46</v>
      </c>
      <c r="S8" s="1" t="n">
        <v>0.381</v>
      </c>
      <c r="T8" s="1" t="n">
        <v>0.506</v>
      </c>
      <c r="U8" s="1" t="n">
        <v>0.506</v>
      </c>
      <c r="V8" s="1" t="n">
        <v>0.513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0.137</v>
      </c>
      <c r="AF8" s="1" t="n">
        <v>0.137</v>
      </c>
      <c r="AG8" s="1" t="n">
        <v>0</v>
      </c>
      <c r="AH8" s="1" t="n">
        <v>0</v>
      </c>
      <c r="AI8" s="1" t="n">
        <v>0</v>
      </c>
      <c r="AJ8" s="1" t="n">
        <v>0.00355</v>
      </c>
      <c r="AK8" s="1" t="n">
        <v>0.00355</v>
      </c>
      <c r="AL8" s="1" t="n">
        <v>0.00355</v>
      </c>
      <c r="AM8" s="1" t="n">
        <v>0.00355</v>
      </c>
      <c r="AN8" s="1" t="n">
        <v>0.00355</v>
      </c>
      <c r="AO8" s="1" t="n">
        <v>0.00355</v>
      </c>
      <c r="AP8" s="1" t="n">
        <v>0.004</v>
      </c>
      <c r="AQ8" s="1" t="n">
        <v>0.004</v>
      </c>
      <c r="AR8" s="1" t="n">
        <v>0.00355</v>
      </c>
      <c r="AS8" s="1" t="n">
        <v>0.00355</v>
      </c>
      <c r="AT8" s="1" t="n">
        <v>0.004</v>
      </c>
      <c r="AU8" s="1" t="n">
        <v>0.00355</v>
      </c>
      <c r="AV8" s="1" t="n">
        <v>0.004</v>
      </c>
      <c r="AW8" s="1" t="n">
        <v>0.004</v>
      </c>
      <c r="AX8" s="1" t="n">
        <v>0.004</v>
      </c>
      <c r="AY8" s="1" t="n">
        <v>0.004</v>
      </c>
      <c r="AZ8" s="1" t="n">
        <v>0.004</v>
      </c>
      <c r="BA8" s="1" t="n">
        <v>0.004</v>
      </c>
      <c r="BB8" s="1" t="n">
        <v>0.004</v>
      </c>
      <c r="BC8" s="1" t="n">
        <v>0.0041</v>
      </c>
      <c r="BD8" s="1" t="n">
        <v>0.0041</v>
      </c>
      <c r="BE8" s="1" t="n">
        <v>0.0041</v>
      </c>
      <c r="BF8" s="1" t="n">
        <v>0.0041</v>
      </c>
      <c r="BG8" s="1" t="n">
        <v>0.0041</v>
      </c>
      <c r="BH8" s="1" t="n">
        <v>0.004</v>
      </c>
      <c r="BI8" s="1" t="n">
        <v>0.0041</v>
      </c>
      <c r="BJ8" s="1" t="n">
        <v>0.1485</v>
      </c>
      <c r="BK8" s="1" t="n">
        <v>0.421</v>
      </c>
      <c r="BL8" s="1" t="n">
        <v>0.421</v>
      </c>
      <c r="BM8" s="1" t="n">
        <v>0.421</v>
      </c>
      <c r="BN8" s="1" t="n">
        <v>0.475</v>
      </c>
      <c r="BO8" s="1" t="n">
        <v>0.447</v>
      </c>
      <c r="BP8" s="1" t="n">
        <v>0.498</v>
      </c>
      <c r="BQ8" s="1" t="n">
        <v>0.435</v>
      </c>
      <c r="BR8" s="1" t="n">
        <v>0.0065</v>
      </c>
      <c r="BS8" s="1" t="n">
        <v>0.0065</v>
      </c>
      <c r="BT8" s="1" t="n">
        <v>0.513</v>
      </c>
      <c r="BU8" s="1" t="n">
        <v>0.0065</v>
      </c>
      <c r="BV8" s="1" t="n">
        <v>0.0435</v>
      </c>
      <c r="BW8" s="1" t="n">
        <v>0.391</v>
      </c>
      <c r="BX8" s="1" t="n">
        <v>0.0065</v>
      </c>
      <c r="BY8" s="1" t="n">
        <v>0.0065</v>
      </c>
      <c r="BZ8" s="1" t="n">
        <v>0.0435</v>
      </c>
      <c r="CA8" s="1" t="n">
        <v>0.523</v>
      </c>
      <c r="CB8" s="1" t="n">
        <v>0</v>
      </c>
      <c r="CC8" s="1" t="n">
        <v>0</v>
      </c>
      <c r="CD8" s="1" t="n">
        <v>0</v>
      </c>
    </row>
    <row r="9" customFormat="false" ht="16" hidden="false" customHeight="false" outlineLevel="0" collapsed="false">
      <c r="A9" s="20" t="str">
        <f aca="false">l_trans!$A7</f>
        <v>C_fossil</v>
      </c>
      <c r="B9" s="1" t="n">
        <v>0.00224</v>
      </c>
      <c r="C9" s="1" t="n">
        <v>0.00173</v>
      </c>
      <c r="D9" s="1" t="n">
        <v>0.00171</v>
      </c>
      <c r="E9" s="1" t="n">
        <v>0.00171</v>
      </c>
      <c r="F9" s="1" t="n">
        <v>0.00203</v>
      </c>
      <c r="G9" s="1" t="n">
        <v>0.00188</v>
      </c>
      <c r="H9" s="1" t="n">
        <v>0.00192</v>
      </c>
      <c r="I9" s="1" t="n">
        <v>0.00203</v>
      </c>
      <c r="J9" s="1" t="n">
        <v>0.00205</v>
      </c>
      <c r="K9" s="1" t="n">
        <v>0.00205</v>
      </c>
      <c r="L9" s="1" t="n">
        <v>0.00206</v>
      </c>
      <c r="M9" s="1" t="n">
        <v>0.00205</v>
      </c>
      <c r="N9" s="1" t="n">
        <v>0.00205</v>
      </c>
      <c r="O9" s="1" t="n">
        <v>0.00206</v>
      </c>
      <c r="P9" s="1" t="n">
        <v>0.00206</v>
      </c>
      <c r="Q9" s="1" t="n">
        <v>0.0103</v>
      </c>
      <c r="R9" s="1" t="n">
        <v>0.0628</v>
      </c>
      <c r="S9" s="1" t="n">
        <v>0.00192</v>
      </c>
      <c r="T9" s="1" t="n">
        <v>0.0103</v>
      </c>
      <c r="U9" s="1" t="n">
        <v>0.0103</v>
      </c>
      <c r="V9" s="1" t="n">
        <v>0.00782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0.0152</v>
      </c>
      <c r="AF9" s="1" t="n">
        <v>0.0152</v>
      </c>
      <c r="AG9" s="1" t="n">
        <v>0</v>
      </c>
      <c r="AH9" s="1" t="n">
        <v>0</v>
      </c>
      <c r="AI9" s="1" t="n">
        <v>0</v>
      </c>
      <c r="AJ9" s="1" t="n">
        <v>0.706</v>
      </c>
      <c r="AK9" s="1" t="n">
        <v>0.706</v>
      </c>
      <c r="AL9" s="1" t="n">
        <v>0.706</v>
      </c>
      <c r="AM9" s="1" t="n">
        <v>0.706</v>
      </c>
      <c r="AN9" s="1" t="n">
        <v>0.706</v>
      </c>
      <c r="AO9" s="1" t="n">
        <v>0.706</v>
      </c>
      <c r="AP9" s="1" t="n">
        <v>0.795</v>
      </c>
      <c r="AQ9" s="1" t="n">
        <v>0.795</v>
      </c>
      <c r="AR9" s="1" t="n">
        <v>0.706</v>
      </c>
      <c r="AS9" s="1" t="n">
        <v>0.706</v>
      </c>
      <c r="AT9" s="1" t="n">
        <v>0.795</v>
      </c>
      <c r="AU9" s="1" t="n">
        <v>0.706</v>
      </c>
      <c r="AV9" s="1" t="n">
        <v>0.795</v>
      </c>
      <c r="AW9" s="1" t="n">
        <v>0.795</v>
      </c>
      <c r="AX9" s="1" t="n">
        <v>0.795</v>
      </c>
      <c r="AY9" s="1" t="n">
        <v>0.795</v>
      </c>
      <c r="AZ9" s="1" t="n">
        <v>0.795</v>
      </c>
      <c r="BA9" s="1" t="n">
        <v>0.795</v>
      </c>
      <c r="BB9" s="1" t="n">
        <v>0.795</v>
      </c>
      <c r="BC9" s="1" t="n">
        <v>0.816</v>
      </c>
      <c r="BD9" s="1" t="n">
        <v>0.816</v>
      </c>
      <c r="BE9" s="1" t="n">
        <v>0.816</v>
      </c>
      <c r="BF9" s="1" t="n">
        <v>0.816</v>
      </c>
      <c r="BG9" s="1" t="n">
        <v>0.816</v>
      </c>
      <c r="BH9" s="1" t="n">
        <v>0.795</v>
      </c>
      <c r="BI9" s="1" t="n">
        <v>0.816</v>
      </c>
      <c r="BJ9" s="1" t="n">
        <v>0.4455</v>
      </c>
      <c r="BK9" s="1" t="n">
        <v>0.0086</v>
      </c>
      <c r="BL9" s="1" t="n">
        <v>0.0086</v>
      </c>
      <c r="BM9" s="1" t="n">
        <v>0.0086</v>
      </c>
      <c r="BN9" s="1" t="n">
        <v>0.00239</v>
      </c>
      <c r="BO9" s="1" t="n">
        <v>0.00452</v>
      </c>
      <c r="BP9" s="1" t="n">
        <v>0.0553</v>
      </c>
      <c r="BQ9" s="1" t="n">
        <v>0.00439</v>
      </c>
      <c r="BR9" s="1" t="n">
        <v>0.0065</v>
      </c>
      <c r="BS9" s="1" t="n">
        <v>0.0065</v>
      </c>
      <c r="BT9" s="1" t="n">
        <v>0.00782</v>
      </c>
      <c r="BU9" s="1" t="n">
        <v>0.0065</v>
      </c>
      <c r="BV9" s="1" t="n">
        <v>0.0435</v>
      </c>
      <c r="BW9" s="1" t="n">
        <v>0.13</v>
      </c>
      <c r="BX9" s="1" t="n">
        <v>0.0065</v>
      </c>
      <c r="BY9" s="1" t="n">
        <v>0.0065</v>
      </c>
      <c r="BZ9" s="1" t="n">
        <v>0.0435</v>
      </c>
      <c r="CA9" s="1" t="n">
        <v>0.131</v>
      </c>
      <c r="CB9" s="1" t="n">
        <v>0</v>
      </c>
      <c r="CC9" s="1" t="n">
        <v>0</v>
      </c>
      <c r="CD9" s="1" t="n">
        <v>0</v>
      </c>
    </row>
    <row r="10" customFormat="false" ht="16" hidden="false" customHeight="false" outlineLevel="0" collapsed="false">
      <c r="A10" s="20" t="str">
        <f aca="false">l_trans!$A8</f>
        <v>Ca n.e.s.</v>
      </c>
      <c r="B10" s="1" t="n">
        <v>0.0111</v>
      </c>
      <c r="C10" s="1" t="n">
        <v>0.036</v>
      </c>
      <c r="D10" s="1" t="n">
        <v>0.101</v>
      </c>
      <c r="E10" s="1" t="n">
        <v>0.101</v>
      </c>
      <c r="F10" s="1" t="n">
        <v>0.0406</v>
      </c>
      <c r="G10" s="1" t="n">
        <v>0.0777</v>
      </c>
      <c r="H10" s="1" t="n">
        <v>0.0439</v>
      </c>
      <c r="I10" s="1" t="n">
        <v>0.0406</v>
      </c>
      <c r="J10" s="1" t="n">
        <v>0.0309</v>
      </c>
      <c r="K10" s="1" t="n">
        <v>0.0309</v>
      </c>
      <c r="L10" s="1" t="n">
        <v>0.0262</v>
      </c>
      <c r="M10" s="1" t="n">
        <v>0.0309</v>
      </c>
      <c r="N10" s="1" t="n">
        <v>0.0309</v>
      </c>
      <c r="O10" s="1" t="n">
        <v>0.0262</v>
      </c>
      <c r="P10" s="1" t="n">
        <v>0.0262</v>
      </c>
      <c r="Q10" s="1" t="n">
        <v>0.00782</v>
      </c>
      <c r="R10" s="1" t="n">
        <v>0.000727</v>
      </c>
      <c r="S10" s="1" t="n">
        <v>0.0439</v>
      </c>
      <c r="T10" s="1" t="n">
        <v>0.00782</v>
      </c>
      <c r="U10" s="1" t="n">
        <v>0.00782</v>
      </c>
      <c r="V10" s="1" t="n">
        <v>0.00964</v>
      </c>
      <c r="W10" s="1" t="n">
        <v>0.069</v>
      </c>
      <c r="X10" s="1" t="n">
        <v>0.069</v>
      </c>
      <c r="Y10" s="1" t="n">
        <v>0.0668</v>
      </c>
      <c r="Z10" s="1" t="n">
        <v>0.0668</v>
      </c>
      <c r="AA10" s="1" t="n">
        <v>0.0677</v>
      </c>
      <c r="AB10" s="1" t="n">
        <v>0.0679</v>
      </c>
      <c r="AC10" s="1" t="n">
        <v>3.56E-005</v>
      </c>
      <c r="AD10" s="1" t="n">
        <v>3.56E-005</v>
      </c>
      <c r="AE10" s="1" t="n">
        <v>0.00133</v>
      </c>
      <c r="AF10" s="1" t="n">
        <v>0.00133</v>
      </c>
      <c r="AG10" s="1" t="n">
        <v>0.0015</v>
      </c>
      <c r="AH10" s="1" t="n">
        <v>0.000244</v>
      </c>
      <c r="AI10" s="1" t="n">
        <v>0.0015</v>
      </c>
      <c r="AJ10" s="1" t="n">
        <v>0.0109</v>
      </c>
      <c r="AK10" s="1" t="n">
        <v>0.0109</v>
      </c>
      <c r="AL10" s="1" t="n">
        <v>0.0109</v>
      </c>
      <c r="AM10" s="1" t="n">
        <v>0.0109</v>
      </c>
      <c r="AN10" s="1" t="n">
        <v>0.0109</v>
      </c>
      <c r="AO10" s="1" t="n">
        <v>0.0109</v>
      </c>
      <c r="AP10" s="1" t="n">
        <v>0.00416</v>
      </c>
      <c r="AQ10" s="1" t="n">
        <v>0.00416</v>
      </c>
      <c r="AR10" s="1" t="n">
        <v>0.0109</v>
      </c>
      <c r="AS10" s="1" t="n">
        <v>0.0109</v>
      </c>
      <c r="AT10" s="1" t="n">
        <v>0.00416</v>
      </c>
      <c r="AU10" s="1" t="n">
        <v>0.0109</v>
      </c>
      <c r="AV10" s="1" t="n">
        <v>0.00416</v>
      </c>
      <c r="AW10" s="1" t="n">
        <v>0.00416</v>
      </c>
      <c r="AX10" s="1" t="n">
        <v>0.00416</v>
      </c>
      <c r="AY10" s="1" t="n">
        <v>0.00416</v>
      </c>
      <c r="AZ10" s="1" t="n">
        <v>0.00416</v>
      </c>
      <c r="BA10" s="1" t="n">
        <v>0.00416</v>
      </c>
      <c r="BB10" s="1" t="n">
        <v>0.00416</v>
      </c>
      <c r="BC10" s="1" t="n">
        <v>0.0011</v>
      </c>
      <c r="BD10" s="1" t="n">
        <v>0.0011</v>
      </c>
      <c r="BE10" s="1" t="n">
        <v>0.0011</v>
      </c>
      <c r="BF10" s="1" t="n">
        <v>0.0011</v>
      </c>
      <c r="BG10" s="1" t="n">
        <v>0.0011</v>
      </c>
      <c r="BH10" s="1" t="n">
        <v>0.00416</v>
      </c>
      <c r="BI10" s="1" t="n">
        <v>0.0011</v>
      </c>
      <c r="BJ10" s="1" t="n">
        <v>0.00761</v>
      </c>
      <c r="BK10" s="1" t="n">
        <v>0.0211</v>
      </c>
      <c r="BL10" s="1" t="n">
        <v>0.0211</v>
      </c>
      <c r="BM10" s="1" t="n">
        <v>0.0211</v>
      </c>
      <c r="BN10" s="1" t="n">
        <v>0.00555</v>
      </c>
      <c r="BO10" s="1" t="n">
        <v>0.00393</v>
      </c>
      <c r="BP10" s="1" t="n">
        <v>0.00962</v>
      </c>
      <c r="BQ10" s="1" t="n">
        <v>0.0271</v>
      </c>
      <c r="BR10" s="1" t="n">
        <v>0.0459</v>
      </c>
      <c r="BS10" s="1" t="n">
        <v>0.0459</v>
      </c>
      <c r="BT10" s="1" t="n">
        <v>0.00964</v>
      </c>
      <c r="BU10" s="1" t="n">
        <v>0.0459</v>
      </c>
      <c r="BV10" s="1" t="n">
        <v>0.000876</v>
      </c>
      <c r="BW10" s="1" t="n">
        <v>0.0044</v>
      </c>
      <c r="BX10" s="1" t="n">
        <v>0.0459</v>
      </c>
      <c r="BY10" s="1" t="n">
        <v>0.0459</v>
      </c>
      <c r="BZ10" s="1" t="n">
        <v>0.000876</v>
      </c>
      <c r="CA10" s="1" t="n">
        <v>0.0228</v>
      </c>
      <c r="CB10" s="1" t="n">
        <v>0.0501</v>
      </c>
      <c r="CC10" s="1" t="n">
        <v>0.0501</v>
      </c>
      <c r="CD10" s="1" t="n">
        <v>0.0501</v>
      </c>
    </row>
    <row r="11" customFormat="false" ht="16" hidden="false" customHeight="false" outlineLevel="0" collapsed="false">
      <c r="A11" s="20" t="str">
        <f aca="false">l_trans!$A9</f>
        <v>Cl n.e.s.</v>
      </c>
      <c r="B11" s="1" t="n">
        <v>0.0003</v>
      </c>
      <c r="C11" s="1" t="n">
        <v>0.0003</v>
      </c>
      <c r="D11" s="1" t="n">
        <v>0.0003</v>
      </c>
      <c r="E11" s="1" t="n">
        <v>0.0003</v>
      </c>
      <c r="F11" s="1" t="n">
        <v>0.0003</v>
      </c>
      <c r="G11" s="1" t="n">
        <v>0.0007</v>
      </c>
      <c r="H11" s="1" t="n">
        <v>0.0006</v>
      </c>
      <c r="I11" s="1" t="n">
        <v>0.0003</v>
      </c>
      <c r="J11" s="1" t="n">
        <v>0.0002</v>
      </c>
      <c r="K11" s="1" t="n">
        <v>0.0002</v>
      </c>
      <c r="L11" s="1" t="n">
        <v>0.0003</v>
      </c>
      <c r="M11" s="1" t="n">
        <v>0.0002</v>
      </c>
      <c r="N11" s="1" t="n">
        <v>0.0002</v>
      </c>
      <c r="O11" s="1" t="n">
        <v>0.0003</v>
      </c>
      <c r="P11" s="1" t="n">
        <v>0.0003</v>
      </c>
      <c r="Q11" s="1" t="n">
        <v>0.0011</v>
      </c>
      <c r="R11" s="1" t="n">
        <v>0.0003</v>
      </c>
      <c r="S11" s="1" t="n">
        <v>0.0006</v>
      </c>
      <c r="T11" s="1" t="n">
        <v>0.0011</v>
      </c>
      <c r="U11" s="1" t="n">
        <v>0.0011</v>
      </c>
      <c r="V11" s="1" t="n">
        <v>0.0014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0.0024</v>
      </c>
      <c r="AF11" s="1" t="n">
        <v>0.0024</v>
      </c>
      <c r="AG11" s="1" t="n">
        <v>0</v>
      </c>
      <c r="AH11" s="1" t="n">
        <v>0</v>
      </c>
      <c r="AI11" s="1" t="n">
        <v>0</v>
      </c>
      <c r="AJ11" s="1" t="n">
        <v>0.0468</v>
      </c>
      <c r="AK11" s="1" t="n">
        <v>0.0468</v>
      </c>
      <c r="AL11" s="1" t="n">
        <v>0.0468</v>
      </c>
      <c r="AM11" s="1" t="n">
        <v>0.0468</v>
      </c>
      <c r="AN11" s="1" t="n">
        <v>0.0468</v>
      </c>
      <c r="AO11" s="1" t="n">
        <v>0.0468</v>
      </c>
      <c r="AP11" s="1" t="n">
        <v>0.001</v>
      </c>
      <c r="AQ11" s="1" t="n">
        <v>0.001</v>
      </c>
      <c r="AR11" s="1" t="n">
        <v>0.0468</v>
      </c>
      <c r="AS11" s="1" t="n">
        <v>0.0468</v>
      </c>
      <c r="AT11" s="1" t="n">
        <v>0.001</v>
      </c>
      <c r="AU11" s="1" t="n">
        <v>0.0468</v>
      </c>
      <c r="AV11" s="1" t="n">
        <v>0.001</v>
      </c>
      <c r="AW11" s="1" t="n">
        <v>0.001</v>
      </c>
      <c r="AX11" s="1" t="n">
        <v>0.001</v>
      </c>
      <c r="AY11" s="1" t="n">
        <v>0.001</v>
      </c>
      <c r="AZ11" s="1" t="n">
        <v>0.001</v>
      </c>
      <c r="BA11" s="1" t="n">
        <v>0.001</v>
      </c>
      <c r="BB11" s="1" t="n">
        <v>0.001</v>
      </c>
      <c r="BC11" s="1" t="n">
        <v>0.0007</v>
      </c>
      <c r="BD11" s="1" t="n">
        <v>0.0007</v>
      </c>
      <c r="BE11" s="1" t="n">
        <v>0.0007</v>
      </c>
      <c r="BF11" s="1" t="n">
        <v>0.0007</v>
      </c>
      <c r="BG11" s="1" t="n">
        <v>0.0007</v>
      </c>
      <c r="BH11" s="1" t="n">
        <v>0.001</v>
      </c>
      <c r="BI11" s="1" t="n">
        <v>0.0007</v>
      </c>
      <c r="BJ11" s="1" t="n">
        <v>0.0276</v>
      </c>
      <c r="BK11" s="1" t="n">
        <v>0.0028</v>
      </c>
      <c r="BL11" s="1" t="n">
        <v>0.0028</v>
      </c>
      <c r="BM11" s="1" t="n">
        <v>0.0028</v>
      </c>
      <c r="BN11" s="1" t="n">
        <v>0.0056</v>
      </c>
      <c r="BO11" s="1" t="n">
        <v>0.0026</v>
      </c>
      <c r="BP11" s="1" t="n">
        <v>0.0014</v>
      </c>
      <c r="BQ11" s="1" t="n">
        <v>0.0013</v>
      </c>
      <c r="BR11" s="1" t="n">
        <v>0.0002</v>
      </c>
      <c r="BS11" s="1" t="n">
        <v>0.0002</v>
      </c>
      <c r="BT11" s="1" t="n">
        <v>0.0014</v>
      </c>
      <c r="BU11" s="1" t="n">
        <v>0.0002</v>
      </c>
      <c r="BV11" s="1" t="n">
        <v>0.0158</v>
      </c>
      <c r="BW11" s="1" t="n">
        <v>0.0035</v>
      </c>
      <c r="BX11" s="1" t="n">
        <v>0.0002</v>
      </c>
      <c r="BY11" s="1" t="n">
        <v>0.0002</v>
      </c>
      <c r="BZ11" s="1" t="n">
        <v>0.0158</v>
      </c>
      <c r="CA11" s="1" t="n">
        <v>0.0938</v>
      </c>
      <c r="CB11" s="1" t="n">
        <v>0.0107</v>
      </c>
      <c r="CC11" s="1" t="n">
        <v>0.0107</v>
      </c>
      <c r="CD11" s="1" t="n">
        <v>0.0107</v>
      </c>
    </row>
    <row r="12" customFormat="false" ht="16" hidden="false" customHeight="false" outlineLevel="0" collapsed="false">
      <c r="A12" s="20" t="str">
        <f aca="false">l_trans!$A10</f>
        <v>F n.e.s.</v>
      </c>
      <c r="B12" s="1" t="n">
        <v>0.0001</v>
      </c>
      <c r="C12" s="1" t="n">
        <v>0.0007</v>
      </c>
      <c r="D12" s="1" t="n">
        <v>0.0001</v>
      </c>
      <c r="E12" s="1" t="n">
        <v>0.0001</v>
      </c>
      <c r="F12" s="1" t="n">
        <v>0.00016</v>
      </c>
      <c r="G12" s="1" t="n">
        <v>0.0001</v>
      </c>
      <c r="H12" s="1" t="n">
        <v>0.0001</v>
      </c>
      <c r="I12" s="1" t="n">
        <v>0.00016</v>
      </c>
      <c r="J12" s="1" t="n">
        <v>0.0002</v>
      </c>
      <c r="K12" s="1" t="n">
        <v>0.0002</v>
      </c>
      <c r="L12" s="1" t="n">
        <v>0.0004</v>
      </c>
      <c r="M12" s="1" t="n">
        <v>0.0002</v>
      </c>
      <c r="N12" s="1" t="n">
        <v>0.0002</v>
      </c>
      <c r="O12" s="1" t="n">
        <v>0.0004</v>
      </c>
      <c r="P12" s="1" t="n">
        <v>0.0004</v>
      </c>
      <c r="Q12" s="1" t="n">
        <v>0.0001</v>
      </c>
      <c r="R12" s="1" t="n">
        <v>0.0001</v>
      </c>
      <c r="S12" s="1" t="n">
        <v>0.0001</v>
      </c>
      <c r="T12" s="1" t="n">
        <v>0.0001</v>
      </c>
      <c r="U12" s="1" t="n">
        <v>0.0001</v>
      </c>
      <c r="V12" s="1" t="n">
        <v>0.0001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0.0001</v>
      </c>
      <c r="AF12" s="1" t="n">
        <v>0.0001</v>
      </c>
      <c r="AG12" s="1" t="n">
        <v>0</v>
      </c>
      <c r="AH12" s="1" t="n">
        <v>0</v>
      </c>
      <c r="AI12" s="1" t="n">
        <v>0</v>
      </c>
      <c r="AJ12" s="1" t="n">
        <v>0.0001</v>
      </c>
      <c r="AK12" s="1" t="n">
        <v>0.0001</v>
      </c>
      <c r="AL12" s="1" t="n">
        <v>0.0001</v>
      </c>
      <c r="AM12" s="1" t="n">
        <v>0.0001</v>
      </c>
      <c r="AN12" s="1" t="n">
        <v>0.0001</v>
      </c>
      <c r="AO12" s="1" t="n">
        <v>0.0001</v>
      </c>
      <c r="AP12" s="1" t="n">
        <v>0.0001</v>
      </c>
      <c r="AQ12" s="1" t="n">
        <v>0.0001</v>
      </c>
      <c r="AR12" s="1" t="n">
        <v>0.0001</v>
      </c>
      <c r="AS12" s="1" t="n">
        <v>0.0001</v>
      </c>
      <c r="AT12" s="1" t="n">
        <v>0.0001</v>
      </c>
      <c r="AU12" s="1" t="n">
        <v>0.0001</v>
      </c>
      <c r="AV12" s="1" t="n">
        <v>0.0001</v>
      </c>
      <c r="AW12" s="1" t="n">
        <v>0.0001</v>
      </c>
      <c r="AX12" s="1" t="n">
        <v>0.0001</v>
      </c>
      <c r="AY12" s="1" t="n">
        <v>0.0001</v>
      </c>
      <c r="AZ12" s="1" t="n">
        <v>0.0001</v>
      </c>
      <c r="BA12" s="1" t="n">
        <v>0.0001</v>
      </c>
      <c r="BB12" s="1" t="n">
        <v>0.0001</v>
      </c>
      <c r="BC12" s="1" t="n">
        <v>0.0001</v>
      </c>
      <c r="BD12" s="1" t="n">
        <v>0.0001</v>
      </c>
      <c r="BE12" s="1" t="n">
        <v>0.0001</v>
      </c>
      <c r="BF12" s="1" t="n">
        <v>0.0001</v>
      </c>
      <c r="BG12" s="1" t="n">
        <v>0.0001</v>
      </c>
      <c r="BH12" s="1" t="n">
        <v>0.0001</v>
      </c>
      <c r="BI12" s="1" t="n">
        <v>0.0001</v>
      </c>
      <c r="BJ12" s="1" t="n">
        <v>0.0001</v>
      </c>
      <c r="BK12" s="1" t="n">
        <v>0.0001</v>
      </c>
      <c r="BL12" s="1" t="n">
        <v>0.0001</v>
      </c>
      <c r="BM12" s="1" t="n">
        <v>0.0001</v>
      </c>
      <c r="BN12" s="1" t="n">
        <v>0.0001</v>
      </c>
      <c r="BO12" s="1" t="n">
        <v>0.0001</v>
      </c>
      <c r="BP12" s="1" t="n">
        <v>0.0001</v>
      </c>
      <c r="BQ12" s="1" t="n">
        <v>0.0001</v>
      </c>
      <c r="BR12" s="1" t="n">
        <v>0.0003</v>
      </c>
      <c r="BS12" s="1" t="n">
        <v>0.0003</v>
      </c>
      <c r="BT12" s="1" t="n">
        <v>0.0001</v>
      </c>
      <c r="BU12" s="1" t="n">
        <v>0.0003</v>
      </c>
      <c r="BV12" s="1" t="n">
        <v>0.0001</v>
      </c>
      <c r="BW12" s="1" t="n">
        <v>0.0001</v>
      </c>
      <c r="BX12" s="1" t="n">
        <v>0.0003</v>
      </c>
      <c r="BY12" s="1" t="n">
        <v>0.0003</v>
      </c>
      <c r="BZ12" s="1" t="n">
        <v>0.0001</v>
      </c>
      <c r="CA12" s="1" t="n">
        <v>0.0001</v>
      </c>
      <c r="CB12" s="1" t="n">
        <v>0</v>
      </c>
      <c r="CC12" s="1" t="n">
        <v>0</v>
      </c>
      <c r="CD12" s="1" t="n">
        <v>0</v>
      </c>
    </row>
    <row r="13" customFormat="false" ht="16" hidden="false" customHeight="false" outlineLevel="0" collapsed="false">
      <c r="A13" s="20" t="str">
        <f aca="false">l_trans!$A11</f>
        <v>H n.e.s.</v>
      </c>
      <c r="B13" s="1" t="n">
        <v>0.057</v>
      </c>
      <c r="C13" s="1" t="n">
        <v>0.048</v>
      </c>
      <c r="D13" s="1" t="n">
        <v>0.042</v>
      </c>
      <c r="E13" s="1" t="n">
        <v>0.042</v>
      </c>
      <c r="F13" s="1" t="n">
        <v>0.0516</v>
      </c>
      <c r="G13" s="1" t="n">
        <v>0.05</v>
      </c>
      <c r="H13" s="1" t="n">
        <v>0.05</v>
      </c>
      <c r="I13" s="1" t="n">
        <v>0.0516</v>
      </c>
      <c r="J13" s="1" t="n">
        <v>0.054</v>
      </c>
      <c r="K13" s="1" t="n">
        <v>0.054</v>
      </c>
      <c r="L13" s="1" t="n">
        <v>0.056</v>
      </c>
      <c r="M13" s="1" t="n">
        <v>0.054</v>
      </c>
      <c r="N13" s="1" t="n">
        <v>0.054</v>
      </c>
      <c r="O13" s="1" t="n">
        <v>0.056</v>
      </c>
      <c r="P13" s="1" t="n">
        <v>0.056</v>
      </c>
      <c r="Q13" s="1" t="n">
        <v>0.077</v>
      </c>
      <c r="R13" s="1" t="n">
        <v>0.073</v>
      </c>
      <c r="S13" s="1" t="n">
        <v>0.05</v>
      </c>
      <c r="T13" s="1" t="n">
        <v>0.077</v>
      </c>
      <c r="U13" s="1" t="n">
        <v>0.077</v>
      </c>
      <c r="V13" s="1" t="n">
        <v>0.064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0.027</v>
      </c>
      <c r="AF13" s="1" t="n">
        <v>0.027</v>
      </c>
      <c r="AG13" s="1" t="n">
        <v>0</v>
      </c>
      <c r="AH13" s="1" t="n">
        <v>0</v>
      </c>
      <c r="AI13" s="1" t="n">
        <v>0</v>
      </c>
      <c r="AJ13" s="1" t="n">
        <v>0.097</v>
      </c>
      <c r="AK13" s="1" t="n">
        <v>0.097</v>
      </c>
      <c r="AL13" s="1" t="n">
        <v>0.097</v>
      </c>
      <c r="AM13" s="1" t="n">
        <v>0.097</v>
      </c>
      <c r="AN13" s="1" t="n">
        <v>0.097</v>
      </c>
      <c r="AO13" s="1" t="n">
        <v>0.097</v>
      </c>
      <c r="AP13" s="1" t="n">
        <v>0.105</v>
      </c>
      <c r="AQ13" s="1" t="n">
        <v>0.105</v>
      </c>
      <c r="AR13" s="1" t="n">
        <v>0.097</v>
      </c>
      <c r="AS13" s="1" t="n">
        <v>0.097</v>
      </c>
      <c r="AT13" s="1" t="n">
        <v>0.105</v>
      </c>
      <c r="AU13" s="1" t="n">
        <v>0.097</v>
      </c>
      <c r="AV13" s="1" t="n">
        <v>0.105</v>
      </c>
      <c r="AW13" s="1" t="n">
        <v>0.105</v>
      </c>
      <c r="AX13" s="1" t="n">
        <v>0.105</v>
      </c>
      <c r="AY13" s="1" t="n">
        <v>0.105</v>
      </c>
      <c r="AZ13" s="1" t="n">
        <v>0.105</v>
      </c>
      <c r="BA13" s="1" t="n">
        <v>0.105</v>
      </c>
      <c r="BB13" s="1" t="n">
        <v>0.105</v>
      </c>
      <c r="BC13" s="1" t="n">
        <v>0.132</v>
      </c>
      <c r="BD13" s="1" t="n">
        <v>0.132</v>
      </c>
      <c r="BE13" s="1" t="n">
        <v>0.132</v>
      </c>
      <c r="BF13" s="1" t="n">
        <v>0.132</v>
      </c>
      <c r="BG13" s="1" t="n">
        <v>0.132</v>
      </c>
      <c r="BH13" s="1" t="n">
        <v>0.105</v>
      </c>
      <c r="BI13" s="1" t="n">
        <v>0.132</v>
      </c>
      <c r="BJ13" s="1" t="n">
        <v>0.069</v>
      </c>
      <c r="BK13" s="1" t="n">
        <v>0.052</v>
      </c>
      <c r="BL13" s="1" t="n">
        <v>0.052</v>
      </c>
      <c r="BM13" s="1" t="n">
        <v>0.052</v>
      </c>
      <c r="BN13" s="1" t="n">
        <v>0.066</v>
      </c>
      <c r="BO13" s="1" t="n">
        <v>0.063</v>
      </c>
      <c r="BP13" s="1" t="n">
        <v>0.08</v>
      </c>
      <c r="BQ13" s="1" t="n">
        <v>0.064</v>
      </c>
      <c r="BR13" s="1" t="n">
        <v>0.001</v>
      </c>
      <c r="BS13" s="1" t="n">
        <v>0.001</v>
      </c>
      <c r="BT13" s="1" t="n">
        <v>0.064</v>
      </c>
      <c r="BU13" s="1" t="n">
        <v>0.001</v>
      </c>
      <c r="BV13" s="1" t="n">
        <v>0.011</v>
      </c>
      <c r="BW13" s="1" t="n">
        <v>0.06</v>
      </c>
      <c r="BX13" s="1" t="n">
        <v>0.001</v>
      </c>
      <c r="BY13" s="1" t="n">
        <v>0.001</v>
      </c>
      <c r="BZ13" s="1" t="n">
        <v>0.011</v>
      </c>
      <c r="CA13" s="1" t="n">
        <v>0.084</v>
      </c>
      <c r="CB13" s="1" t="n">
        <v>0</v>
      </c>
      <c r="CC13" s="1" t="n">
        <v>0</v>
      </c>
      <c r="CD13" s="1" t="n">
        <v>0</v>
      </c>
    </row>
    <row r="14" customFormat="false" ht="16" hidden="false" customHeight="false" outlineLevel="0" collapsed="false">
      <c r="A14" s="20" t="str">
        <f aca="false">l_trans!$A12</f>
        <v>K n.e.s.</v>
      </c>
      <c r="B14" s="1" t="n">
        <v>0.000672</v>
      </c>
      <c r="C14" s="1" t="n">
        <v>0.000899</v>
      </c>
      <c r="D14" s="1" t="n">
        <v>0.000686</v>
      </c>
      <c r="E14" s="1" t="n">
        <v>0.000686</v>
      </c>
      <c r="F14" s="1" t="n">
        <v>0.000699</v>
      </c>
      <c r="G14" s="1" t="n">
        <v>0.000118</v>
      </c>
      <c r="H14" s="1" t="n">
        <v>0.00073</v>
      </c>
      <c r="I14" s="1" t="n">
        <v>0.000699</v>
      </c>
      <c r="J14" s="1" t="n">
        <v>0.000397</v>
      </c>
      <c r="K14" s="1" t="n">
        <v>0.000397</v>
      </c>
      <c r="L14" s="1" t="n">
        <v>0.000374</v>
      </c>
      <c r="M14" s="1" t="n">
        <v>0.000397</v>
      </c>
      <c r="N14" s="1" t="n">
        <v>0.000397</v>
      </c>
      <c r="O14" s="1" t="n">
        <v>0.000374</v>
      </c>
      <c r="P14" s="1" t="n">
        <v>0.000374</v>
      </c>
      <c r="Q14" s="1" t="n">
        <v>0.000571</v>
      </c>
      <c r="R14" s="1" t="n">
        <v>0.000472</v>
      </c>
      <c r="S14" s="1" t="n">
        <v>0.00073</v>
      </c>
      <c r="T14" s="1" t="n">
        <v>0.000571</v>
      </c>
      <c r="U14" s="1" t="n">
        <v>0.000571</v>
      </c>
      <c r="V14" s="1" t="n">
        <v>0.00212</v>
      </c>
      <c r="W14" s="1" t="n">
        <v>0.00775</v>
      </c>
      <c r="X14" s="1" t="n">
        <v>0.00775</v>
      </c>
      <c r="Y14" s="1" t="n">
        <v>0.00701</v>
      </c>
      <c r="Z14" s="1" t="n">
        <v>0.00701</v>
      </c>
      <c r="AA14" s="1" t="n">
        <v>0.00365</v>
      </c>
      <c r="AB14" s="1" t="n">
        <v>0.00443</v>
      </c>
      <c r="AC14" s="1" t="n">
        <v>0.000162</v>
      </c>
      <c r="AD14" s="1" t="n">
        <v>0.000162</v>
      </c>
      <c r="AE14" s="1" t="n">
        <v>0.00119</v>
      </c>
      <c r="AF14" s="1" t="n">
        <v>0.00119</v>
      </c>
      <c r="AG14" s="1" t="n">
        <v>0.0002</v>
      </c>
      <c r="AH14" s="1" t="n">
        <v>0.000532</v>
      </c>
      <c r="AI14" s="1" t="n">
        <v>0.0002</v>
      </c>
      <c r="AJ14" s="1" t="n">
        <v>0.00121</v>
      </c>
      <c r="AK14" s="1" t="n">
        <v>0.00121</v>
      </c>
      <c r="AL14" s="1" t="n">
        <v>0.00121</v>
      </c>
      <c r="AM14" s="1" t="n">
        <v>0.00121</v>
      </c>
      <c r="AN14" s="1" t="n">
        <v>0.00121</v>
      </c>
      <c r="AO14" s="1" t="n">
        <v>0.00121</v>
      </c>
      <c r="AP14" s="1" t="n">
        <v>0.00019</v>
      </c>
      <c r="AQ14" s="1" t="n">
        <v>0.00019</v>
      </c>
      <c r="AR14" s="1" t="n">
        <v>0.00121</v>
      </c>
      <c r="AS14" s="1" t="n">
        <v>0.00121</v>
      </c>
      <c r="AT14" s="1" t="n">
        <v>0.00019</v>
      </c>
      <c r="AU14" s="1" t="n">
        <v>0.00121</v>
      </c>
      <c r="AV14" s="1" t="n">
        <v>0.00019</v>
      </c>
      <c r="AW14" s="1" t="n">
        <v>0.00019</v>
      </c>
      <c r="AX14" s="1" t="n">
        <v>0.00019</v>
      </c>
      <c r="AY14" s="1" t="n">
        <v>0.00019</v>
      </c>
      <c r="AZ14" s="1" t="n">
        <v>0.00019</v>
      </c>
      <c r="BA14" s="1" t="n">
        <v>0.00019</v>
      </c>
      <c r="BB14" s="1" t="n">
        <v>0.00019</v>
      </c>
      <c r="BC14" s="1" t="n">
        <v>0.000673</v>
      </c>
      <c r="BD14" s="1" t="n">
        <v>0.000673</v>
      </c>
      <c r="BE14" s="1" t="n">
        <v>0.000673</v>
      </c>
      <c r="BF14" s="1" t="n">
        <v>0.000673</v>
      </c>
      <c r="BG14" s="1" t="n">
        <v>0.000673</v>
      </c>
      <c r="BH14" s="1" t="n">
        <v>0.00019</v>
      </c>
      <c r="BI14" s="1" t="n">
        <v>0.000673</v>
      </c>
      <c r="BJ14" s="1" t="n">
        <v>0.000278</v>
      </c>
      <c r="BK14" s="1" t="n">
        <v>0.0127</v>
      </c>
      <c r="BL14" s="1" t="n">
        <v>0.0127</v>
      </c>
      <c r="BM14" s="1" t="n">
        <v>0.0127</v>
      </c>
      <c r="BN14" s="1" t="n">
        <v>0.0127</v>
      </c>
      <c r="BO14" s="1" t="n">
        <v>0.00151</v>
      </c>
      <c r="BP14" s="1" t="n">
        <v>0.00141</v>
      </c>
      <c r="BQ14" s="1" t="n">
        <v>0.00739</v>
      </c>
      <c r="BR14" s="1" t="n">
        <v>0.0104</v>
      </c>
      <c r="BS14" s="1" t="n">
        <v>0.0104</v>
      </c>
      <c r="BT14" s="1" t="n">
        <v>0.00212</v>
      </c>
      <c r="BU14" s="1" t="n">
        <v>0.0104</v>
      </c>
      <c r="BV14" s="1" t="n">
        <v>0.0397</v>
      </c>
      <c r="BW14" s="1" t="n">
        <v>0.000706</v>
      </c>
      <c r="BX14" s="1" t="n">
        <v>0.0104</v>
      </c>
      <c r="BY14" s="1" t="n">
        <v>0.0104</v>
      </c>
      <c r="BZ14" s="1" t="n">
        <v>0.0397</v>
      </c>
      <c r="CA14" s="1" t="n">
        <v>0.000559</v>
      </c>
      <c r="CB14" s="1" t="n">
        <v>0.017</v>
      </c>
      <c r="CC14" s="1" t="n">
        <v>0.017</v>
      </c>
      <c r="CD14" s="1" t="n">
        <v>0.017</v>
      </c>
    </row>
    <row r="15" customFormat="false" ht="16" hidden="false" customHeight="false" outlineLevel="0" collapsed="false">
      <c r="A15" s="20" t="str">
        <f aca="false">l_trans!$A13</f>
        <v>N n.e.s.</v>
      </c>
      <c r="B15" s="1" t="n">
        <v>0.001</v>
      </c>
      <c r="C15" s="1" t="n">
        <v>0.003</v>
      </c>
      <c r="D15" s="1" t="n">
        <v>0.001</v>
      </c>
      <c r="E15" s="1" t="n">
        <v>0.001</v>
      </c>
      <c r="F15" s="1" t="n">
        <v>0.0012</v>
      </c>
      <c r="G15" s="1" t="n">
        <v>0.001</v>
      </c>
      <c r="H15" s="1" t="n">
        <v>0.002</v>
      </c>
      <c r="I15" s="1" t="n">
        <v>0.0012</v>
      </c>
      <c r="J15" s="1" t="n">
        <v>0.001</v>
      </c>
      <c r="K15" s="1" t="n">
        <v>0.001</v>
      </c>
      <c r="L15" s="1" t="n">
        <v>0.002</v>
      </c>
      <c r="M15" s="1" t="n">
        <v>0.001</v>
      </c>
      <c r="N15" s="1" t="n">
        <v>0.001</v>
      </c>
      <c r="O15" s="1" t="n">
        <v>0.002</v>
      </c>
      <c r="P15" s="1" t="n">
        <v>0.002</v>
      </c>
      <c r="Q15" s="1" t="n">
        <v>0.002</v>
      </c>
      <c r="R15" s="1" t="n">
        <v>0.004</v>
      </c>
      <c r="S15" s="1" t="n">
        <v>0.002</v>
      </c>
      <c r="T15" s="1" t="n">
        <v>0.002</v>
      </c>
      <c r="U15" s="1" t="n">
        <v>0.002</v>
      </c>
      <c r="V15" s="1" t="n">
        <v>0.008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0.004</v>
      </c>
      <c r="AF15" s="1" t="n">
        <v>0.004</v>
      </c>
      <c r="AG15" s="1" t="n">
        <v>0</v>
      </c>
      <c r="AH15" s="1" t="n">
        <v>0</v>
      </c>
      <c r="AI15" s="1" t="n">
        <v>0</v>
      </c>
      <c r="AJ15" s="1" t="n">
        <v>0.005</v>
      </c>
      <c r="AK15" s="1" t="n">
        <v>0.005</v>
      </c>
      <c r="AL15" s="1" t="n">
        <v>0.005</v>
      </c>
      <c r="AM15" s="1" t="n">
        <v>0.005</v>
      </c>
      <c r="AN15" s="1" t="n">
        <v>0.005</v>
      </c>
      <c r="AO15" s="1" t="n">
        <v>0.005</v>
      </c>
      <c r="AP15" s="1" t="n">
        <v>0.055</v>
      </c>
      <c r="AQ15" s="1" t="n">
        <v>0.055</v>
      </c>
      <c r="AR15" s="1" t="n">
        <v>0.005</v>
      </c>
      <c r="AS15" s="1" t="n">
        <v>0.005</v>
      </c>
      <c r="AT15" s="1" t="n">
        <v>0.055</v>
      </c>
      <c r="AU15" s="1" t="n">
        <v>0.005</v>
      </c>
      <c r="AV15" s="1" t="n">
        <v>0.055</v>
      </c>
      <c r="AW15" s="1" t="n">
        <v>0.055</v>
      </c>
      <c r="AX15" s="1" t="n">
        <v>0.055</v>
      </c>
      <c r="AY15" s="1" t="n">
        <v>0.055</v>
      </c>
      <c r="AZ15" s="1" t="n">
        <v>0.055</v>
      </c>
      <c r="BA15" s="1" t="n">
        <v>0.055</v>
      </c>
      <c r="BB15" s="1" t="n">
        <v>0.055</v>
      </c>
      <c r="BC15" s="1" t="n">
        <v>0.002</v>
      </c>
      <c r="BD15" s="1" t="n">
        <v>0.002</v>
      </c>
      <c r="BE15" s="1" t="n">
        <v>0.002</v>
      </c>
      <c r="BF15" s="1" t="n">
        <v>0.002</v>
      </c>
      <c r="BG15" s="1" t="n">
        <v>0.002</v>
      </c>
      <c r="BH15" s="1" t="n">
        <v>0.055</v>
      </c>
      <c r="BI15" s="1" t="n">
        <v>0.002</v>
      </c>
      <c r="BJ15" s="1" t="n">
        <v>0.022</v>
      </c>
      <c r="BK15" s="1" t="n">
        <v>0.015</v>
      </c>
      <c r="BL15" s="1" t="n">
        <v>0.015</v>
      </c>
      <c r="BM15" s="1" t="n">
        <v>0.015</v>
      </c>
      <c r="BN15" s="1" t="n">
        <v>0.019</v>
      </c>
      <c r="BO15" s="1" t="n">
        <v>0.008</v>
      </c>
      <c r="BP15" s="1" t="n">
        <v>0.009</v>
      </c>
      <c r="BQ15" s="1" t="n">
        <v>0.033</v>
      </c>
      <c r="BR15" s="1" t="n">
        <v>0</v>
      </c>
      <c r="BS15" s="1" t="n">
        <v>0</v>
      </c>
      <c r="BT15" s="1" t="n">
        <v>0.008</v>
      </c>
      <c r="BU15" s="1" t="n">
        <v>0</v>
      </c>
      <c r="BV15" s="1" t="n">
        <v>0.001</v>
      </c>
      <c r="BW15" s="1" t="n">
        <v>0.032</v>
      </c>
      <c r="BX15" s="1" t="n">
        <v>0</v>
      </c>
      <c r="BY15" s="1" t="n">
        <v>0</v>
      </c>
      <c r="BZ15" s="1" t="n">
        <v>0.001</v>
      </c>
      <c r="CA15" s="1" t="n">
        <v>0.006</v>
      </c>
      <c r="CB15" s="1" t="n">
        <v>0.00103</v>
      </c>
      <c r="CC15" s="1" t="n">
        <v>0.00103</v>
      </c>
      <c r="CD15" s="1" t="n">
        <v>0.00103</v>
      </c>
    </row>
    <row r="16" customFormat="false" ht="16" hidden="false" customHeight="false" outlineLevel="0" collapsed="false">
      <c r="A16" s="20" t="str">
        <f aca="false">l_trans!$A14</f>
        <v>Na n.e.s.</v>
      </c>
      <c r="B16" s="1" t="n">
        <v>0.000246</v>
      </c>
      <c r="C16" s="1" t="n">
        <v>0.00128</v>
      </c>
      <c r="D16" s="1" t="n">
        <v>0.000898</v>
      </c>
      <c r="E16" s="1" t="n">
        <v>0.000898</v>
      </c>
      <c r="F16" s="1" t="n">
        <v>0.000545</v>
      </c>
      <c r="G16" s="1" t="n">
        <v>0.000774</v>
      </c>
      <c r="H16" s="1" t="n">
        <v>0.000977</v>
      </c>
      <c r="I16" s="1" t="n">
        <v>0.000545</v>
      </c>
      <c r="J16" s="1" t="n">
        <v>0.000416</v>
      </c>
      <c r="K16" s="1" t="n">
        <v>0.000416</v>
      </c>
      <c r="L16" s="1" t="n">
        <v>0.000476</v>
      </c>
      <c r="M16" s="1" t="n">
        <v>0.000416</v>
      </c>
      <c r="N16" s="1" t="n">
        <v>0.000416</v>
      </c>
      <c r="O16" s="1" t="n">
        <v>0.000476</v>
      </c>
      <c r="P16" s="1" t="n">
        <v>0.000476</v>
      </c>
      <c r="Q16" s="1" t="n">
        <v>0.00174</v>
      </c>
      <c r="R16" s="1" t="n">
        <v>0.0015</v>
      </c>
      <c r="S16" s="1" t="n">
        <v>0.000977</v>
      </c>
      <c r="T16" s="1" t="n">
        <v>0.00174</v>
      </c>
      <c r="U16" s="1" t="n">
        <v>0.00174</v>
      </c>
      <c r="V16" s="1" t="n">
        <v>0.000703</v>
      </c>
      <c r="W16" s="1" t="n">
        <v>0.0249</v>
      </c>
      <c r="X16" s="1" t="n">
        <v>0.0249</v>
      </c>
      <c r="Y16" s="1" t="n">
        <v>0.0261</v>
      </c>
      <c r="Z16" s="1" t="n">
        <v>0.0261</v>
      </c>
      <c r="AA16" s="1" t="n">
        <v>0.0224</v>
      </c>
      <c r="AB16" s="1" t="n">
        <v>0.023</v>
      </c>
      <c r="AC16" s="1" t="n">
        <v>0.000165</v>
      </c>
      <c r="AD16" s="1" t="n">
        <v>0.000165</v>
      </c>
      <c r="AE16" s="1" t="n">
        <v>0.00167</v>
      </c>
      <c r="AF16" s="1" t="n">
        <v>0.00167</v>
      </c>
      <c r="AG16" s="1" t="n">
        <v>0.00039</v>
      </c>
      <c r="AH16" s="1" t="n">
        <v>0.000539</v>
      </c>
      <c r="AI16" s="1" t="n">
        <v>0.00039</v>
      </c>
      <c r="AJ16" s="1" t="n">
        <v>0.00117</v>
      </c>
      <c r="AK16" s="1" t="n">
        <v>0.00117</v>
      </c>
      <c r="AL16" s="1" t="n">
        <v>0.00117</v>
      </c>
      <c r="AM16" s="1" t="n">
        <v>0.00117</v>
      </c>
      <c r="AN16" s="1" t="n">
        <v>0.00117</v>
      </c>
      <c r="AO16" s="1" t="n">
        <v>0.00117</v>
      </c>
      <c r="AP16" s="1" t="n">
        <v>0.000422</v>
      </c>
      <c r="AQ16" s="1" t="n">
        <v>0.000422</v>
      </c>
      <c r="AR16" s="1" t="n">
        <v>0.00117</v>
      </c>
      <c r="AS16" s="1" t="n">
        <v>0.00117</v>
      </c>
      <c r="AT16" s="1" t="n">
        <v>0.000422</v>
      </c>
      <c r="AU16" s="1" t="n">
        <v>0.00117</v>
      </c>
      <c r="AV16" s="1" t="n">
        <v>0.000422</v>
      </c>
      <c r="AW16" s="1" t="n">
        <v>0.000422</v>
      </c>
      <c r="AX16" s="1" t="n">
        <v>0.000422</v>
      </c>
      <c r="AY16" s="1" t="n">
        <v>0.000422</v>
      </c>
      <c r="AZ16" s="1" t="n">
        <v>0.000422</v>
      </c>
      <c r="BA16" s="1" t="n">
        <v>0.000422</v>
      </c>
      <c r="BB16" s="1" t="n">
        <v>0.000422</v>
      </c>
      <c r="BC16" s="1" t="n">
        <v>0.000554</v>
      </c>
      <c r="BD16" s="1" t="n">
        <v>0.000554</v>
      </c>
      <c r="BE16" s="1" t="n">
        <v>0.000554</v>
      </c>
      <c r="BF16" s="1" t="n">
        <v>0.000554</v>
      </c>
      <c r="BG16" s="1" t="n">
        <v>0.000554</v>
      </c>
      <c r="BH16" s="1" t="n">
        <v>0.000422</v>
      </c>
      <c r="BI16" s="1" t="n">
        <v>0.000554</v>
      </c>
      <c r="BJ16" s="1" t="n">
        <v>0.000575</v>
      </c>
      <c r="BK16" s="1" t="n">
        <v>0.000944</v>
      </c>
      <c r="BL16" s="1" t="n">
        <v>0.000944</v>
      </c>
      <c r="BM16" s="1" t="n">
        <v>0.000944</v>
      </c>
      <c r="BN16" s="1" t="n">
        <v>0.00312</v>
      </c>
      <c r="BO16" s="1" t="n">
        <v>0.00206</v>
      </c>
      <c r="BP16" s="1" t="n">
        <v>0.0219</v>
      </c>
      <c r="BQ16" s="1" t="n">
        <v>0.00241</v>
      </c>
      <c r="BR16" s="1" t="n">
        <v>0.0417</v>
      </c>
      <c r="BS16" s="1" t="n">
        <v>0.0417</v>
      </c>
      <c r="BT16" s="1" t="n">
        <v>0.000703</v>
      </c>
      <c r="BU16" s="1" t="n">
        <v>0.0417</v>
      </c>
      <c r="BV16" s="1" t="n">
        <v>0.00148</v>
      </c>
      <c r="BW16" s="1" t="n">
        <v>0.00359</v>
      </c>
      <c r="BX16" s="1" t="n">
        <v>0.0417</v>
      </c>
      <c r="BY16" s="1" t="n">
        <v>0.0417</v>
      </c>
      <c r="BZ16" s="1" t="n">
        <v>0.00148</v>
      </c>
      <c r="CA16" s="1" t="n">
        <v>0.000347</v>
      </c>
      <c r="CB16" s="1" t="n">
        <v>0.0118</v>
      </c>
      <c r="CC16" s="1" t="n">
        <v>0.0118</v>
      </c>
      <c r="CD16" s="1" t="n">
        <v>0.0118</v>
      </c>
    </row>
    <row r="17" customFormat="false" ht="16" hidden="false" customHeight="false" outlineLevel="0" collapsed="false">
      <c r="A17" s="20" t="str">
        <f aca="false">l_trans!$A15</f>
        <v>O n.e.s.</v>
      </c>
      <c r="B17" s="1" t="n">
        <v>0.442</v>
      </c>
      <c r="C17" s="1" t="n">
        <v>0.329</v>
      </c>
      <c r="D17" s="1" t="n">
        <v>0.275</v>
      </c>
      <c r="E17" s="1" t="n">
        <v>0.275</v>
      </c>
      <c r="F17" s="1" t="n">
        <v>0.381</v>
      </c>
      <c r="G17" s="1" t="n">
        <v>0.367</v>
      </c>
      <c r="H17" s="1" t="n">
        <v>0.385</v>
      </c>
      <c r="I17" s="1" t="n">
        <v>0.381</v>
      </c>
      <c r="J17" s="1" t="n">
        <v>0.395</v>
      </c>
      <c r="K17" s="1" t="n">
        <v>0.395</v>
      </c>
      <c r="L17" s="1" t="n">
        <v>0.396</v>
      </c>
      <c r="M17" s="1" t="n">
        <v>0.395</v>
      </c>
      <c r="N17" s="1" t="n">
        <v>0.395</v>
      </c>
      <c r="O17" s="1" t="n">
        <v>0.396</v>
      </c>
      <c r="P17" s="1" t="n">
        <v>0.396</v>
      </c>
      <c r="Q17" s="1" t="n">
        <v>0.308</v>
      </c>
      <c r="R17" s="1" t="n">
        <v>0.388</v>
      </c>
      <c r="S17" s="1" t="n">
        <v>0.385</v>
      </c>
      <c r="T17" s="1" t="n">
        <v>0.308</v>
      </c>
      <c r="U17" s="1" t="n">
        <v>0.308</v>
      </c>
      <c r="V17" s="1" t="n">
        <v>0.305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0.0535</v>
      </c>
      <c r="AF17" s="1" t="n">
        <v>0.0535</v>
      </c>
      <c r="AG17" s="1" t="n">
        <v>0</v>
      </c>
      <c r="AH17" s="1" t="n">
        <v>0</v>
      </c>
      <c r="AI17" s="1" t="n">
        <v>0</v>
      </c>
      <c r="AJ17" s="1" t="n">
        <v>0.111</v>
      </c>
      <c r="AK17" s="1" t="n">
        <v>0.111</v>
      </c>
      <c r="AL17" s="1" t="n">
        <v>0.111</v>
      </c>
      <c r="AM17" s="1" t="n">
        <v>0.111</v>
      </c>
      <c r="AN17" s="1" t="n">
        <v>0.111</v>
      </c>
      <c r="AO17" s="1" t="n">
        <v>0.111</v>
      </c>
      <c r="AP17" s="1" t="n">
        <v>0.0173</v>
      </c>
      <c r="AQ17" s="1" t="n">
        <v>0.0173</v>
      </c>
      <c r="AR17" s="1" t="n">
        <v>0.111</v>
      </c>
      <c r="AS17" s="1" t="n">
        <v>0.111</v>
      </c>
      <c r="AT17" s="1" t="n">
        <v>0.0173</v>
      </c>
      <c r="AU17" s="1" t="n">
        <v>0.111</v>
      </c>
      <c r="AV17" s="1" t="n">
        <v>0.0173</v>
      </c>
      <c r="AW17" s="1" t="n">
        <v>0.0173</v>
      </c>
      <c r="AX17" s="1" t="n">
        <v>0.0173</v>
      </c>
      <c r="AY17" s="1" t="n">
        <v>0.0173</v>
      </c>
      <c r="AZ17" s="1" t="n">
        <v>0.0173</v>
      </c>
      <c r="BA17" s="1" t="n">
        <v>0.0173</v>
      </c>
      <c r="BB17" s="1" t="n">
        <v>0.0173</v>
      </c>
      <c r="BC17" s="1" t="n">
        <v>0.0011</v>
      </c>
      <c r="BD17" s="1" t="n">
        <v>0.0011</v>
      </c>
      <c r="BE17" s="1" t="n">
        <v>0.0011</v>
      </c>
      <c r="BF17" s="1" t="n">
        <v>0.0011</v>
      </c>
      <c r="BG17" s="1" t="n">
        <v>0.0011</v>
      </c>
      <c r="BH17" s="1" t="n">
        <v>0.0173</v>
      </c>
      <c r="BI17" s="1" t="n">
        <v>0.0011</v>
      </c>
      <c r="BJ17" s="1" t="n">
        <v>0.0356</v>
      </c>
      <c r="BK17" s="1" t="n">
        <v>0.259</v>
      </c>
      <c r="BL17" s="1" t="n">
        <v>0.259</v>
      </c>
      <c r="BM17" s="1" t="n">
        <v>0.259</v>
      </c>
      <c r="BN17" s="1" t="n">
        <v>0.395</v>
      </c>
      <c r="BO17" s="1" t="n">
        <v>0.448</v>
      </c>
      <c r="BP17" s="1" t="n">
        <v>0.273</v>
      </c>
      <c r="BQ17" s="1" t="n">
        <v>0.208</v>
      </c>
      <c r="BR17" s="1" t="n">
        <v>0.0074</v>
      </c>
      <c r="BS17" s="1" t="n">
        <v>0.0074</v>
      </c>
      <c r="BT17" s="1" t="n">
        <v>0.305</v>
      </c>
      <c r="BU17" s="1" t="n">
        <v>0.0074</v>
      </c>
      <c r="BV17" s="1" t="n">
        <v>0.027</v>
      </c>
      <c r="BW17" s="1" t="n">
        <v>0.348</v>
      </c>
      <c r="BX17" s="1" t="n">
        <v>0.0074</v>
      </c>
      <c r="BY17" s="1" t="n">
        <v>0.0074</v>
      </c>
      <c r="BZ17" s="1" t="n">
        <v>0.027</v>
      </c>
      <c r="CA17" s="1" t="n">
        <v>0.0659</v>
      </c>
      <c r="CB17" s="1" t="n">
        <v>0</v>
      </c>
      <c r="CC17" s="1" t="n">
        <v>0</v>
      </c>
      <c r="CD17" s="1" t="n">
        <v>0</v>
      </c>
      <c r="EW17" s="1" t="n">
        <v>1</v>
      </c>
    </row>
    <row r="18" customFormat="false" ht="16" hidden="false" customHeight="false" outlineLevel="0" collapsed="false">
      <c r="A18" s="20" t="str">
        <f aca="false">l_trans!$A16</f>
        <v>P n.e.s.</v>
      </c>
      <c r="B18" s="1" t="n">
        <v>7.45E-005</v>
      </c>
      <c r="C18" s="1" t="n">
        <v>0.000155</v>
      </c>
      <c r="D18" s="1" t="n">
        <v>0.00018</v>
      </c>
      <c r="E18" s="1" t="n">
        <v>0.00018</v>
      </c>
      <c r="F18" s="1" t="n">
        <v>0.000114</v>
      </c>
      <c r="G18" s="1" t="n">
        <v>3.82E-005</v>
      </c>
      <c r="H18" s="1" t="n">
        <v>9.57E-005</v>
      </c>
      <c r="I18" s="1" t="n">
        <v>0.000114</v>
      </c>
      <c r="J18" s="1" t="n">
        <v>0.000125</v>
      </c>
      <c r="K18" s="1" t="n">
        <v>0.000125</v>
      </c>
      <c r="L18" s="1" t="n">
        <v>0.000129</v>
      </c>
      <c r="M18" s="1" t="n">
        <v>0.000125</v>
      </c>
      <c r="N18" s="1" t="n">
        <v>0.000125</v>
      </c>
      <c r="O18" s="1" t="n">
        <v>0.000129</v>
      </c>
      <c r="P18" s="1" t="n">
        <v>0.000129</v>
      </c>
      <c r="Q18" s="1" t="n">
        <v>0.000189</v>
      </c>
      <c r="R18" s="1" t="n">
        <v>0.00033</v>
      </c>
      <c r="S18" s="1" t="n">
        <v>9.57E-005</v>
      </c>
      <c r="T18" s="1" t="n">
        <v>0.000189</v>
      </c>
      <c r="U18" s="1" t="n">
        <v>0.000189</v>
      </c>
      <c r="V18" s="1" t="n">
        <v>0.000274</v>
      </c>
      <c r="W18" s="1" t="n">
        <v>9.55E-005</v>
      </c>
      <c r="X18" s="1" t="n">
        <v>9.55E-005</v>
      </c>
      <c r="Y18" s="1" t="n">
        <v>0.000122</v>
      </c>
      <c r="Z18" s="1" t="n">
        <v>0.000122</v>
      </c>
      <c r="AA18" s="1" t="n">
        <v>6.4E-005</v>
      </c>
      <c r="AB18" s="1" t="n">
        <v>7.16E-005</v>
      </c>
      <c r="AC18" s="1" t="n">
        <v>0.00011</v>
      </c>
      <c r="AD18" s="1" t="n">
        <v>0.00011</v>
      </c>
      <c r="AE18" s="1" t="n">
        <v>0.000551</v>
      </c>
      <c r="AF18" s="1" t="n">
        <v>0.000551</v>
      </c>
      <c r="AG18" s="1" t="n">
        <v>0.000252</v>
      </c>
      <c r="AH18" s="1" t="n">
        <v>0.000212</v>
      </c>
      <c r="AI18" s="1" t="n">
        <v>0.000252</v>
      </c>
      <c r="AJ18" s="1" t="n">
        <v>0.00561</v>
      </c>
      <c r="AK18" s="1" t="n">
        <v>0.00561</v>
      </c>
      <c r="AL18" s="1" t="n">
        <v>0.00561</v>
      </c>
      <c r="AM18" s="1" t="n">
        <v>0.00561</v>
      </c>
      <c r="AN18" s="1" t="n">
        <v>0.00561</v>
      </c>
      <c r="AO18" s="1" t="n">
        <v>0.00561</v>
      </c>
      <c r="AP18" s="1" t="n">
        <v>7.56E-005</v>
      </c>
      <c r="AQ18" s="1" t="n">
        <v>7.56E-005</v>
      </c>
      <c r="AR18" s="1" t="n">
        <v>0.00561</v>
      </c>
      <c r="AS18" s="1" t="n">
        <v>0.00561</v>
      </c>
      <c r="AT18" s="1" t="n">
        <v>7.56E-005</v>
      </c>
      <c r="AU18" s="1" t="n">
        <v>0.00561</v>
      </c>
      <c r="AV18" s="1" t="n">
        <v>7.56E-005</v>
      </c>
      <c r="AW18" s="1" t="n">
        <v>7.56E-005</v>
      </c>
      <c r="AX18" s="1" t="n">
        <v>7.56E-005</v>
      </c>
      <c r="AY18" s="1" t="n">
        <v>7.56E-005</v>
      </c>
      <c r="AZ18" s="1" t="n">
        <v>7.56E-005</v>
      </c>
      <c r="BA18" s="1" t="n">
        <v>7.56E-005</v>
      </c>
      <c r="BB18" s="1" t="n">
        <v>7.56E-005</v>
      </c>
      <c r="BC18" s="1" t="n">
        <v>0.000217</v>
      </c>
      <c r="BD18" s="1" t="n">
        <v>0.000217</v>
      </c>
      <c r="BE18" s="1" t="n">
        <v>0.000217</v>
      </c>
      <c r="BF18" s="1" t="n">
        <v>0.000217</v>
      </c>
      <c r="BG18" s="1" t="n">
        <v>0.000217</v>
      </c>
      <c r="BH18" s="1" t="n">
        <v>7.56E-005</v>
      </c>
      <c r="BI18" s="1" t="n">
        <v>0.000217</v>
      </c>
      <c r="BJ18" s="1" t="n">
        <v>0.000148</v>
      </c>
      <c r="BK18" s="1" t="n">
        <v>0.00198</v>
      </c>
      <c r="BL18" s="1" t="n">
        <v>0.00198</v>
      </c>
      <c r="BM18" s="1" t="n">
        <v>0.00198</v>
      </c>
      <c r="BN18" s="1" t="n">
        <v>0.00231</v>
      </c>
      <c r="BO18" s="1" t="n">
        <v>0.0011</v>
      </c>
      <c r="BP18" s="1" t="n">
        <v>0.000608</v>
      </c>
      <c r="BQ18" s="1" t="n">
        <v>0.0159</v>
      </c>
      <c r="BR18" s="1" t="n">
        <v>0.00013</v>
      </c>
      <c r="BS18" s="1" t="n">
        <v>0.00013</v>
      </c>
      <c r="BT18" s="1" t="n">
        <v>0.000274</v>
      </c>
      <c r="BU18" s="1" t="n">
        <v>0.00013</v>
      </c>
      <c r="BV18" s="1" t="n">
        <v>1E-005</v>
      </c>
      <c r="BW18" s="1" t="n">
        <v>0.0023</v>
      </c>
      <c r="BX18" s="1" t="n">
        <v>0.00013</v>
      </c>
      <c r="BY18" s="1" t="n">
        <v>0.00013</v>
      </c>
      <c r="BZ18" s="1" t="n">
        <v>1E-005</v>
      </c>
      <c r="CA18" s="1" t="n">
        <v>0.000313</v>
      </c>
      <c r="CB18" s="1" t="n">
        <v>0.000439</v>
      </c>
      <c r="CC18" s="1" t="n">
        <v>0.000439</v>
      </c>
      <c r="CD18" s="1" t="n">
        <v>0.000439</v>
      </c>
    </row>
    <row r="19" customFormat="false" ht="16" hidden="false" customHeight="false" outlineLevel="0" collapsed="false">
      <c r="A19" s="20" t="str">
        <f aca="false">l_trans!$A17</f>
        <v>S n.e.s.</v>
      </c>
      <c r="B19" s="1" t="n">
        <v>0.000319</v>
      </c>
      <c r="C19" s="1" t="n">
        <v>0.000784</v>
      </c>
      <c r="D19" s="1" t="n">
        <v>0.000724</v>
      </c>
      <c r="E19" s="1" t="n">
        <v>0.000724</v>
      </c>
      <c r="F19" s="1" t="n">
        <v>0.000487</v>
      </c>
      <c r="G19" s="1" t="n">
        <v>0.000643</v>
      </c>
      <c r="H19" s="1" t="n">
        <v>0.00178</v>
      </c>
      <c r="I19" s="1" t="n">
        <v>0.000487</v>
      </c>
      <c r="J19" s="1" t="n">
        <v>0.000631</v>
      </c>
      <c r="K19" s="1" t="n">
        <v>0.000631</v>
      </c>
      <c r="L19" s="1" t="n">
        <v>0.001</v>
      </c>
      <c r="M19" s="1" t="n">
        <v>0.000631</v>
      </c>
      <c r="N19" s="1" t="n">
        <v>0.000631</v>
      </c>
      <c r="O19" s="1" t="n">
        <v>0.001</v>
      </c>
      <c r="P19" s="1" t="n">
        <v>0.001</v>
      </c>
      <c r="Q19" s="1" t="n">
        <v>0.000534</v>
      </c>
      <c r="R19" s="1" t="n">
        <v>0.000701</v>
      </c>
      <c r="S19" s="1" t="n">
        <v>0.00178</v>
      </c>
      <c r="T19" s="1" t="n">
        <v>0.000534</v>
      </c>
      <c r="U19" s="1" t="n">
        <v>0.000534</v>
      </c>
      <c r="V19" s="1" t="n">
        <v>0.000836</v>
      </c>
      <c r="W19" s="1" t="n">
        <v>0.000111</v>
      </c>
      <c r="X19" s="1" t="n">
        <v>0.000111</v>
      </c>
      <c r="Y19" s="1" t="n">
        <v>9.16E-005</v>
      </c>
      <c r="Z19" s="1" t="n">
        <v>9.16E-005</v>
      </c>
      <c r="AA19" s="1" t="n">
        <v>0.000832</v>
      </c>
      <c r="AB19" s="1" t="n">
        <v>0.000687</v>
      </c>
      <c r="AC19" s="1" t="n">
        <v>3E-005</v>
      </c>
      <c r="AD19" s="1" t="n">
        <v>3E-005</v>
      </c>
      <c r="AE19" s="1" t="n">
        <v>0.000297</v>
      </c>
      <c r="AF19" s="1" t="n">
        <v>0.000297</v>
      </c>
      <c r="AG19" s="1" t="n">
        <v>0.000321</v>
      </c>
      <c r="AH19" s="1" t="n">
        <v>9.9E-005</v>
      </c>
      <c r="AI19" s="1" t="n">
        <v>0.000321</v>
      </c>
      <c r="AJ19" s="1" t="n">
        <v>0.00052</v>
      </c>
      <c r="AK19" s="1" t="n">
        <v>0.00052</v>
      </c>
      <c r="AL19" s="1" t="n">
        <v>0.00052</v>
      </c>
      <c r="AM19" s="1" t="n">
        <v>0.00052</v>
      </c>
      <c r="AN19" s="1" t="n">
        <v>0.00052</v>
      </c>
      <c r="AO19" s="1" t="n">
        <v>0.00052</v>
      </c>
      <c r="AP19" s="1" t="n">
        <v>0.000988</v>
      </c>
      <c r="AQ19" s="1" t="n">
        <v>0.000988</v>
      </c>
      <c r="AR19" s="1" t="n">
        <v>0.00052</v>
      </c>
      <c r="AS19" s="1" t="n">
        <v>0.00052</v>
      </c>
      <c r="AT19" s="1" t="n">
        <v>0.000988</v>
      </c>
      <c r="AU19" s="1" t="n">
        <v>0.00052</v>
      </c>
      <c r="AV19" s="1" t="n">
        <v>0.000988</v>
      </c>
      <c r="AW19" s="1" t="n">
        <v>0.000988</v>
      </c>
      <c r="AX19" s="1" t="n">
        <v>0.000988</v>
      </c>
      <c r="AY19" s="1" t="n">
        <v>0.000988</v>
      </c>
      <c r="AZ19" s="1" t="n">
        <v>0.000988</v>
      </c>
      <c r="BA19" s="1" t="n">
        <v>0.000988</v>
      </c>
      <c r="BB19" s="1" t="n">
        <v>0.000988</v>
      </c>
      <c r="BC19" s="1" t="n">
        <v>0.000281</v>
      </c>
      <c r="BD19" s="1" t="n">
        <v>0.000281</v>
      </c>
      <c r="BE19" s="1" t="n">
        <v>0.000281</v>
      </c>
      <c r="BF19" s="1" t="n">
        <v>0.000281</v>
      </c>
      <c r="BG19" s="1" t="n">
        <v>0.000281</v>
      </c>
      <c r="BH19" s="1" t="n">
        <v>0.000988</v>
      </c>
      <c r="BI19" s="1" t="n">
        <v>0.000281</v>
      </c>
      <c r="BJ19" s="1" t="n">
        <v>0.000551</v>
      </c>
      <c r="BK19" s="1" t="n">
        <v>0.0019</v>
      </c>
      <c r="BL19" s="1" t="n">
        <v>0.0019</v>
      </c>
      <c r="BM19" s="1" t="n">
        <v>0.0019</v>
      </c>
      <c r="BN19" s="1" t="n">
        <v>0.00184</v>
      </c>
      <c r="BO19" s="1" t="n">
        <v>0.000883</v>
      </c>
      <c r="BP19" s="1" t="n">
        <v>0.000718</v>
      </c>
      <c r="BQ19" s="1" t="n">
        <v>0.00412</v>
      </c>
      <c r="BR19" s="1" t="n">
        <v>0.000537</v>
      </c>
      <c r="BS19" s="1" t="n">
        <v>0.000537</v>
      </c>
      <c r="BT19" s="1" t="n">
        <v>0.000836</v>
      </c>
      <c r="BU19" s="1" t="n">
        <v>0.000537</v>
      </c>
      <c r="BV19" s="1" t="n">
        <v>0.00165</v>
      </c>
      <c r="BW19" s="1" t="n">
        <v>0.00397</v>
      </c>
      <c r="BX19" s="1" t="n">
        <v>0.000537</v>
      </c>
      <c r="BY19" s="1" t="n">
        <v>0.000537</v>
      </c>
      <c r="BZ19" s="1" t="n">
        <v>0.00165</v>
      </c>
      <c r="CA19" s="1" t="n">
        <v>0.00605</v>
      </c>
      <c r="CB19" s="1" t="n">
        <v>0</v>
      </c>
      <c r="CC19" s="1" t="n">
        <v>0</v>
      </c>
      <c r="CD19" s="1" t="n">
        <v>0</v>
      </c>
    </row>
    <row r="20" customFormat="false" ht="16" hidden="false" customHeight="false" outlineLevel="0" collapsed="false">
      <c r="A20" s="20" t="str">
        <f aca="false">l_trans!$A18</f>
        <v>Ag n.e.s.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</row>
    <row r="21" customFormat="false" ht="16" hidden="false" customHeight="false" outlineLevel="0" collapsed="false">
      <c r="A21" s="20" t="str">
        <f aca="false">l_trans!$A19</f>
        <v>Al n.e.s.</v>
      </c>
      <c r="B21" s="1" t="n">
        <v>0.00885</v>
      </c>
      <c r="C21" s="1" t="n">
        <v>0.0324</v>
      </c>
      <c r="D21" s="1" t="n">
        <v>0.0146</v>
      </c>
      <c r="E21" s="1" t="n">
        <v>0.0146</v>
      </c>
      <c r="F21" s="1" t="n">
        <v>0.0129</v>
      </c>
      <c r="G21" s="1" t="n">
        <v>0.00131</v>
      </c>
      <c r="H21" s="1" t="n">
        <v>0.0117</v>
      </c>
      <c r="I21" s="1" t="n">
        <v>0.0129</v>
      </c>
      <c r="J21" s="1" t="n">
        <v>0.0119</v>
      </c>
      <c r="K21" s="1" t="n">
        <v>0.0119</v>
      </c>
      <c r="L21" s="1" t="n">
        <v>0.0128</v>
      </c>
      <c r="M21" s="1" t="n">
        <v>0.0119</v>
      </c>
      <c r="N21" s="1" t="n">
        <v>0.0119</v>
      </c>
      <c r="O21" s="1" t="n">
        <v>0.0128</v>
      </c>
      <c r="P21" s="1" t="n">
        <v>0.0128</v>
      </c>
      <c r="Q21" s="1" t="n">
        <v>0.0558</v>
      </c>
      <c r="R21" s="1" t="n">
        <v>0.00143</v>
      </c>
      <c r="S21" s="1" t="n">
        <v>0.0117</v>
      </c>
      <c r="T21" s="1" t="n">
        <v>0.0558</v>
      </c>
      <c r="U21" s="1" t="n">
        <v>0.0558</v>
      </c>
      <c r="V21" s="1" t="n">
        <v>0.0044</v>
      </c>
      <c r="W21" s="1" t="n">
        <v>0.00762</v>
      </c>
      <c r="X21" s="1" t="n">
        <v>0.00762</v>
      </c>
      <c r="Y21" s="1" t="n">
        <v>0.00987</v>
      </c>
      <c r="Z21" s="1" t="n">
        <v>0.00987</v>
      </c>
      <c r="AA21" s="1" t="n">
        <v>0.00686</v>
      </c>
      <c r="AB21" s="1" t="n">
        <v>0.00712</v>
      </c>
      <c r="AC21" s="1" t="n">
        <v>0.628</v>
      </c>
      <c r="AD21" s="1" t="n">
        <v>0.628</v>
      </c>
      <c r="AE21" s="1" t="n">
        <v>0.6552</v>
      </c>
      <c r="AF21" s="1" t="n">
        <v>0.6552</v>
      </c>
      <c r="AG21" s="1" t="n">
        <v>0.0378</v>
      </c>
      <c r="AH21" s="1" t="n">
        <v>0.215</v>
      </c>
      <c r="AI21" s="1" t="n">
        <v>0.0378</v>
      </c>
      <c r="AJ21" s="1" t="n">
        <v>0.00565</v>
      </c>
      <c r="AK21" s="1" t="n">
        <v>0.00565</v>
      </c>
      <c r="AL21" s="1" t="n">
        <v>0.00565</v>
      </c>
      <c r="AM21" s="1" t="n">
        <v>0.00565</v>
      </c>
      <c r="AN21" s="1" t="n">
        <v>0.00565</v>
      </c>
      <c r="AO21" s="1" t="n">
        <v>0.00565</v>
      </c>
      <c r="AP21" s="1" t="n">
        <v>0.00143</v>
      </c>
      <c r="AQ21" s="1" t="n">
        <v>0.00143</v>
      </c>
      <c r="AR21" s="1" t="n">
        <v>0.00565</v>
      </c>
      <c r="AS21" s="1" t="n">
        <v>0.00565</v>
      </c>
      <c r="AT21" s="1" t="n">
        <v>0.00143</v>
      </c>
      <c r="AU21" s="1" t="n">
        <v>0.00565</v>
      </c>
      <c r="AV21" s="1" t="n">
        <v>0.00143</v>
      </c>
      <c r="AW21" s="1" t="n">
        <v>0.00143</v>
      </c>
      <c r="AX21" s="1" t="n">
        <v>0.00143</v>
      </c>
      <c r="AY21" s="1" t="n">
        <v>0.00143</v>
      </c>
      <c r="AZ21" s="1" t="n">
        <v>0.00143</v>
      </c>
      <c r="BA21" s="1" t="n">
        <v>0.00143</v>
      </c>
      <c r="BB21" s="1" t="n">
        <v>0.00143</v>
      </c>
      <c r="BC21" s="1" t="n">
        <v>0.000692</v>
      </c>
      <c r="BD21" s="1" t="n">
        <v>0.000692</v>
      </c>
      <c r="BE21" s="1" t="n">
        <v>0.000692</v>
      </c>
      <c r="BF21" s="1" t="n">
        <v>0.000692</v>
      </c>
      <c r="BG21" s="1" t="n">
        <v>0.000692</v>
      </c>
      <c r="BH21" s="1" t="n">
        <v>0.00143</v>
      </c>
      <c r="BI21" s="1" t="n">
        <v>0.000692</v>
      </c>
      <c r="BJ21" s="1" t="n">
        <v>0.0316</v>
      </c>
      <c r="BK21" s="1" t="n">
        <v>0.00236</v>
      </c>
      <c r="BL21" s="1" t="n">
        <v>0.00236</v>
      </c>
      <c r="BM21" s="1" t="n">
        <v>0.00236</v>
      </c>
      <c r="BN21" s="1" t="n">
        <v>0.00103</v>
      </c>
      <c r="BO21" s="1" t="n">
        <v>0.000681</v>
      </c>
      <c r="BP21" s="1" t="n">
        <v>0.000454</v>
      </c>
      <c r="BQ21" s="1" t="n">
        <v>0.00422</v>
      </c>
      <c r="BR21" s="1" t="n">
        <v>0.0112</v>
      </c>
      <c r="BS21" s="1" t="n">
        <v>0.0112</v>
      </c>
      <c r="BT21" s="1" t="n">
        <v>0.0044</v>
      </c>
      <c r="BU21" s="1" t="n">
        <v>0.0112</v>
      </c>
      <c r="BV21" s="1" t="n">
        <v>0.0013</v>
      </c>
      <c r="BW21" s="1" t="n">
        <v>0.000879</v>
      </c>
      <c r="BX21" s="1" t="n">
        <v>0.0112</v>
      </c>
      <c r="BY21" s="1" t="n">
        <v>0.0112</v>
      </c>
      <c r="BZ21" s="1" t="n">
        <v>0.0013</v>
      </c>
      <c r="CA21" s="1" t="n">
        <v>0.00154</v>
      </c>
      <c r="CB21" s="1" t="n">
        <v>0.0118</v>
      </c>
      <c r="CC21" s="1" t="n">
        <v>0.0118</v>
      </c>
      <c r="CD21" s="1" t="n">
        <v>0.0118</v>
      </c>
    </row>
    <row r="22" customFormat="false" ht="16" hidden="false" customHeight="false" outlineLevel="0" collapsed="false">
      <c r="A22" s="20" t="str">
        <f aca="false">l_trans!$A20</f>
        <v>Ar n.e.s.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0</v>
      </c>
      <c r="CD22" s="1" t="n">
        <v>0</v>
      </c>
    </row>
    <row r="23" customFormat="false" ht="16" hidden="false" customHeight="false" outlineLevel="0" collapsed="false">
      <c r="A23" s="20" t="str">
        <f aca="false">l_trans!$A21</f>
        <v>As n.e.s.</v>
      </c>
      <c r="B23" s="1" t="n">
        <v>4.83E-007</v>
      </c>
      <c r="C23" s="1" t="n">
        <v>6.7E-007</v>
      </c>
      <c r="D23" s="1" t="n">
        <v>6.06E-007</v>
      </c>
      <c r="E23" s="1" t="n">
        <v>6.06E-007</v>
      </c>
      <c r="F23" s="1" t="n">
        <v>5.39E-007</v>
      </c>
      <c r="G23" s="1" t="n">
        <v>2.13E-007</v>
      </c>
      <c r="H23" s="1" t="n">
        <v>6.7E-007</v>
      </c>
      <c r="I23" s="1" t="n">
        <v>5.39E-007</v>
      </c>
      <c r="J23" s="1" t="n">
        <v>3.07E-007</v>
      </c>
      <c r="K23" s="1" t="n">
        <v>3.07E-007</v>
      </c>
      <c r="L23" s="1" t="n">
        <v>2.94E-007</v>
      </c>
      <c r="M23" s="1" t="n">
        <v>3.07E-007</v>
      </c>
      <c r="N23" s="1" t="n">
        <v>3.07E-007</v>
      </c>
      <c r="O23" s="1" t="n">
        <v>2.94E-007</v>
      </c>
      <c r="P23" s="1" t="n">
        <v>2.94E-007</v>
      </c>
      <c r="Q23" s="1" t="n">
        <v>2E-007</v>
      </c>
      <c r="R23" s="1" t="n">
        <v>2E-007</v>
      </c>
      <c r="S23" s="1" t="n">
        <v>6.7E-007</v>
      </c>
      <c r="T23" s="1" t="n">
        <v>2E-007</v>
      </c>
      <c r="U23" s="1" t="n">
        <v>2E-007</v>
      </c>
      <c r="V23" s="1" t="n">
        <v>3.05E-007</v>
      </c>
      <c r="W23" s="1" t="n">
        <v>6.53E-006</v>
      </c>
      <c r="X23" s="1" t="n">
        <v>6.53E-006</v>
      </c>
      <c r="Y23" s="1" t="n">
        <v>4.07E-006</v>
      </c>
      <c r="Z23" s="1" t="n">
        <v>4.07E-006</v>
      </c>
      <c r="AA23" s="1" t="n">
        <v>3.12E-006</v>
      </c>
      <c r="AB23" s="1" t="n">
        <v>3.68E-006</v>
      </c>
      <c r="AC23" s="1" t="n">
        <v>9.13E-006</v>
      </c>
      <c r="AD23" s="1" t="n">
        <v>9.13E-006</v>
      </c>
      <c r="AE23" s="1" t="n">
        <v>2E-006</v>
      </c>
      <c r="AF23" s="1" t="n">
        <v>2E-006</v>
      </c>
      <c r="AG23" s="1" t="n">
        <v>4.92E-005</v>
      </c>
      <c r="AH23" s="1" t="n">
        <v>2.5E-005</v>
      </c>
      <c r="AI23" s="1" t="n">
        <v>4.92E-005</v>
      </c>
      <c r="AJ23" s="1" t="n">
        <v>2E-007</v>
      </c>
      <c r="AK23" s="1" t="n">
        <v>2E-007</v>
      </c>
      <c r="AL23" s="1" t="n">
        <v>2E-007</v>
      </c>
      <c r="AM23" s="1" t="n">
        <v>2E-007</v>
      </c>
      <c r="AN23" s="1" t="n">
        <v>2E-007</v>
      </c>
      <c r="AO23" s="1" t="n">
        <v>2E-007</v>
      </c>
      <c r="AP23" s="1" t="n">
        <v>4.78E-007</v>
      </c>
      <c r="AQ23" s="1" t="n">
        <v>4.78E-007</v>
      </c>
      <c r="AR23" s="1" t="n">
        <v>2E-007</v>
      </c>
      <c r="AS23" s="1" t="n">
        <v>2E-007</v>
      </c>
      <c r="AT23" s="1" t="n">
        <v>4.78E-007</v>
      </c>
      <c r="AU23" s="1" t="n">
        <v>2E-007</v>
      </c>
      <c r="AV23" s="1" t="n">
        <v>4.78E-007</v>
      </c>
      <c r="AW23" s="1" t="n">
        <v>4.78E-007</v>
      </c>
      <c r="AX23" s="1" t="n">
        <v>4.78E-007</v>
      </c>
      <c r="AY23" s="1" t="n">
        <v>4.78E-007</v>
      </c>
      <c r="AZ23" s="1" t="n">
        <v>4.78E-007</v>
      </c>
      <c r="BA23" s="1" t="n">
        <v>4.78E-007</v>
      </c>
      <c r="BB23" s="1" t="n">
        <v>4.78E-007</v>
      </c>
      <c r="BC23" s="1" t="n">
        <v>2E-007</v>
      </c>
      <c r="BD23" s="1" t="n">
        <v>2E-007</v>
      </c>
      <c r="BE23" s="1" t="n">
        <v>2E-007</v>
      </c>
      <c r="BF23" s="1" t="n">
        <v>2E-007</v>
      </c>
      <c r="BG23" s="1" t="n">
        <v>2E-007</v>
      </c>
      <c r="BH23" s="1" t="n">
        <v>4.78E-007</v>
      </c>
      <c r="BI23" s="1" t="n">
        <v>2E-007</v>
      </c>
      <c r="BJ23" s="1" t="n">
        <v>3.22E-006</v>
      </c>
      <c r="BK23" s="1" t="n">
        <v>9.41E-007</v>
      </c>
      <c r="BL23" s="1" t="n">
        <v>9.41E-007</v>
      </c>
      <c r="BM23" s="1" t="n">
        <v>9.41E-007</v>
      </c>
      <c r="BN23" s="1" t="n">
        <v>2.62E-007</v>
      </c>
      <c r="BO23" s="1" t="n">
        <v>2E-007</v>
      </c>
      <c r="BP23" s="1" t="n">
        <v>2E-007</v>
      </c>
      <c r="BQ23" s="1" t="n">
        <v>6.29E-007</v>
      </c>
      <c r="BR23" s="1" t="n">
        <v>6.38E-005</v>
      </c>
      <c r="BS23" s="1" t="n">
        <v>6.38E-005</v>
      </c>
      <c r="BT23" s="1" t="n">
        <v>3.05E-007</v>
      </c>
      <c r="BU23" s="1" t="n">
        <v>6.38E-005</v>
      </c>
      <c r="BV23" s="1" t="n">
        <v>8.3E-005</v>
      </c>
      <c r="BW23" s="1" t="n">
        <v>2E-007</v>
      </c>
      <c r="BX23" s="1" t="n">
        <v>6.38E-005</v>
      </c>
      <c r="BY23" s="1" t="n">
        <v>6.38E-005</v>
      </c>
      <c r="BZ23" s="1" t="n">
        <v>8.3E-005</v>
      </c>
      <c r="CA23" s="1" t="n">
        <v>2.46E-007</v>
      </c>
      <c r="CB23" s="1" t="n">
        <v>2.85E-006</v>
      </c>
      <c r="CC23" s="1" t="n">
        <v>2.85E-006</v>
      </c>
      <c r="CD23" s="1" t="n">
        <v>2.85E-006</v>
      </c>
    </row>
    <row r="24" customFormat="false" ht="16" hidden="false" customHeight="false" outlineLevel="0" collapsed="false">
      <c r="A24" s="20" t="str">
        <f aca="false">l_trans!$A22</f>
        <v>Cd n.e.s.</v>
      </c>
      <c r="B24" s="1" t="n">
        <v>7.37E-008</v>
      </c>
      <c r="C24" s="1" t="n">
        <v>4.1E-008</v>
      </c>
      <c r="D24" s="1" t="n">
        <v>4.76E-008</v>
      </c>
      <c r="E24" s="1" t="n">
        <v>4.76E-008</v>
      </c>
      <c r="F24" s="1" t="n">
        <v>6.26E-008</v>
      </c>
      <c r="G24" s="1" t="n">
        <v>5.34E-008</v>
      </c>
      <c r="H24" s="1" t="n">
        <v>5.42E-008</v>
      </c>
      <c r="I24" s="1" t="n">
        <v>6.26E-008</v>
      </c>
      <c r="J24" s="1" t="n">
        <v>4.65E-008</v>
      </c>
      <c r="K24" s="1" t="n">
        <v>4.65E-008</v>
      </c>
      <c r="L24" s="1" t="n">
        <v>9.81E-008</v>
      </c>
      <c r="M24" s="1" t="n">
        <v>4.65E-008</v>
      </c>
      <c r="N24" s="1" t="n">
        <v>4.65E-008</v>
      </c>
      <c r="O24" s="1" t="n">
        <v>9.81E-008</v>
      </c>
      <c r="P24" s="1" t="n">
        <v>9.81E-008</v>
      </c>
      <c r="Q24" s="1" t="n">
        <v>2.74E-008</v>
      </c>
      <c r="R24" s="1" t="n">
        <v>1E-008</v>
      </c>
      <c r="S24" s="1" t="n">
        <v>5.42E-008</v>
      </c>
      <c r="T24" s="1" t="n">
        <v>2.74E-008</v>
      </c>
      <c r="U24" s="1" t="n">
        <v>2.74E-008</v>
      </c>
      <c r="V24" s="1" t="n">
        <v>3.41E-007</v>
      </c>
      <c r="W24" s="1" t="n">
        <v>1.6E-007</v>
      </c>
      <c r="X24" s="1" t="n">
        <v>1.6E-007</v>
      </c>
      <c r="Y24" s="1" t="n">
        <v>1.2E-007</v>
      </c>
      <c r="Z24" s="1" t="n">
        <v>1.2E-007</v>
      </c>
      <c r="AA24" s="1" t="n">
        <v>1.21E-007</v>
      </c>
      <c r="AB24" s="1" t="n">
        <v>1.27E-007</v>
      </c>
      <c r="AC24" s="1" t="n">
        <v>4.71E-007</v>
      </c>
      <c r="AD24" s="1" t="n">
        <v>4.71E-007</v>
      </c>
      <c r="AE24" s="1" t="n">
        <v>5.48E-007</v>
      </c>
      <c r="AF24" s="1" t="n">
        <v>5.48E-007</v>
      </c>
      <c r="AG24" s="1" t="n">
        <v>1.41E-006</v>
      </c>
      <c r="AH24" s="1" t="n">
        <v>1.49E-006</v>
      </c>
      <c r="AI24" s="1" t="n">
        <v>1.41E-006</v>
      </c>
      <c r="AJ24" s="1" t="n">
        <v>3.44E-008</v>
      </c>
      <c r="AK24" s="1" t="n">
        <v>3.44E-008</v>
      </c>
      <c r="AL24" s="1" t="n">
        <v>3.44E-008</v>
      </c>
      <c r="AM24" s="1" t="n">
        <v>3.44E-008</v>
      </c>
      <c r="AN24" s="1" t="n">
        <v>3.44E-008</v>
      </c>
      <c r="AO24" s="1" t="n">
        <v>3.44E-008</v>
      </c>
      <c r="AP24" s="1" t="n">
        <v>3.51E-007</v>
      </c>
      <c r="AQ24" s="1" t="n">
        <v>3.51E-007</v>
      </c>
      <c r="AR24" s="1" t="n">
        <v>3.44E-008</v>
      </c>
      <c r="AS24" s="1" t="n">
        <v>3.44E-008</v>
      </c>
      <c r="AT24" s="1" t="n">
        <v>3.51E-007</v>
      </c>
      <c r="AU24" s="1" t="n">
        <v>3.44E-008</v>
      </c>
      <c r="AV24" s="1" t="n">
        <v>3.51E-007</v>
      </c>
      <c r="AW24" s="1" t="n">
        <v>3.51E-007</v>
      </c>
      <c r="AX24" s="1" t="n">
        <v>3.51E-007</v>
      </c>
      <c r="AY24" s="1" t="n">
        <v>3.51E-007</v>
      </c>
      <c r="AZ24" s="1" t="n">
        <v>3.51E-007</v>
      </c>
      <c r="BA24" s="1" t="n">
        <v>3.51E-007</v>
      </c>
      <c r="BB24" s="1" t="n">
        <v>3.51E-007</v>
      </c>
      <c r="BC24" s="1" t="n">
        <v>3.43E-008</v>
      </c>
      <c r="BD24" s="1" t="n">
        <v>3.43E-008</v>
      </c>
      <c r="BE24" s="1" t="n">
        <v>3.43E-008</v>
      </c>
      <c r="BF24" s="1" t="n">
        <v>3.43E-008</v>
      </c>
      <c r="BG24" s="1" t="n">
        <v>3.43E-008</v>
      </c>
      <c r="BH24" s="1" t="n">
        <v>3.51E-007</v>
      </c>
      <c r="BI24" s="1" t="n">
        <v>3.43E-008</v>
      </c>
      <c r="BJ24" s="1" t="n">
        <v>2.78E-006</v>
      </c>
      <c r="BK24" s="1" t="n">
        <v>3.57E-007</v>
      </c>
      <c r="BL24" s="1" t="n">
        <v>3.57E-007</v>
      </c>
      <c r="BM24" s="1" t="n">
        <v>3.57E-007</v>
      </c>
      <c r="BN24" s="1" t="n">
        <v>9.46E-008</v>
      </c>
      <c r="BO24" s="1" t="n">
        <v>2.24E-008</v>
      </c>
      <c r="BP24" s="1" t="n">
        <v>2.02E-008</v>
      </c>
      <c r="BQ24" s="1" t="n">
        <v>2.61E-007</v>
      </c>
      <c r="BR24" s="1" t="n">
        <v>7.91E-006</v>
      </c>
      <c r="BS24" s="1" t="n">
        <v>7.91E-006</v>
      </c>
      <c r="BT24" s="1" t="n">
        <v>3.41E-007</v>
      </c>
      <c r="BU24" s="1" t="n">
        <v>7.91E-006</v>
      </c>
      <c r="BV24" s="1" t="n">
        <v>0.0025</v>
      </c>
      <c r="BW24" s="1" t="n">
        <v>4.87E-007</v>
      </c>
      <c r="BX24" s="1" t="n">
        <v>7.91E-006</v>
      </c>
      <c r="BY24" s="1" t="n">
        <v>7.91E-006</v>
      </c>
      <c r="BZ24" s="1" t="n">
        <v>0.0025</v>
      </c>
      <c r="CA24" s="1" t="n">
        <v>2.75E-006</v>
      </c>
      <c r="CB24" s="1" t="n">
        <v>1.25E-007</v>
      </c>
      <c r="CC24" s="1" t="n">
        <v>1.25E-007</v>
      </c>
      <c r="CD24" s="1" t="n">
        <v>1.25E-007</v>
      </c>
    </row>
    <row r="25" customFormat="false" ht="16" hidden="false" customHeight="false" outlineLevel="0" collapsed="false">
      <c r="A25" s="20" t="str">
        <f aca="false">l_trans!$A23</f>
        <v>Co n.e.s.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0</v>
      </c>
      <c r="CD25" s="1" t="n">
        <v>0</v>
      </c>
    </row>
    <row r="26" customFormat="false" ht="16" hidden="false" customHeight="false" outlineLevel="0" collapsed="false">
      <c r="A26" s="20" t="str">
        <f aca="false">l_trans!$A24</f>
        <v>Cr n.e.s.</v>
      </c>
      <c r="B26" s="1" t="n">
        <v>1.5E-005</v>
      </c>
      <c r="C26" s="1" t="n">
        <v>2.92E-005</v>
      </c>
      <c r="D26" s="1" t="n">
        <v>1.18E-005</v>
      </c>
      <c r="E26" s="1" t="n">
        <v>1.18E-005</v>
      </c>
      <c r="F26" s="1" t="n">
        <v>1.55E-005</v>
      </c>
      <c r="G26" s="1" t="n">
        <v>1.51E-005</v>
      </c>
      <c r="H26" s="1" t="n">
        <v>6.68E-006</v>
      </c>
      <c r="I26" s="1" t="n">
        <v>1.55E-005</v>
      </c>
      <c r="J26" s="1" t="n">
        <v>2.54E-005</v>
      </c>
      <c r="K26" s="1" t="n">
        <v>2.54E-005</v>
      </c>
      <c r="L26" s="1" t="n">
        <v>3.27E-005</v>
      </c>
      <c r="M26" s="1" t="n">
        <v>2.54E-005</v>
      </c>
      <c r="N26" s="1" t="n">
        <v>2.54E-005</v>
      </c>
      <c r="O26" s="1" t="n">
        <v>3.27E-005</v>
      </c>
      <c r="P26" s="1" t="n">
        <v>3.27E-005</v>
      </c>
      <c r="Q26" s="1" t="n">
        <v>2.89E-006</v>
      </c>
      <c r="R26" s="1" t="n">
        <v>1.01E-006</v>
      </c>
      <c r="S26" s="1" t="n">
        <v>6.68E-006</v>
      </c>
      <c r="T26" s="1" t="n">
        <v>2.89E-006</v>
      </c>
      <c r="U26" s="1" t="n">
        <v>2.89E-006</v>
      </c>
      <c r="V26" s="1" t="n">
        <v>3.41E-005</v>
      </c>
      <c r="W26" s="1" t="n">
        <v>0.00119</v>
      </c>
      <c r="X26" s="1" t="n">
        <v>0.00119</v>
      </c>
      <c r="Y26" s="1" t="n">
        <v>0.000202</v>
      </c>
      <c r="Z26" s="1" t="n">
        <v>0.000202</v>
      </c>
      <c r="AA26" s="1" t="n">
        <v>3.7E-005</v>
      </c>
      <c r="AB26" s="1" t="n">
        <v>0.000218</v>
      </c>
      <c r="AC26" s="1" t="n">
        <v>0.000109</v>
      </c>
      <c r="AD26" s="1" t="n">
        <v>0.000109</v>
      </c>
      <c r="AE26" s="1" t="n">
        <v>5.79E-005</v>
      </c>
      <c r="AF26" s="1" t="n">
        <v>5.79E-005</v>
      </c>
      <c r="AG26" s="1" t="n">
        <v>0.000168</v>
      </c>
      <c r="AH26" s="1" t="n">
        <v>0.000172</v>
      </c>
      <c r="AI26" s="1" t="n">
        <v>0.000168</v>
      </c>
      <c r="AJ26" s="1" t="n">
        <v>2.87E-006</v>
      </c>
      <c r="AK26" s="1" t="n">
        <v>2.87E-006</v>
      </c>
      <c r="AL26" s="1" t="n">
        <v>2.87E-006</v>
      </c>
      <c r="AM26" s="1" t="n">
        <v>2.87E-006</v>
      </c>
      <c r="AN26" s="1" t="n">
        <v>2.87E-006</v>
      </c>
      <c r="AO26" s="1" t="n">
        <v>2.87E-006</v>
      </c>
      <c r="AP26" s="1" t="n">
        <v>7.32E-005</v>
      </c>
      <c r="AQ26" s="1" t="n">
        <v>7.32E-005</v>
      </c>
      <c r="AR26" s="1" t="n">
        <v>2.87E-006</v>
      </c>
      <c r="AS26" s="1" t="n">
        <v>2.87E-006</v>
      </c>
      <c r="AT26" s="1" t="n">
        <v>7.32E-005</v>
      </c>
      <c r="AU26" s="1" t="n">
        <v>2.87E-006</v>
      </c>
      <c r="AV26" s="1" t="n">
        <v>7.32E-005</v>
      </c>
      <c r="AW26" s="1" t="n">
        <v>7.32E-005</v>
      </c>
      <c r="AX26" s="1" t="n">
        <v>7.32E-005</v>
      </c>
      <c r="AY26" s="1" t="n">
        <v>7.32E-005</v>
      </c>
      <c r="AZ26" s="1" t="n">
        <v>7.32E-005</v>
      </c>
      <c r="BA26" s="1" t="n">
        <v>7.32E-005</v>
      </c>
      <c r="BB26" s="1" t="n">
        <v>7.32E-005</v>
      </c>
      <c r="BC26" s="1" t="n">
        <v>8.14E-006</v>
      </c>
      <c r="BD26" s="1" t="n">
        <v>8.14E-006</v>
      </c>
      <c r="BE26" s="1" t="n">
        <v>8.14E-006</v>
      </c>
      <c r="BF26" s="1" t="n">
        <v>8.14E-006</v>
      </c>
      <c r="BG26" s="1" t="n">
        <v>8.14E-006</v>
      </c>
      <c r="BH26" s="1" t="n">
        <v>7.32E-005</v>
      </c>
      <c r="BI26" s="1" t="n">
        <v>8.14E-006</v>
      </c>
      <c r="BJ26" s="1" t="n">
        <v>9.1E-005</v>
      </c>
      <c r="BK26" s="1" t="n">
        <v>4.51E-006</v>
      </c>
      <c r="BL26" s="1" t="n">
        <v>4.51E-006</v>
      </c>
      <c r="BM26" s="1" t="n">
        <v>4.51E-006</v>
      </c>
      <c r="BN26" s="1" t="n">
        <v>5.24E-006</v>
      </c>
      <c r="BO26" s="1" t="n">
        <v>5.82E-006</v>
      </c>
      <c r="BP26" s="1" t="n">
        <v>7.28E-007</v>
      </c>
      <c r="BQ26" s="1" t="n">
        <v>1.04E-005</v>
      </c>
      <c r="BR26" s="1" t="n">
        <v>0.00016</v>
      </c>
      <c r="BS26" s="1" t="n">
        <v>0.00016</v>
      </c>
      <c r="BT26" s="1" t="n">
        <v>3.41E-005</v>
      </c>
      <c r="BU26" s="1" t="n">
        <v>0.00016</v>
      </c>
      <c r="BV26" s="1" t="n">
        <v>3.34E-005</v>
      </c>
      <c r="BW26" s="1" t="n">
        <v>0.000475</v>
      </c>
      <c r="BX26" s="1" t="n">
        <v>0.00016</v>
      </c>
      <c r="BY26" s="1" t="n">
        <v>0.00016</v>
      </c>
      <c r="BZ26" s="1" t="n">
        <v>3.34E-005</v>
      </c>
      <c r="CA26" s="1" t="n">
        <v>2.69E-006</v>
      </c>
      <c r="CB26" s="1" t="n">
        <v>1.31E-005</v>
      </c>
      <c r="CC26" s="1" t="n">
        <v>1.31E-005</v>
      </c>
      <c r="CD26" s="1" t="n">
        <v>1.31E-005</v>
      </c>
    </row>
    <row r="27" customFormat="false" ht="16" hidden="false" customHeight="false" outlineLevel="0" collapsed="false">
      <c r="A27" s="20" t="str">
        <f aca="false">l_trans!$A25</f>
        <v>Cu n.e.s.</v>
      </c>
      <c r="B27" s="1" t="n">
        <v>4.19E-005</v>
      </c>
      <c r="C27" s="1" t="n">
        <v>7.71E-005</v>
      </c>
      <c r="D27" s="1" t="n">
        <v>7.05E-005</v>
      </c>
      <c r="E27" s="1" t="n">
        <v>7.05E-005</v>
      </c>
      <c r="F27" s="1" t="n">
        <v>5.4E-005</v>
      </c>
      <c r="G27" s="1" t="n">
        <v>4.95E-006</v>
      </c>
      <c r="H27" s="1" t="n">
        <v>4.28E-005</v>
      </c>
      <c r="I27" s="1" t="n">
        <v>5.4E-005</v>
      </c>
      <c r="J27" s="1" t="n">
        <v>2.76E-005</v>
      </c>
      <c r="K27" s="1" t="n">
        <v>2.76E-005</v>
      </c>
      <c r="L27" s="1" t="n">
        <v>0.000135</v>
      </c>
      <c r="M27" s="1" t="n">
        <v>2.76E-005</v>
      </c>
      <c r="N27" s="1" t="n">
        <v>2.76E-005</v>
      </c>
      <c r="O27" s="1" t="n">
        <v>0.000135</v>
      </c>
      <c r="P27" s="1" t="n">
        <v>0.000135</v>
      </c>
      <c r="Q27" s="1" t="n">
        <v>1.76E-005</v>
      </c>
      <c r="R27" s="1" t="n">
        <v>1.37E-005</v>
      </c>
      <c r="S27" s="1" t="n">
        <v>4.28E-005</v>
      </c>
      <c r="T27" s="1" t="n">
        <v>1.76E-005</v>
      </c>
      <c r="U27" s="1" t="n">
        <v>1.76E-005</v>
      </c>
      <c r="V27" s="1" t="n">
        <v>3.43E-005</v>
      </c>
      <c r="W27" s="1" t="n">
        <v>1.43E-005</v>
      </c>
      <c r="X27" s="1" t="n">
        <v>1.43E-005</v>
      </c>
      <c r="Y27" s="1" t="n">
        <v>1.29E-005</v>
      </c>
      <c r="Z27" s="1" t="n">
        <v>1.29E-005</v>
      </c>
      <c r="AA27" s="1" t="n">
        <v>3.51E-006</v>
      </c>
      <c r="AB27" s="1" t="n">
        <v>5.6E-006</v>
      </c>
      <c r="AC27" s="1" t="n">
        <v>0.000892</v>
      </c>
      <c r="AD27" s="1" t="n">
        <v>0.000892</v>
      </c>
      <c r="AE27" s="1" t="n">
        <v>0.000674</v>
      </c>
      <c r="AF27" s="1" t="n">
        <v>0.000674</v>
      </c>
      <c r="AG27" s="1" t="n">
        <v>0.00263</v>
      </c>
      <c r="AH27" s="1" t="n">
        <v>0.00042</v>
      </c>
      <c r="AI27" s="1" t="n">
        <v>0.00263</v>
      </c>
      <c r="AJ27" s="1" t="n">
        <v>9.48E-005</v>
      </c>
      <c r="AK27" s="1" t="n">
        <v>9.48E-005</v>
      </c>
      <c r="AL27" s="1" t="n">
        <v>9.48E-005</v>
      </c>
      <c r="AM27" s="1" t="n">
        <v>9.48E-005</v>
      </c>
      <c r="AN27" s="1" t="n">
        <v>9.48E-005</v>
      </c>
      <c r="AO27" s="1" t="n">
        <v>9.48E-005</v>
      </c>
      <c r="AP27" s="1" t="n">
        <v>0.000224</v>
      </c>
      <c r="AQ27" s="1" t="n">
        <v>0.000224</v>
      </c>
      <c r="AR27" s="1" t="n">
        <v>9.48E-005</v>
      </c>
      <c r="AS27" s="1" t="n">
        <v>9.48E-005</v>
      </c>
      <c r="AT27" s="1" t="n">
        <v>0.000224</v>
      </c>
      <c r="AU27" s="1" t="n">
        <v>9.48E-005</v>
      </c>
      <c r="AV27" s="1" t="n">
        <v>0.000224</v>
      </c>
      <c r="AW27" s="1" t="n">
        <v>0.000224</v>
      </c>
      <c r="AX27" s="1" t="n">
        <v>0.000224</v>
      </c>
      <c r="AY27" s="1" t="n">
        <v>0.000224</v>
      </c>
      <c r="AZ27" s="1" t="n">
        <v>0.000224</v>
      </c>
      <c r="BA27" s="1" t="n">
        <v>0.000224</v>
      </c>
      <c r="BB27" s="1" t="n">
        <v>0.000224</v>
      </c>
      <c r="BC27" s="1" t="n">
        <v>3.92E-005</v>
      </c>
      <c r="BD27" s="1" t="n">
        <v>3.92E-005</v>
      </c>
      <c r="BE27" s="1" t="n">
        <v>3.92E-005</v>
      </c>
      <c r="BF27" s="1" t="n">
        <v>3.92E-005</v>
      </c>
      <c r="BG27" s="1" t="n">
        <v>3.92E-005</v>
      </c>
      <c r="BH27" s="1" t="n">
        <v>0.000224</v>
      </c>
      <c r="BI27" s="1" t="n">
        <v>3.92E-005</v>
      </c>
      <c r="BJ27" s="1" t="n">
        <v>0.00924</v>
      </c>
      <c r="BK27" s="1" t="n">
        <v>2.02E-005</v>
      </c>
      <c r="BL27" s="1" t="n">
        <v>2.02E-005</v>
      </c>
      <c r="BM27" s="1" t="n">
        <v>2.02E-005</v>
      </c>
      <c r="BN27" s="1" t="n">
        <v>1.25E-005</v>
      </c>
      <c r="BO27" s="1" t="n">
        <v>5.29E-005</v>
      </c>
      <c r="BP27" s="1" t="n">
        <v>5.09E-006</v>
      </c>
      <c r="BQ27" s="1" t="n">
        <v>4.91E-005</v>
      </c>
      <c r="BR27" s="1" t="n">
        <v>9.41E-005</v>
      </c>
      <c r="BS27" s="1" t="n">
        <v>9.41E-005</v>
      </c>
      <c r="BT27" s="1" t="n">
        <v>3.43E-005</v>
      </c>
      <c r="BU27" s="1" t="n">
        <v>9.41E-005</v>
      </c>
      <c r="BV27" s="1" t="n">
        <v>0.00496</v>
      </c>
      <c r="BW27" s="1" t="n">
        <v>2.14E-005</v>
      </c>
      <c r="BX27" s="1" t="n">
        <v>9.41E-005</v>
      </c>
      <c r="BY27" s="1" t="n">
        <v>9.41E-005</v>
      </c>
      <c r="BZ27" s="1" t="n">
        <v>0.00496</v>
      </c>
      <c r="CA27" s="1" t="n">
        <v>5.58E-005</v>
      </c>
      <c r="CB27" s="1" t="n">
        <v>1.32E-005</v>
      </c>
      <c r="CC27" s="1" t="n">
        <v>1.32E-005</v>
      </c>
      <c r="CD27" s="1" t="n">
        <v>1.32E-005</v>
      </c>
    </row>
    <row r="28" customFormat="false" ht="16" hidden="false" customHeight="false" outlineLevel="0" collapsed="false">
      <c r="A28" s="20" t="str">
        <f aca="false">l_trans!$A26</f>
        <v>Fe n.e.s.</v>
      </c>
      <c r="B28" s="1" t="n">
        <v>0.00122</v>
      </c>
      <c r="C28" s="1" t="n">
        <v>0.000929</v>
      </c>
      <c r="D28" s="1" t="n">
        <v>0.0012</v>
      </c>
      <c r="E28" s="1" t="n">
        <v>0.0012</v>
      </c>
      <c r="F28" s="1" t="n">
        <v>0.00118</v>
      </c>
      <c r="G28" s="1" t="n">
        <v>0.000918</v>
      </c>
      <c r="H28" s="1" t="n">
        <v>0.000789</v>
      </c>
      <c r="I28" s="1" t="n">
        <v>0.00118</v>
      </c>
      <c r="J28" s="1" t="n">
        <v>0.00294</v>
      </c>
      <c r="K28" s="1" t="n">
        <v>0.00294</v>
      </c>
      <c r="L28" s="1" t="n">
        <v>0.00291</v>
      </c>
      <c r="M28" s="1" t="n">
        <v>0.00294</v>
      </c>
      <c r="N28" s="1" t="n">
        <v>0.00294</v>
      </c>
      <c r="O28" s="1" t="n">
        <v>0.00291</v>
      </c>
      <c r="P28" s="1" t="n">
        <v>0.00291</v>
      </c>
      <c r="Q28" s="1" t="n">
        <v>0.000539</v>
      </c>
      <c r="R28" s="1" t="n">
        <v>8.58E-005</v>
      </c>
      <c r="S28" s="1" t="n">
        <v>0.000789</v>
      </c>
      <c r="T28" s="1" t="n">
        <v>0.000539</v>
      </c>
      <c r="U28" s="1" t="n">
        <v>0.000539</v>
      </c>
      <c r="V28" s="1" t="n">
        <v>0.000945</v>
      </c>
      <c r="W28" s="1" t="n">
        <v>0.00176</v>
      </c>
      <c r="X28" s="1" t="n">
        <v>0.00176</v>
      </c>
      <c r="Y28" s="1" t="n">
        <v>0.0024</v>
      </c>
      <c r="Z28" s="1" t="n">
        <v>0.0024</v>
      </c>
      <c r="AA28" s="1" t="n">
        <v>0.000477</v>
      </c>
      <c r="AB28" s="1" t="n">
        <v>0.000766</v>
      </c>
      <c r="AC28" s="1" t="n">
        <v>0.345</v>
      </c>
      <c r="AD28" s="1" t="n">
        <v>0.345</v>
      </c>
      <c r="AE28" s="1" t="n">
        <v>0.0239</v>
      </c>
      <c r="AF28" s="1" t="n">
        <v>0.0239</v>
      </c>
      <c r="AG28" s="1" t="n">
        <v>0.64</v>
      </c>
      <c r="AH28" s="1" t="n">
        <v>0.727</v>
      </c>
      <c r="AI28" s="1" t="n">
        <v>0.64</v>
      </c>
      <c r="AJ28" s="1" t="n">
        <v>0.000849</v>
      </c>
      <c r="AK28" s="1" t="n">
        <v>0.000849</v>
      </c>
      <c r="AL28" s="1" t="n">
        <v>0.000849</v>
      </c>
      <c r="AM28" s="1" t="n">
        <v>0.000849</v>
      </c>
      <c r="AN28" s="1" t="n">
        <v>0.000849</v>
      </c>
      <c r="AO28" s="1" t="n">
        <v>0.000849</v>
      </c>
      <c r="AP28" s="1" t="n">
        <v>0.00175</v>
      </c>
      <c r="AQ28" s="1" t="n">
        <v>0.00175</v>
      </c>
      <c r="AR28" s="1" t="n">
        <v>0.000849</v>
      </c>
      <c r="AS28" s="1" t="n">
        <v>0.000849</v>
      </c>
      <c r="AT28" s="1" t="n">
        <v>0.00175</v>
      </c>
      <c r="AU28" s="1" t="n">
        <v>0.000849</v>
      </c>
      <c r="AV28" s="1" t="n">
        <v>0.00175</v>
      </c>
      <c r="AW28" s="1" t="n">
        <v>0.00175</v>
      </c>
      <c r="AX28" s="1" t="n">
        <v>0.00175</v>
      </c>
      <c r="AY28" s="1" t="n">
        <v>0.00175</v>
      </c>
      <c r="AZ28" s="1" t="n">
        <v>0.00175</v>
      </c>
      <c r="BA28" s="1" t="n">
        <v>0.00175</v>
      </c>
      <c r="BB28" s="1" t="n">
        <v>0.00175</v>
      </c>
      <c r="BC28" s="1" t="n">
        <v>0.000305</v>
      </c>
      <c r="BD28" s="1" t="n">
        <v>0.000305</v>
      </c>
      <c r="BE28" s="1" t="n">
        <v>0.000305</v>
      </c>
      <c r="BF28" s="1" t="n">
        <v>0.000305</v>
      </c>
      <c r="BG28" s="1" t="n">
        <v>0.000305</v>
      </c>
      <c r="BH28" s="1" t="n">
        <v>0.00175</v>
      </c>
      <c r="BI28" s="1" t="n">
        <v>0.000305</v>
      </c>
      <c r="BJ28" s="1" t="n">
        <v>0.0221</v>
      </c>
      <c r="BK28" s="1" t="n">
        <v>0.00148</v>
      </c>
      <c r="BL28" s="1" t="n">
        <v>0.00148</v>
      </c>
      <c r="BM28" s="1" t="n">
        <v>0.00148</v>
      </c>
      <c r="BN28" s="1" t="n">
        <v>0.00031</v>
      </c>
      <c r="BO28" s="1" t="n">
        <v>0.00072</v>
      </c>
      <c r="BP28" s="1" t="n">
        <v>0.000152</v>
      </c>
      <c r="BQ28" s="1" t="n">
        <v>0.00193</v>
      </c>
      <c r="BR28" s="1" t="n">
        <v>0.0016</v>
      </c>
      <c r="BS28" s="1" t="n">
        <v>0.0016</v>
      </c>
      <c r="BT28" s="1" t="n">
        <v>0.000945</v>
      </c>
      <c r="BU28" s="1" t="n">
        <v>0.0016</v>
      </c>
      <c r="BV28" s="1" t="n">
        <v>0.0604</v>
      </c>
      <c r="BW28" s="1" t="n">
        <v>0.00034</v>
      </c>
      <c r="BX28" s="1" t="n">
        <v>0.0016</v>
      </c>
      <c r="BY28" s="1" t="n">
        <v>0.0016</v>
      </c>
      <c r="BZ28" s="1" t="n">
        <v>0.0604</v>
      </c>
      <c r="CA28" s="1" t="n">
        <v>0.000187</v>
      </c>
      <c r="CB28" s="1" t="n">
        <v>0.0132</v>
      </c>
      <c r="CC28" s="1" t="n">
        <v>0.0132</v>
      </c>
      <c r="CD28" s="1" t="n">
        <v>0.0132</v>
      </c>
    </row>
    <row r="29" customFormat="false" ht="16" hidden="false" customHeight="false" outlineLevel="0" collapsed="false">
      <c r="A29" s="20" t="str">
        <f aca="false">l_trans!$A27</f>
        <v>Hg n.e.s.</v>
      </c>
      <c r="B29" s="1" t="n">
        <v>3.31E-008</v>
      </c>
      <c r="C29" s="1" t="n">
        <v>3.93E-008</v>
      </c>
      <c r="D29" s="1" t="n">
        <v>6.2E-008</v>
      </c>
      <c r="E29" s="1" t="n">
        <v>6.2E-008</v>
      </c>
      <c r="F29" s="1" t="n">
        <v>4.24E-008</v>
      </c>
      <c r="G29" s="1" t="n">
        <v>3.56E-008</v>
      </c>
      <c r="H29" s="1" t="n">
        <v>5.75E-008</v>
      </c>
      <c r="I29" s="1" t="n">
        <v>4.24E-008</v>
      </c>
      <c r="J29" s="1" t="n">
        <v>6.02E-008</v>
      </c>
      <c r="K29" s="1" t="n">
        <v>6.02E-008</v>
      </c>
      <c r="L29" s="1" t="n">
        <v>6.61E-008</v>
      </c>
      <c r="M29" s="1" t="n">
        <v>6.02E-008</v>
      </c>
      <c r="N29" s="1" t="n">
        <v>6.02E-008</v>
      </c>
      <c r="O29" s="1" t="n">
        <v>6.61E-008</v>
      </c>
      <c r="P29" s="1" t="n">
        <v>6.61E-008</v>
      </c>
      <c r="Q29" s="1" t="n">
        <v>2E-008</v>
      </c>
      <c r="R29" s="1" t="n">
        <v>2E-008</v>
      </c>
      <c r="S29" s="1" t="n">
        <v>5.75E-008</v>
      </c>
      <c r="T29" s="1" t="n">
        <v>2E-008</v>
      </c>
      <c r="U29" s="1" t="n">
        <v>2E-008</v>
      </c>
      <c r="V29" s="1" t="n">
        <v>2.13E-007</v>
      </c>
      <c r="W29" s="1" t="n">
        <v>1E-007</v>
      </c>
      <c r="X29" s="1" t="n">
        <v>1E-007</v>
      </c>
      <c r="Y29" s="1" t="n">
        <v>1E-007</v>
      </c>
      <c r="Z29" s="1" t="n">
        <v>1E-007</v>
      </c>
      <c r="AA29" s="1" t="n">
        <v>1E-007</v>
      </c>
      <c r="AB29" s="1" t="n">
        <v>1E-007</v>
      </c>
      <c r="AC29" s="1" t="n">
        <v>2E-007</v>
      </c>
      <c r="AD29" s="1" t="n">
        <v>2E-007</v>
      </c>
      <c r="AE29" s="1" t="n">
        <v>2E-007</v>
      </c>
      <c r="AF29" s="1" t="n">
        <v>2E-007</v>
      </c>
      <c r="AG29" s="1" t="n">
        <v>3.78E-007</v>
      </c>
      <c r="AH29" s="1" t="n">
        <v>2E-007</v>
      </c>
      <c r="AI29" s="1" t="n">
        <v>3.78E-007</v>
      </c>
      <c r="AJ29" s="1" t="n">
        <v>1.98E-008</v>
      </c>
      <c r="AK29" s="1" t="n">
        <v>1.98E-008</v>
      </c>
      <c r="AL29" s="1" t="n">
        <v>1.98E-008</v>
      </c>
      <c r="AM29" s="1" t="n">
        <v>1.98E-008</v>
      </c>
      <c r="AN29" s="1" t="n">
        <v>1.98E-008</v>
      </c>
      <c r="AO29" s="1" t="n">
        <v>1.98E-008</v>
      </c>
      <c r="AP29" s="1" t="n">
        <v>2E-008</v>
      </c>
      <c r="AQ29" s="1" t="n">
        <v>2E-008</v>
      </c>
      <c r="AR29" s="1" t="n">
        <v>1.98E-008</v>
      </c>
      <c r="AS29" s="1" t="n">
        <v>1.98E-008</v>
      </c>
      <c r="AT29" s="1" t="n">
        <v>2E-008</v>
      </c>
      <c r="AU29" s="1" t="n">
        <v>1.98E-008</v>
      </c>
      <c r="AV29" s="1" t="n">
        <v>2E-008</v>
      </c>
      <c r="AW29" s="1" t="n">
        <v>2E-008</v>
      </c>
      <c r="AX29" s="1" t="n">
        <v>2E-008</v>
      </c>
      <c r="AY29" s="1" t="n">
        <v>2E-008</v>
      </c>
      <c r="AZ29" s="1" t="n">
        <v>2E-008</v>
      </c>
      <c r="BA29" s="1" t="n">
        <v>2E-008</v>
      </c>
      <c r="BB29" s="1" t="n">
        <v>2E-008</v>
      </c>
      <c r="BC29" s="1" t="n">
        <v>4.34E-008</v>
      </c>
      <c r="BD29" s="1" t="n">
        <v>4.34E-008</v>
      </c>
      <c r="BE29" s="1" t="n">
        <v>4.34E-008</v>
      </c>
      <c r="BF29" s="1" t="n">
        <v>4.34E-008</v>
      </c>
      <c r="BG29" s="1" t="n">
        <v>4.34E-008</v>
      </c>
      <c r="BH29" s="1" t="n">
        <v>2E-008</v>
      </c>
      <c r="BI29" s="1" t="n">
        <v>4.34E-008</v>
      </c>
      <c r="BJ29" s="1" t="n">
        <v>2.12E-007</v>
      </c>
      <c r="BK29" s="1" t="n">
        <v>2.62E-007</v>
      </c>
      <c r="BL29" s="1" t="n">
        <v>2.62E-007</v>
      </c>
      <c r="BM29" s="1" t="n">
        <v>2.62E-007</v>
      </c>
      <c r="BN29" s="1" t="n">
        <v>2E-008</v>
      </c>
      <c r="BO29" s="1" t="n">
        <v>2E-008</v>
      </c>
      <c r="BP29" s="1" t="n">
        <v>2E-008</v>
      </c>
      <c r="BQ29" s="1" t="n">
        <v>6.67E-007</v>
      </c>
      <c r="BR29" s="1" t="n">
        <v>4.9E-007</v>
      </c>
      <c r="BS29" s="1" t="n">
        <v>4.9E-007</v>
      </c>
      <c r="BT29" s="1" t="n">
        <v>2.13E-007</v>
      </c>
      <c r="BU29" s="1" t="n">
        <v>4.9E-007</v>
      </c>
      <c r="BV29" s="1" t="n">
        <v>0.000916</v>
      </c>
      <c r="BW29" s="1" t="n">
        <v>8.47E-008</v>
      </c>
      <c r="BX29" s="1" t="n">
        <v>4.9E-007</v>
      </c>
      <c r="BY29" s="1" t="n">
        <v>4.9E-007</v>
      </c>
      <c r="BZ29" s="1" t="n">
        <v>0.000916</v>
      </c>
      <c r="CA29" s="1" t="n">
        <v>3.96E-008</v>
      </c>
      <c r="CB29" s="1" t="n">
        <v>0</v>
      </c>
      <c r="CC29" s="1" t="n">
        <v>0</v>
      </c>
      <c r="CD29" s="1" t="n">
        <v>0</v>
      </c>
    </row>
    <row r="30" customFormat="false" ht="16" hidden="false" customHeight="false" outlineLevel="0" collapsed="false">
      <c r="A30" s="20" t="str">
        <f aca="false">l_trans!$A28</f>
        <v>Mg n.e.s.</v>
      </c>
      <c r="B30" s="1" t="n">
        <v>0.00144</v>
      </c>
      <c r="C30" s="1" t="n">
        <v>0.00285</v>
      </c>
      <c r="D30" s="1" t="n">
        <v>0.00121</v>
      </c>
      <c r="E30" s="1" t="n">
        <v>0.00121</v>
      </c>
      <c r="F30" s="1" t="n">
        <v>0.00151</v>
      </c>
      <c r="G30" s="1" t="n">
        <v>0.000801</v>
      </c>
      <c r="H30" s="1" t="n">
        <v>0.00124</v>
      </c>
      <c r="I30" s="1" t="n">
        <v>0.00151</v>
      </c>
      <c r="J30" s="1" t="n">
        <v>0.0012</v>
      </c>
      <c r="K30" s="1" t="n">
        <v>0.0012</v>
      </c>
      <c r="L30" s="1" t="n">
        <v>0.00156</v>
      </c>
      <c r="M30" s="1" t="n">
        <v>0.0012</v>
      </c>
      <c r="N30" s="1" t="n">
        <v>0.0012</v>
      </c>
      <c r="O30" s="1" t="n">
        <v>0.00156</v>
      </c>
      <c r="P30" s="1" t="n">
        <v>0.00156</v>
      </c>
      <c r="Q30" s="1" t="n">
        <v>0.000179</v>
      </c>
      <c r="R30" s="1" t="n">
        <v>0.000127</v>
      </c>
      <c r="S30" s="1" t="n">
        <v>0.00124</v>
      </c>
      <c r="T30" s="1" t="n">
        <v>0.000179</v>
      </c>
      <c r="U30" s="1" t="n">
        <v>0.000179</v>
      </c>
      <c r="V30" s="1" t="n">
        <v>0.000908</v>
      </c>
      <c r="W30" s="1" t="n">
        <v>0.0048</v>
      </c>
      <c r="X30" s="1" t="n">
        <v>0.0048</v>
      </c>
      <c r="Y30" s="1" t="n">
        <v>0.0107</v>
      </c>
      <c r="Z30" s="1" t="n">
        <v>0.0107</v>
      </c>
      <c r="AA30" s="1" t="n">
        <v>0.00968</v>
      </c>
      <c r="AB30" s="1" t="n">
        <v>0.009</v>
      </c>
      <c r="AC30" s="1" t="n">
        <v>0.0118</v>
      </c>
      <c r="AD30" s="1" t="n">
        <v>0.0118</v>
      </c>
      <c r="AE30" s="1" t="n">
        <v>0.000662</v>
      </c>
      <c r="AF30" s="1" t="n">
        <v>0.000662</v>
      </c>
      <c r="AG30" s="1" t="n">
        <v>0.000124</v>
      </c>
      <c r="AH30" s="1" t="n">
        <v>0.000849</v>
      </c>
      <c r="AI30" s="1" t="n">
        <v>0.000124</v>
      </c>
      <c r="AJ30" s="1" t="n">
        <v>0.000456</v>
      </c>
      <c r="AK30" s="1" t="n">
        <v>0.000456</v>
      </c>
      <c r="AL30" s="1" t="n">
        <v>0.000456</v>
      </c>
      <c r="AM30" s="1" t="n">
        <v>0.000456</v>
      </c>
      <c r="AN30" s="1" t="n">
        <v>0.000456</v>
      </c>
      <c r="AO30" s="1" t="n">
        <v>0.000456</v>
      </c>
      <c r="AP30" s="1" t="n">
        <v>0.000288</v>
      </c>
      <c r="AQ30" s="1" t="n">
        <v>0.000288</v>
      </c>
      <c r="AR30" s="1" t="n">
        <v>0.000456</v>
      </c>
      <c r="AS30" s="1" t="n">
        <v>0.000456</v>
      </c>
      <c r="AT30" s="1" t="n">
        <v>0.000288</v>
      </c>
      <c r="AU30" s="1" t="n">
        <v>0.000456</v>
      </c>
      <c r="AV30" s="1" t="n">
        <v>0.000288</v>
      </c>
      <c r="AW30" s="1" t="n">
        <v>0.000288</v>
      </c>
      <c r="AX30" s="1" t="n">
        <v>0.000288</v>
      </c>
      <c r="AY30" s="1" t="n">
        <v>0.000288</v>
      </c>
      <c r="AZ30" s="1" t="n">
        <v>0.000288</v>
      </c>
      <c r="BA30" s="1" t="n">
        <v>0.000288</v>
      </c>
      <c r="BB30" s="1" t="n">
        <v>0.000288</v>
      </c>
      <c r="BC30" s="1" t="n">
        <v>0.00025</v>
      </c>
      <c r="BD30" s="1" t="n">
        <v>0.00025</v>
      </c>
      <c r="BE30" s="1" t="n">
        <v>0.00025</v>
      </c>
      <c r="BF30" s="1" t="n">
        <v>0.00025</v>
      </c>
      <c r="BG30" s="1" t="n">
        <v>0.00025</v>
      </c>
      <c r="BH30" s="1" t="n">
        <v>0.000288</v>
      </c>
      <c r="BI30" s="1" t="n">
        <v>0.00025</v>
      </c>
      <c r="BJ30" s="1" t="n">
        <v>0.000657</v>
      </c>
      <c r="BK30" s="1" t="n">
        <v>0.0019</v>
      </c>
      <c r="BL30" s="1" t="n">
        <v>0.0019</v>
      </c>
      <c r="BM30" s="1" t="n">
        <v>0.0019</v>
      </c>
      <c r="BN30" s="1" t="n">
        <v>0.00121</v>
      </c>
      <c r="BO30" s="1" t="n">
        <v>0.000501</v>
      </c>
      <c r="BP30" s="1" t="n">
        <v>0.00034</v>
      </c>
      <c r="BQ30" s="1" t="n">
        <v>0.00478</v>
      </c>
      <c r="BR30" s="1" t="n">
        <v>0.0134</v>
      </c>
      <c r="BS30" s="1" t="n">
        <v>0.0134</v>
      </c>
      <c r="BT30" s="1" t="n">
        <v>0.000908</v>
      </c>
      <c r="BU30" s="1" t="n">
        <v>0.0134</v>
      </c>
      <c r="BV30" s="1" t="n">
        <v>0.000196</v>
      </c>
      <c r="BW30" s="1" t="n">
        <v>0.000409</v>
      </c>
      <c r="BX30" s="1" t="n">
        <v>0.0134</v>
      </c>
      <c r="BY30" s="1" t="n">
        <v>0.0134</v>
      </c>
      <c r="BZ30" s="1" t="n">
        <v>0.000196</v>
      </c>
      <c r="CA30" s="1" t="n">
        <v>0.000917</v>
      </c>
      <c r="CB30" s="1" t="n">
        <v>0.00188</v>
      </c>
      <c r="CC30" s="1" t="n">
        <v>0.00188</v>
      </c>
      <c r="CD30" s="1" t="n">
        <v>0.00188</v>
      </c>
    </row>
    <row r="31" customFormat="false" ht="16" hidden="false" customHeight="false" outlineLevel="0" collapsed="false">
      <c r="A31" s="20" t="str">
        <f aca="false">l_trans!$A29</f>
        <v>Mn n.e.s.</v>
      </c>
      <c r="B31" s="1" t="n">
        <v>6.11E-005</v>
      </c>
      <c r="C31" s="1" t="n">
        <v>1.85E-005</v>
      </c>
      <c r="D31" s="1" t="n">
        <v>3.8E-005</v>
      </c>
      <c r="E31" s="1" t="n">
        <v>3.8E-005</v>
      </c>
      <c r="F31" s="1" t="n">
        <v>4.99E-005</v>
      </c>
      <c r="G31" s="1" t="n">
        <v>2.7E-005</v>
      </c>
      <c r="H31" s="1" t="n">
        <v>4.38E-005</v>
      </c>
      <c r="I31" s="1" t="n">
        <v>4.99E-005</v>
      </c>
      <c r="J31" s="1" t="n">
        <v>3.31E-005</v>
      </c>
      <c r="K31" s="1" t="n">
        <v>3.31E-005</v>
      </c>
      <c r="L31" s="1" t="n">
        <v>3.68E-005</v>
      </c>
      <c r="M31" s="1" t="n">
        <v>3.31E-005</v>
      </c>
      <c r="N31" s="1" t="n">
        <v>3.31E-005</v>
      </c>
      <c r="O31" s="1" t="n">
        <v>3.68E-005</v>
      </c>
      <c r="P31" s="1" t="n">
        <v>3.68E-005</v>
      </c>
      <c r="Q31" s="1" t="n">
        <v>1.57E-005</v>
      </c>
      <c r="R31" s="1" t="n">
        <v>2.19E-006</v>
      </c>
      <c r="S31" s="1" t="n">
        <v>4.38E-005</v>
      </c>
      <c r="T31" s="1" t="n">
        <v>1.57E-005</v>
      </c>
      <c r="U31" s="1" t="n">
        <v>1.57E-005</v>
      </c>
      <c r="V31" s="1" t="n">
        <v>0.000248</v>
      </c>
      <c r="W31" s="1" t="n">
        <v>0.000199</v>
      </c>
      <c r="X31" s="1" t="n">
        <v>0.000199</v>
      </c>
      <c r="Y31" s="1" t="n">
        <v>0.000129</v>
      </c>
      <c r="Z31" s="1" t="n">
        <v>0.000129</v>
      </c>
      <c r="AA31" s="1" t="n">
        <v>6.06E-005</v>
      </c>
      <c r="AB31" s="1" t="n">
        <v>8.48E-005</v>
      </c>
      <c r="AC31" s="1" t="n">
        <v>0.00514</v>
      </c>
      <c r="AD31" s="1" t="n">
        <v>0.00514</v>
      </c>
      <c r="AE31" s="1" t="n">
        <v>0.00427</v>
      </c>
      <c r="AF31" s="1" t="n">
        <v>0.00427</v>
      </c>
      <c r="AG31" s="1" t="n">
        <v>0.00169</v>
      </c>
      <c r="AH31" s="1" t="n">
        <v>0.00354</v>
      </c>
      <c r="AI31" s="1" t="n">
        <v>0.00169</v>
      </c>
      <c r="AJ31" s="1" t="n">
        <v>1.01E-005</v>
      </c>
      <c r="AK31" s="1" t="n">
        <v>1.01E-005</v>
      </c>
      <c r="AL31" s="1" t="n">
        <v>1.01E-005</v>
      </c>
      <c r="AM31" s="1" t="n">
        <v>1.01E-005</v>
      </c>
      <c r="AN31" s="1" t="n">
        <v>1.01E-005</v>
      </c>
      <c r="AO31" s="1" t="n">
        <v>1.01E-005</v>
      </c>
      <c r="AP31" s="1" t="n">
        <v>1.36E-005</v>
      </c>
      <c r="AQ31" s="1" t="n">
        <v>1.36E-005</v>
      </c>
      <c r="AR31" s="1" t="n">
        <v>1.01E-005</v>
      </c>
      <c r="AS31" s="1" t="n">
        <v>1.01E-005</v>
      </c>
      <c r="AT31" s="1" t="n">
        <v>1.36E-005</v>
      </c>
      <c r="AU31" s="1" t="n">
        <v>1.01E-005</v>
      </c>
      <c r="AV31" s="1" t="n">
        <v>1.36E-005</v>
      </c>
      <c r="AW31" s="1" t="n">
        <v>1.36E-005</v>
      </c>
      <c r="AX31" s="1" t="n">
        <v>1.36E-005</v>
      </c>
      <c r="AY31" s="1" t="n">
        <v>1.36E-005</v>
      </c>
      <c r="AZ31" s="1" t="n">
        <v>1.36E-005</v>
      </c>
      <c r="BA31" s="1" t="n">
        <v>1.36E-005</v>
      </c>
      <c r="BB31" s="1" t="n">
        <v>1.36E-005</v>
      </c>
      <c r="BC31" s="1" t="n">
        <v>7.65E-006</v>
      </c>
      <c r="BD31" s="1" t="n">
        <v>7.65E-006</v>
      </c>
      <c r="BE31" s="1" t="n">
        <v>7.65E-006</v>
      </c>
      <c r="BF31" s="1" t="n">
        <v>7.65E-006</v>
      </c>
      <c r="BG31" s="1" t="n">
        <v>7.65E-006</v>
      </c>
      <c r="BH31" s="1" t="n">
        <v>1.36E-005</v>
      </c>
      <c r="BI31" s="1" t="n">
        <v>7.65E-006</v>
      </c>
      <c r="BJ31" s="1" t="n">
        <v>0.000189</v>
      </c>
      <c r="BK31" s="1" t="n">
        <v>0.000115</v>
      </c>
      <c r="BL31" s="1" t="n">
        <v>0.000115</v>
      </c>
      <c r="BM31" s="1" t="n">
        <v>0.000115</v>
      </c>
      <c r="BN31" s="1" t="n">
        <v>8.61E-005</v>
      </c>
      <c r="BO31" s="1" t="n">
        <v>1.72E-005</v>
      </c>
      <c r="BP31" s="1" t="n">
        <v>4.84E-006</v>
      </c>
      <c r="BQ31" s="1" t="n">
        <v>0.000211</v>
      </c>
      <c r="BR31" s="1" t="n">
        <v>0.00171</v>
      </c>
      <c r="BS31" s="1" t="n">
        <v>0.00171</v>
      </c>
      <c r="BT31" s="1" t="n">
        <v>0.000248</v>
      </c>
      <c r="BU31" s="1" t="n">
        <v>0.00171</v>
      </c>
      <c r="BV31" s="1" t="n">
        <v>0.0374</v>
      </c>
      <c r="BW31" s="1" t="n">
        <v>1.51E-005</v>
      </c>
      <c r="BX31" s="1" t="n">
        <v>0.00171</v>
      </c>
      <c r="BY31" s="1" t="n">
        <v>0.00171</v>
      </c>
      <c r="BZ31" s="1" t="n">
        <v>0.0374</v>
      </c>
      <c r="CA31" s="1" t="n">
        <v>1.32E-005</v>
      </c>
      <c r="CB31" s="1" t="n">
        <v>0.000456</v>
      </c>
      <c r="CC31" s="1" t="n">
        <v>0.000456</v>
      </c>
      <c r="CD31" s="1" t="n">
        <v>0.000456</v>
      </c>
    </row>
    <row r="32" customFormat="false" ht="16" hidden="false" customHeight="false" outlineLevel="0" collapsed="false">
      <c r="A32" s="20" t="str">
        <f aca="false">l_trans!$A30</f>
        <v>Mo n.e.s.</v>
      </c>
      <c r="B32" s="1" t="n">
        <v>3.17E-007</v>
      </c>
      <c r="C32" s="1" t="n">
        <v>7.5E-007</v>
      </c>
      <c r="D32" s="1" t="n">
        <v>7.92E-007</v>
      </c>
      <c r="E32" s="1" t="n">
        <v>7.92E-007</v>
      </c>
      <c r="F32" s="1" t="n">
        <v>5.03E-007</v>
      </c>
      <c r="G32" s="1" t="n">
        <v>3.68E-006</v>
      </c>
      <c r="H32" s="1" t="n">
        <v>1.07E-006</v>
      </c>
      <c r="I32" s="1" t="n">
        <v>5.03E-007</v>
      </c>
      <c r="J32" s="1" t="n">
        <v>1.83E-006</v>
      </c>
      <c r="K32" s="1" t="n">
        <v>1.83E-006</v>
      </c>
      <c r="L32" s="1" t="n">
        <v>4.07E-006</v>
      </c>
      <c r="M32" s="1" t="n">
        <v>1.83E-006</v>
      </c>
      <c r="N32" s="1" t="n">
        <v>1.83E-006</v>
      </c>
      <c r="O32" s="1" t="n">
        <v>4.07E-006</v>
      </c>
      <c r="P32" s="1" t="n">
        <v>4.07E-006</v>
      </c>
      <c r="Q32" s="1" t="n">
        <v>1.9E-007</v>
      </c>
      <c r="R32" s="1" t="n">
        <v>1.08E-007</v>
      </c>
      <c r="S32" s="1" t="n">
        <v>1.07E-006</v>
      </c>
      <c r="T32" s="1" t="n">
        <v>1.9E-007</v>
      </c>
      <c r="U32" s="1" t="n">
        <v>1.9E-007</v>
      </c>
      <c r="V32" s="1" t="n">
        <v>1.51E-007</v>
      </c>
      <c r="W32" s="1" t="n">
        <v>1.09E-006</v>
      </c>
      <c r="X32" s="1" t="n">
        <v>1.09E-006</v>
      </c>
      <c r="Y32" s="1" t="n">
        <v>2.32E-006</v>
      </c>
      <c r="Z32" s="1" t="n">
        <v>2.32E-006</v>
      </c>
      <c r="AA32" s="1" t="n">
        <v>1.16E-006</v>
      </c>
      <c r="AB32" s="1" t="n">
        <v>1.21E-006</v>
      </c>
      <c r="AC32" s="1" t="n">
        <v>2.82E-006</v>
      </c>
      <c r="AD32" s="1" t="n">
        <v>2.82E-006</v>
      </c>
      <c r="AE32" s="1" t="n">
        <v>5.44E-006</v>
      </c>
      <c r="AF32" s="1" t="n">
        <v>5.44E-006</v>
      </c>
      <c r="AG32" s="1" t="n">
        <v>2.83E-005</v>
      </c>
      <c r="AH32" s="1" t="n">
        <v>1.34E-005</v>
      </c>
      <c r="AI32" s="1" t="n">
        <v>2.83E-005</v>
      </c>
      <c r="AJ32" s="1" t="n">
        <v>1.3E-006</v>
      </c>
      <c r="AK32" s="1" t="n">
        <v>1.3E-006</v>
      </c>
      <c r="AL32" s="1" t="n">
        <v>1.3E-006</v>
      </c>
      <c r="AM32" s="1" t="n">
        <v>1.3E-006</v>
      </c>
      <c r="AN32" s="1" t="n">
        <v>1.3E-006</v>
      </c>
      <c r="AO32" s="1" t="n">
        <v>1.3E-006</v>
      </c>
      <c r="AP32" s="1" t="n">
        <v>9.18E-007</v>
      </c>
      <c r="AQ32" s="1" t="n">
        <v>9.18E-007</v>
      </c>
      <c r="AR32" s="1" t="n">
        <v>1.3E-006</v>
      </c>
      <c r="AS32" s="1" t="n">
        <v>1.3E-006</v>
      </c>
      <c r="AT32" s="1" t="n">
        <v>9.18E-007</v>
      </c>
      <c r="AU32" s="1" t="n">
        <v>1.3E-006</v>
      </c>
      <c r="AV32" s="1" t="n">
        <v>9.18E-007</v>
      </c>
      <c r="AW32" s="1" t="n">
        <v>9.18E-007</v>
      </c>
      <c r="AX32" s="1" t="n">
        <v>9.18E-007</v>
      </c>
      <c r="AY32" s="1" t="n">
        <v>9.18E-007</v>
      </c>
      <c r="AZ32" s="1" t="n">
        <v>9.18E-007</v>
      </c>
      <c r="BA32" s="1" t="n">
        <v>9.18E-007</v>
      </c>
      <c r="BB32" s="1" t="n">
        <v>9.18E-007</v>
      </c>
      <c r="BC32" s="1" t="n">
        <v>1.81E-006</v>
      </c>
      <c r="BD32" s="1" t="n">
        <v>1.81E-006</v>
      </c>
      <c r="BE32" s="1" t="n">
        <v>1.81E-006</v>
      </c>
      <c r="BF32" s="1" t="n">
        <v>1.81E-006</v>
      </c>
      <c r="BG32" s="1" t="n">
        <v>1.81E-006</v>
      </c>
      <c r="BH32" s="1" t="n">
        <v>9.18E-007</v>
      </c>
      <c r="BI32" s="1" t="n">
        <v>1.81E-006</v>
      </c>
      <c r="BJ32" s="1" t="n">
        <v>8.53E-006</v>
      </c>
      <c r="BK32" s="1" t="n">
        <v>1.2E-006</v>
      </c>
      <c r="BL32" s="1" t="n">
        <v>1.2E-006</v>
      </c>
      <c r="BM32" s="1" t="n">
        <v>1.2E-006</v>
      </c>
      <c r="BN32" s="1" t="n">
        <v>8.75E-007</v>
      </c>
      <c r="BO32" s="1" t="n">
        <v>4.59E-007</v>
      </c>
      <c r="BP32" s="1" t="n">
        <v>1.34E-007</v>
      </c>
      <c r="BQ32" s="1" t="n">
        <v>1.32E-006</v>
      </c>
      <c r="BR32" s="1" t="n">
        <v>0.000195</v>
      </c>
      <c r="BS32" s="1" t="n">
        <v>0.000195</v>
      </c>
      <c r="BT32" s="1" t="n">
        <v>1.51E-007</v>
      </c>
      <c r="BU32" s="1" t="n">
        <v>0.000195</v>
      </c>
      <c r="BV32" s="1" t="n">
        <v>1.04E-005</v>
      </c>
      <c r="BW32" s="1" t="n">
        <v>1.29E-007</v>
      </c>
      <c r="BX32" s="1" t="n">
        <v>0.000195</v>
      </c>
      <c r="BY32" s="1" t="n">
        <v>0.000195</v>
      </c>
      <c r="BZ32" s="1" t="n">
        <v>1.04E-005</v>
      </c>
      <c r="CA32" s="1" t="n">
        <v>1.18E-007</v>
      </c>
      <c r="CB32" s="1" t="n">
        <v>5.37E-007</v>
      </c>
      <c r="CC32" s="1" t="n">
        <v>5.37E-007</v>
      </c>
      <c r="CD32" s="1" t="n">
        <v>5.37E-007</v>
      </c>
    </row>
    <row r="33" customFormat="false" ht="16" hidden="false" customHeight="false" outlineLevel="0" collapsed="false">
      <c r="A33" s="20" t="str">
        <f aca="false">l_trans!$A31</f>
        <v>Ni n.e.s.</v>
      </c>
      <c r="B33" s="1" t="n">
        <v>6.58E-006</v>
      </c>
      <c r="C33" s="1" t="n">
        <v>7.91E-006</v>
      </c>
      <c r="D33" s="1" t="n">
        <v>3.83E-006</v>
      </c>
      <c r="E33" s="1" t="n">
        <v>3.83E-006</v>
      </c>
      <c r="F33" s="1" t="n">
        <v>5.89E-006</v>
      </c>
      <c r="G33" s="1" t="n">
        <v>1.36E-005</v>
      </c>
      <c r="H33" s="1" t="n">
        <v>3.07E-006</v>
      </c>
      <c r="I33" s="1" t="n">
        <v>5.89E-006</v>
      </c>
      <c r="J33" s="1" t="n">
        <v>1.07E-005</v>
      </c>
      <c r="K33" s="1" t="n">
        <v>1.07E-005</v>
      </c>
      <c r="L33" s="1" t="n">
        <v>2.82E-005</v>
      </c>
      <c r="M33" s="1" t="n">
        <v>1.07E-005</v>
      </c>
      <c r="N33" s="1" t="n">
        <v>1.07E-005</v>
      </c>
      <c r="O33" s="1" t="n">
        <v>2.82E-005</v>
      </c>
      <c r="P33" s="1" t="n">
        <v>2.82E-005</v>
      </c>
      <c r="Q33" s="1" t="n">
        <v>2.76E-006</v>
      </c>
      <c r="R33" s="1" t="n">
        <v>5.09E-007</v>
      </c>
      <c r="S33" s="1" t="n">
        <v>3.07E-006</v>
      </c>
      <c r="T33" s="1" t="n">
        <v>2.76E-006</v>
      </c>
      <c r="U33" s="1" t="n">
        <v>2.76E-006</v>
      </c>
      <c r="V33" s="1" t="n">
        <v>4.17E-006</v>
      </c>
      <c r="W33" s="1" t="n">
        <v>0.000162</v>
      </c>
      <c r="X33" s="1" t="n">
        <v>0.000162</v>
      </c>
      <c r="Y33" s="1" t="n">
        <v>0.000163</v>
      </c>
      <c r="Z33" s="1" t="n">
        <v>0.000163</v>
      </c>
      <c r="AA33" s="1" t="n">
        <v>0.000143</v>
      </c>
      <c r="AB33" s="1" t="n">
        <v>0.000147</v>
      </c>
      <c r="AC33" s="1" t="n">
        <v>6.12E-005</v>
      </c>
      <c r="AD33" s="1" t="n">
        <v>6.12E-005</v>
      </c>
      <c r="AE33" s="1" t="n">
        <v>0.000201</v>
      </c>
      <c r="AF33" s="1" t="n">
        <v>0.000201</v>
      </c>
      <c r="AG33" s="1" t="n">
        <v>0.000189</v>
      </c>
      <c r="AH33" s="1" t="n">
        <v>0.000152</v>
      </c>
      <c r="AI33" s="1" t="n">
        <v>0.000189</v>
      </c>
      <c r="AJ33" s="1" t="n">
        <v>4.44E-006</v>
      </c>
      <c r="AK33" s="1" t="n">
        <v>4.44E-006</v>
      </c>
      <c r="AL33" s="1" t="n">
        <v>4.44E-006</v>
      </c>
      <c r="AM33" s="1" t="n">
        <v>4.44E-006</v>
      </c>
      <c r="AN33" s="1" t="n">
        <v>4.44E-006</v>
      </c>
      <c r="AO33" s="1" t="n">
        <v>4.44E-006</v>
      </c>
      <c r="AP33" s="1" t="n">
        <v>4.66E-006</v>
      </c>
      <c r="AQ33" s="1" t="n">
        <v>4.66E-006</v>
      </c>
      <c r="AR33" s="1" t="n">
        <v>4.44E-006</v>
      </c>
      <c r="AS33" s="1" t="n">
        <v>4.44E-006</v>
      </c>
      <c r="AT33" s="1" t="n">
        <v>4.66E-006</v>
      </c>
      <c r="AU33" s="1" t="n">
        <v>4.44E-006</v>
      </c>
      <c r="AV33" s="1" t="n">
        <v>4.66E-006</v>
      </c>
      <c r="AW33" s="1" t="n">
        <v>4.66E-006</v>
      </c>
      <c r="AX33" s="1" t="n">
        <v>4.66E-006</v>
      </c>
      <c r="AY33" s="1" t="n">
        <v>4.66E-006</v>
      </c>
      <c r="AZ33" s="1" t="n">
        <v>4.66E-006</v>
      </c>
      <c r="BA33" s="1" t="n">
        <v>4.66E-006</v>
      </c>
      <c r="BB33" s="1" t="n">
        <v>4.66E-006</v>
      </c>
      <c r="BC33" s="1" t="n">
        <v>1.06E-006</v>
      </c>
      <c r="BD33" s="1" t="n">
        <v>1.06E-006</v>
      </c>
      <c r="BE33" s="1" t="n">
        <v>1.06E-006</v>
      </c>
      <c r="BF33" s="1" t="n">
        <v>1.06E-006</v>
      </c>
      <c r="BG33" s="1" t="n">
        <v>1.06E-006</v>
      </c>
      <c r="BH33" s="1" t="n">
        <v>4.66E-006</v>
      </c>
      <c r="BI33" s="1" t="n">
        <v>1.06E-006</v>
      </c>
      <c r="BJ33" s="1" t="n">
        <v>0.000476</v>
      </c>
      <c r="BK33" s="1" t="n">
        <v>3.24E-006</v>
      </c>
      <c r="BL33" s="1" t="n">
        <v>3.24E-006</v>
      </c>
      <c r="BM33" s="1" t="n">
        <v>3.24E-006</v>
      </c>
      <c r="BN33" s="1" t="n">
        <v>2.57E-006</v>
      </c>
      <c r="BO33" s="1" t="n">
        <v>2.64E-006</v>
      </c>
      <c r="BP33" s="1" t="n">
        <v>3.67E-007</v>
      </c>
      <c r="BQ33" s="1" t="n">
        <v>8.81E-006</v>
      </c>
      <c r="BR33" s="1" t="n">
        <v>0.000185</v>
      </c>
      <c r="BS33" s="1" t="n">
        <v>0.000185</v>
      </c>
      <c r="BT33" s="1" t="n">
        <v>4.17E-006</v>
      </c>
      <c r="BU33" s="1" t="n">
        <v>0.000185</v>
      </c>
      <c r="BV33" s="1" t="n">
        <v>0.00809</v>
      </c>
      <c r="BW33" s="1" t="n">
        <v>1.47E-006</v>
      </c>
      <c r="BX33" s="1" t="n">
        <v>0.000185</v>
      </c>
      <c r="BY33" s="1" t="n">
        <v>0.000185</v>
      </c>
      <c r="BZ33" s="1" t="n">
        <v>0.00809</v>
      </c>
      <c r="CA33" s="1" t="n">
        <v>2.11E-006</v>
      </c>
      <c r="CB33" s="1" t="n">
        <v>8.12E-006</v>
      </c>
      <c r="CC33" s="1" t="n">
        <v>8.12E-006</v>
      </c>
      <c r="CD33" s="1" t="n">
        <v>8.12E-006</v>
      </c>
    </row>
    <row r="34" customFormat="false" ht="16" hidden="false" customHeight="false" outlineLevel="0" collapsed="false">
      <c r="A34" s="20" t="str">
        <f aca="false">l_trans!$A32</f>
        <v>Pb n.e.s.</v>
      </c>
      <c r="B34" s="1" t="n">
        <v>2.68E-006</v>
      </c>
      <c r="C34" s="1" t="n">
        <v>1.23E-005</v>
      </c>
      <c r="D34" s="1" t="n">
        <v>2.43E-006</v>
      </c>
      <c r="E34" s="1" t="n">
        <v>2.43E-006</v>
      </c>
      <c r="F34" s="1" t="n">
        <v>3.57E-006</v>
      </c>
      <c r="G34" s="1" t="n">
        <v>8.05E-007</v>
      </c>
      <c r="H34" s="1" t="n">
        <v>2.69E-006</v>
      </c>
      <c r="I34" s="1" t="n">
        <v>3.57E-006</v>
      </c>
      <c r="J34" s="1" t="n">
        <v>3.56E-006</v>
      </c>
      <c r="K34" s="1" t="n">
        <v>3.56E-006</v>
      </c>
      <c r="L34" s="1" t="n">
        <v>1.1E-005</v>
      </c>
      <c r="M34" s="1" t="n">
        <v>3.56E-006</v>
      </c>
      <c r="N34" s="1" t="n">
        <v>3.56E-006</v>
      </c>
      <c r="O34" s="1" t="n">
        <v>1.1E-005</v>
      </c>
      <c r="P34" s="1" t="n">
        <v>1.1E-005</v>
      </c>
      <c r="Q34" s="1" t="n">
        <v>1.76E-006</v>
      </c>
      <c r="R34" s="1" t="n">
        <v>6.47E-007</v>
      </c>
      <c r="S34" s="1" t="n">
        <v>2.69E-006</v>
      </c>
      <c r="T34" s="1" t="n">
        <v>1.76E-006</v>
      </c>
      <c r="U34" s="1" t="n">
        <v>1.76E-006</v>
      </c>
      <c r="V34" s="1" t="n">
        <v>1.81E-005</v>
      </c>
      <c r="W34" s="1" t="n">
        <v>8.89E-005</v>
      </c>
      <c r="X34" s="1" t="n">
        <v>8.89E-005</v>
      </c>
      <c r="Y34" s="1" t="n">
        <v>6.62E-005</v>
      </c>
      <c r="Z34" s="1" t="n">
        <v>6.62E-005</v>
      </c>
      <c r="AA34" s="1" t="n">
        <v>7.57E-005</v>
      </c>
      <c r="AB34" s="1" t="n">
        <v>7.72E-005</v>
      </c>
      <c r="AC34" s="1" t="n">
        <v>1.84E-005</v>
      </c>
      <c r="AD34" s="1" t="n">
        <v>1.84E-005</v>
      </c>
      <c r="AE34" s="1" t="n">
        <v>6.7E-005</v>
      </c>
      <c r="AF34" s="1" t="n">
        <v>6.7E-005</v>
      </c>
      <c r="AG34" s="1" t="n">
        <v>0.00837</v>
      </c>
      <c r="AH34" s="1" t="n">
        <v>2.41E-005</v>
      </c>
      <c r="AI34" s="1" t="n">
        <v>0.00837</v>
      </c>
      <c r="AJ34" s="1" t="n">
        <v>1.28E-006</v>
      </c>
      <c r="AK34" s="1" t="n">
        <v>1.28E-006</v>
      </c>
      <c r="AL34" s="1" t="n">
        <v>1.28E-006</v>
      </c>
      <c r="AM34" s="1" t="n">
        <v>1.28E-006</v>
      </c>
      <c r="AN34" s="1" t="n">
        <v>1.28E-006</v>
      </c>
      <c r="AO34" s="1" t="n">
        <v>1.28E-006</v>
      </c>
      <c r="AP34" s="1" t="n">
        <v>0.000319</v>
      </c>
      <c r="AQ34" s="1" t="n">
        <v>0.000319</v>
      </c>
      <c r="AR34" s="1" t="n">
        <v>1.28E-006</v>
      </c>
      <c r="AS34" s="1" t="n">
        <v>1.28E-006</v>
      </c>
      <c r="AT34" s="1" t="n">
        <v>0.000319</v>
      </c>
      <c r="AU34" s="1" t="n">
        <v>1.28E-006</v>
      </c>
      <c r="AV34" s="1" t="n">
        <v>0.000319</v>
      </c>
      <c r="AW34" s="1" t="n">
        <v>0.000319</v>
      </c>
      <c r="AX34" s="1" t="n">
        <v>0.000319</v>
      </c>
      <c r="AY34" s="1" t="n">
        <v>0.000319</v>
      </c>
      <c r="AZ34" s="1" t="n">
        <v>0.000319</v>
      </c>
      <c r="BA34" s="1" t="n">
        <v>0.000319</v>
      </c>
      <c r="BB34" s="1" t="n">
        <v>0.000319</v>
      </c>
      <c r="BC34" s="1" t="n">
        <v>2.62E-005</v>
      </c>
      <c r="BD34" s="1" t="n">
        <v>2.62E-005</v>
      </c>
      <c r="BE34" s="1" t="n">
        <v>2.62E-005</v>
      </c>
      <c r="BF34" s="1" t="n">
        <v>2.62E-005</v>
      </c>
      <c r="BG34" s="1" t="n">
        <v>2.62E-005</v>
      </c>
      <c r="BH34" s="1" t="n">
        <v>0.000319</v>
      </c>
      <c r="BI34" s="1" t="n">
        <v>2.62E-005</v>
      </c>
      <c r="BJ34" s="1" t="n">
        <v>0.000576</v>
      </c>
      <c r="BK34" s="1" t="n">
        <v>2.44E-005</v>
      </c>
      <c r="BL34" s="1" t="n">
        <v>2.44E-005</v>
      </c>
      <c r="BM34" s="1" t="n">
        <v>2.44E-005</v>
      </c>
      <c r="BN34" s="1" t="n">
        <v>1.04E-006</v>
      </c>
      <c r="BO34" s="1" t="n">
        <v>4.32E-006</v>
      </c>
      <c r="BP34" s="1" t="n">
        <v>4.33E-007</v>
      </c>
      <c r="BQ34" s="1" t="n">
        <v>8.38E-006</v>
      </c>
      <c r="BR34" s="1" t="n">
        <v>0.0113</v>
      </c>
      <c r="BS34" s="1" t="n">
        <v>0.0113</v>
      </c>
      <c r="BT34" s="1" t="n">
        <v>1.81E-005</v>
      </c>
      <c r="BU34" s="1" t="n">
        <v>0.0113</v>
      </c>
      <c r="BV34" s="1" t="n">
        <v>0.00023</v>
      </c>
      <c r="BW34" s="1" t="n">
        <v>0.000149</v>
      </c>
      <c r="BX34" s="1" t="n">
        <v>0.0113</v>
      </c>
      <c r="BY34" s="1" t="n">
        <v>0.0113</v>
      </c>
      <c r="BZ34" s="1" t="n">
        <v>0.00023</v>
      </c>
      <c r="CA34" s="1" t="n">
        <v>1.6E-005</v>
      </c>
      <c r="CB34" s="1" t="n">
        <v>1.26E-005</v>
      </c>
      <c r="CC34" s="1" t="n">
        <v>1.26E-005</v>
      </c>
      <c r="CD34" s="1" t="n">
        <v>1.26E-005</v>
      </c>
    </row>
    <row r="35" customFormat="false" ht="16" hidden="false" customHeight="false" outlineLevel="0" collapsed="false">
      <c r="A35" s="20" t="str">
        <f aca="false">l_trans!$A33</f>
        <v>Zn n.e.s.</v>
      </c>
      <c r="B35" s="1" t="n">
        <v>8.3E-005</v>
      </c>
      <c r="C35" s="1" t="n">
        <v>5.7E-005</v>
      </c>
      <c r="D35" s="1" t="n">
        <v>4.11E-005</v>
      </c>
      <c r="E35" s="1" t="n">
        <v>4.11E-005</v>
      </c>
      <c r="F35" s="1" t="n">
        <v>6.78E-005</v>
      </c>
      <c r="G35" s="1" t="n">
        <v>2.89E-005</v>
      </c>
      <c r="H35" s="1" t="n">
        <v>2.38E-005</v>
      </c>
      <c r="I35" s="1" t="n">
        <v>6.78E-005</v>
      </c>
      <c r="J35" s="1" t="n">
        <v>4.15E-005</v>
      </c>
      <c r="K35" s="1" t="n">
        <v>4.15E-005</v>
      </c>
      <c r="L35" s="1" t="n">
        <v>8.34E-005</v>
      </c>
      <c r="M35" s="1" t="n">
        <v>4.15E-005</v>
      </c>
      <c r="N35" s="1" t="n">
        <v>4.15E-005</v>
      </c>
      <c r="O35" s="1" t="n">
        <v>8.34E-005</v>
      </c>
      <c r="P35" s="1" t="n">
        <v>8.34E-005</v>
      </c>
      <c r="Q35" s="1" t="n">
        <v>1.13E-005</v>
      </c>
      <c r="R35" s="1" t="n">
        <v>3.65E-006</v>
      </c>
      <c r="S35" s="1" t="n">
        <v>2.38E-005</v>
      </c>
      <c r="T35" s="1" t="n">
        <v>1.13E-005</v>
      </c>
      <c r="U35" s="1" t="n">
        <v>1.13E-005</v>
      </c>
      <c r="V35" s="1" t="n">
        <v>0.000436</v>
      </c>
      <c r="W35" s="1" t="n">
        <v>4.5E-005</v>
      </c>
      <c r="X35" s="1" t="n">
        <v>4.5E-005</v>
      </c>
      <c r="Y35" s="1" t="n">
        <v>4.14E-005</v>
      </c>
      <c r="Z35" s="1" t="n">
        <v>4.14E-005</v>
      </c>
      <c r="AA35" s="1" t="n">
        <v>3.25E-005</v>
      </c>
      <c r="AB35" s="1" t="n">
        <v>3.48E-005</v>
      </c>
      <c r="AC35" s="1" t="n">
        <v>0.000101</v>
      </c>
      <c r="AD35" s="1" t="n">
        <v>0.000101</v>
      </c>
      <c r="AE35" s="1" t="n">
        <v>0.000292</v>
      </c>
      <c r="AF35" s="1" t="n">
        <v>0.000292</v>
      </c>
      <c r="AG35" s="1" t="n">
        <v>0.00199</v>
      </c>
      <c r="AH35" s="1" t="n">
        <v>0.000275</v>
      </c>
      <c r="AI35" s="1" t="n">
        <v>0.00199</v>
      </c>
      <c r="AJ35" s="1" t="n">
        <v>7.4E-005</v>
      </c>
      <c r="AK35" s="1" t="n">
        <v>7.4E-005</v>
      </c>
      <c r="AL35" s="1" t="n">
        <v>7.4E-005</v>
      </c>
      <c r="AM35" s="1" t="n">
        <v>7.4E-005</v>
      </c>
      <c r="AN35" s="1" t="n">
        <v>7.4E-005</v>
      </c>
      <c r="AO35" s="1" t="n">
        <v>7.4E-005</v>
      </c>
      <c r="AP35" s="1" t="n">
        <v>0.000331</v>
      </c>
      <c r="AQ35" s="1" t="n">
        <v>0.000331</v>
      </c>
      <c r="AR35" s="1" t="n">
        <v>7.4E-005</v>
      </c>
      <c r="AS35" s="1" t="n">
        <v>7.4E-005</v>
      </c>
      <c r="AT35" s="1" t="n">
        <v>0.000331</v>
      </c>
      <c r="AU35" s="1" t="n">
        <v>7.4E-005</v>
      </c>
      <c r="AV35" s="1" t="n">
        <v>0.000331</v>
      </c>
      <c r="AW35" s="1" t="n">
        <v>0.000331</v>
      </c>
      <c r="AX35" s="1" t="n">
        <v>0.000331</v>
      </c>
      <c r="AY35" s="1" t="n">
        <v>0.000331</v>
      </c>
      <c r="AZ35" s="1" t="n">
        <v>0.000331</v>
      </c>
      <c r="BA35" s="1" t="n">
        <v>0.000331</v>
      </c>
      <c r="BB35" s="1" t="n">
        <v>0.000331</v>
      </c>
      <c r="BC35" s="1" t="n">
        <v>9.53E-005</v>
      </c>
      <c r="BD35" s="1" t="n">
        <v>9.53E-005</v>
      </c>
      <c r="BE35" s="1" t="n">
        <v>9.53E-005</v>
      </c>
      <c r="BF35" s="1" t="n">
        <v>9.53E-005</v>
      </c>
      <c r="BG35" s="1" t="n">
        <v>9.53E-005</v>
      </c>
      <c r="BH35" s="1" t="n">
        <v>0.000331</v>
      </c>
      <c r="BI35" s="1" t="n">
        <v>9.53E-005</v>
      </c>
      <c r="BJ35" s="1" t="n">
        <v>0.0046</v>
      </c>
      <c r="BK35" s="1" t="n">
        <v>0.000208</v>
      </c>
      <c r="BL35" s="1" t="n">
        <v>0.000208</v>
      </c>
      <c r="BM35" s="1" t="n">
        <v>0.000208</v>
      </c>
      <c r="BN35" s="1" t="n">
        <v>2.5E-005</v>
      </c>
      <c r="BO35" s="1" t="n">
        <v>4.28E-005</v>
      </c>
      <c r="BP35" s="1" t="n">
        <v>4.03E-005</v>
      </c>
      <c r="BQ35" s="1" t="n">
        <v>0.000412</v>
      </c>
      <c r="BR35" s="1" t="n">
        <v>6.7E-005</v>
      </c>
      <c r="BS35" s="1" t="n">
        <v>6.7E-005</v>
      </c>
      <c r="BT35" s="1" t="n">
        <v>0.000436</v>
      </c>
      <c r="BU35" s="1" t="n">
        <v>6.7E-005</v>
      </c>
      <c r="BV35" s="1" t="n">
        <v>0.262</v>
      </c>
      <c r="BW35" s="1" t="n">
        <v>0.000211</v>
      </c>
      <c r="BX35" s="1" t="n">
        <v>6.7E-005</v>
      </c>
      <c r="BY35" s="1" t="n">
        <v>6.7E-005</v>
      </c>
      <c r="BZ35" s="1" t="n">
        <v>0.262</v>
      </c>
      <c r="CA35" s="1" t="n">
        <v>0.00388</v>
      </c>
      <c r="CB35" s="1" t="n">
        <v>3.64E-005</v>
      </c>
      <c r="CC35" s="1" t="n">
        <v>3.64E-005</v>
      </c>
      <c r="CD35" s="1" t="n">
        <v>3.64E-005</v>
      </c>
    </row>
    <row r="36" customFormat="false" ht="16" hidden="false" customHeight="false" outlineLevel="0" collapsed="false">
      <c r="A36" s="20" t="str">
        <f aca="false">l_trans!$A34</f>
        <v>Inertes n.e.s.</v>
      </c>
      <c r="B36" s="1" t="n">
        <v>0.0272273331999999</v>
      </c>
      <c r="C36" s="1" t="n">
        <v>0.1977694897</v>
      </c>
      <c r="D36" s="1" t="n">
        <v>0.2192228324</v>
      </c>
      <c r="E36" s="1" t="n">
        <v>0.2192228324</v>
      </c>
      <c r="F36" s="1" t="n">
        <v>0.101477193</v>
      </c>
      <c r="G36" s="1" t="n">
        <v>0.123923463</v>
      </c>
      <c r="H36" s="1" t="n">
        <v>0.1180436083</v>
      </c>
      <c r="I36" s="1" t="n">
        <v>0.101477193</v>
      </c>
      <c r="J36" s="1" t="n">
        <v>0.0918968963</v>
      </c>
      <c r="K36" s="1" t="n">
        <v>0.0918968963</v>
      </c>
      <c r="L36" s="1" t="n">
        <v>0.0884593718</v>
      </c>
      <c r="M36" s="1" t="n">
        <v>0.0918968963</v>
      </c>
      <c r="N36" s="1" t="n">
        <v>0.0918968963</v>
      </c>
      <c r="O36" s="1" t="n">
        <v>0.0884593718</v>
      </c>
      <c r="P36" s="1" t="n">
        <v>0.0884593718</v>
      </c>
      <c r="Q36" s="1" t="n">
        <v>0.0280755526000002</v>
      </c>
      <c r="R36" s="1" t="n">
        <v>0.0064051559999998</v>
      </c>
      <c r="S36" s="1" t="n">
        <v>0.1180436083</v>
      </c>
      <c r="T36" s="1" t="n">
        <v>0.0280755526000002</v>
      </c>
      <c r="U36" s="1" t="n">
        <v>0.0280755526000002</v>
      </c>
      <c r="V36" s="1" t="n">
        <v>0.08007832</v>
      </c>
      <c r="W36" s="1" t="n">
        <v>0.88225642</v>
      </c>
      <c r="X36" s="1" t="n">
        <v>0.88225642</v>
      </c>
      <c r="Y36" s="1" t="n">
        <v>0.87628529</v>
      </c>
      <c r="Z36" s="1" t="n">
        <v>0.87628529</v>
      </c>
      <c r="AA36" s="1" t="n">
        <v>0.887980189</v>
      </c>
      <c r="AB36" s="1" t="n">
        <v>0.886452883</v>
      </c>
      <c r="AC36" s="1" t="n">
        <v>0.00836317899999994</v>
      </c>
      <c r="AD36" s="1" t="n">
        <v>0.00836317899999994</v>
      </c>
      <c r="AE36" s="1" t="n">
        <v>0.0704299119999999</v>
      </c>
      <c r="AF36" s="1" t="n">
        <v>0.0704299119999999</v>
      </c>
      <c r="AG36" s="1" t="n">
        <v>0.304296712</v>
      </c>
      <c r="AH36" s="1" t="n">
        <v>0.0509018099999999</v>
      </c>
      <c r="AI36" s="1" t="n">
        <v>0.304296712</v>
      </c>
      <c r="AJ36" s="1" t="n">
        <v>0.00399595579999996</v>
      </c>
      <c r="AK36" s="1" t="n">
        <v>0.00399595579999996</v>
      </c>
      <c r="AL36" s="1" t="n">
        <v>0.00399595579999996</v>
      </c>
      <c r="AM36" s="1" t="n">
        <v>0.00399595579999996</v>
      </c>
      <c r="AN36" s="1" t="n">
        <v>0.00399595579999996</v>
      </c>
      <c r="AO36" s="1" t="n">
        <v>0.00399595579999996</v>
      </c>
      <c r="AP36" s="1" t="n">
        <v>0.012329173</v>
      </c>
      <c r="AQ36" s="1" t="n">
        <v>0.012329173</v>
      </c>
      <c r="AR36" s="1" t="n">
        <v>0.00399595579999996</v>
      </c>
      <c r="AS36" s="1" t="n">
        <v>0.00399595579999996</v>
      </c>
      <c r="AT36" s="1" t="n">
        <v>0.012329173</v>
      </c>
      <c r="AU36" s="1" t="n">
        <v>0.00399595579999996</v>
      </c>
      <c r="AV36" s="1" t="n">
        <v>0.012329173</v>
      </c>
      <c r="AW36" s="1" t="n">
        <v>0.012329173</v>
      </c>
      <c r="AX36" s="1" t="n">
        <v>0.012329173</v>
      </c>
      <c r="AY36" s="1" t="n">
        <v>0.012329173</v>
      </c>
      <c r="AZ36" s="1" t="n">
        <v>0.012329173</v>
      </c>
      <c r="BA36" s="1" t="n">
        <v>0.012329173</v>
      </c>
      <c r="BB36" s="1" t="n">
        <v>0.012329173</v>
      </c>
      <c r="BC36" s="1" t="n">
        <v>0.0397483622999999</v>
      </c>
      <c r="BD36" s="1" t="n">
        <v>0.0397483622999999</v>
      </c>
      <c r="BE36" s="1" t="n">
        <v>0.0397483622999999</v>
      </c>
      <c r="BF36" s="1" t="n">
        <v>0.0397483622999999</v>
      </c>
      <c r="BG36" s="1" t="n">
        <v>0.0397483622999999</v>
      </c>
      <c r="BH36" s="1" t="n">
        <v>0.012329173</v>
      </c>
      <c r="BI36" s="1" t="n">
        <v>0.0397483622999999</v>
      </c>
      <c r="BJ36" s="1" t="n">
        <v>0.172994258</v>
      </c>
      <c r="BK36" s="1" t="n">
        <v>0.19675789</v>
      </c>
      <c r="BL36" s="1" t="n">
        <v>0.19675789</v>
      </c>
      <c r="BM36" s="1" t="n">
        <v>0.19675789</v>
      </c>
      <c r="BN36" s="1" t="n">
        <v>0.00870629839999981</v>
      </c>
      <c r="BO36" s="1" t="n">
        <v>0.0152686186</v>
      </c>
      <c r="BP36" s="1" t="n">
        <v>0.0479458678000001</v>
      </c>
      <c r="BQ36" s="1" t="n">
        <v>0.185657433</v>
      </c>
      <c r="BR36" s="1" t="n">
        <v>0.8394497</v>
      </c>
      <c r="BS36" s="1" t="n">
        <v>0.8394497</v>
      </c>
      <c r="BT36" s="1" t="n">
        <v>0.08007832</v>
      </c>
      <c r="BU36" s="1" t="n">
        <v>0.8394497</v>
      </c>
      <c r="BV36" s="1" t="n">
        <v>0.4362652</v>
      </c>
      <c r="BW36" s="1" t="n">
        <v>0.0179321293000002</v>
      </c>
      <c r="BX36" s="1" t="n">
        <v>0.8394497</v>
      </c>
      <c r="BY36" s="1" t="n">
        <v>0.8394497</v>
      </c>
      <c r="BZ36" s="1" t="n">
        <v>0.4362652</v>
      </c>
      <c r="CA36" s="1" t="n">
        <v>0.0595140463999999</v>
      </c>
      <c r="CB36" s="1" t="n">
        <v>0.881508068</v>
      </c>
      <c r="CC36" s="1" t="n">
        <v>0.881508068</v>
      </c>
      <c r="CD36" s="1" t="n">
        <v>0.881508068</v>
      </c>
    </row>
    <row r="37" customFormat="false" ht="16" hidden="false" customHeight="false" outlineLevel="0" collapsed="false">
      <c r="A37" s="20" t="str">
        <f aca="false">l_trans!$A35</f>
        <v>N2</v>
      </c>
    </row>
    <row r="40" customFormat="false" ht="16" hidden="false" customHeight="false" outlineLevel="0" collapsed="false">
      <c r="A40" s="1" t="str">
        <f aca="false">l_trans!$A40</f>
        <v>Be n.e.s.</v>
      </c>
    </row>
    <row r="41" customFormat="false" ht="16" hidden="false" customHeight="false" outlineLevel="0" collapsed="false">
      <c r="A41" s="1" t="str">
        <f aca="false">l_trans!$A41</f>
        <v>B n.e.s.</v>
      </c>
    </row>
    <row r="42" customFormat="false" ht="16" hidden="false" customHeight="false" outlineLevel="0" collapsed="false">
      <c r="A42" s="1" t="str">
        <f aca="false">l_trans!$A42</f>
        <v>Ne n.e.s.</v>
      </c>
    </row>
    <row r="43" customFormat="false" ht="16" hidden="false" customHeight="false" outlineLevel="0" collapsed="false">
      <c r="A43" s="1" t="str">
        <f aca="false">l_trans!$A43</f>
        <v>Si n.e.s.</v>
      </c>
    </row>
    <row r="44" customFormat="false" ht="16" hidden="false" customHeight="false" outlineLevel="0" collapsed="false">
      <c r="A44" s="1" t="str">
        <f aca="false">l_trans!$A44</f>
        <v>Sc n.e.s.</v>
      </c>
    </row>
    <row r="45" customFormat="false" ht="16" hidden="false" customHeight="false" outlineLevel="0" collapsed="false">
      <c r="A45" s="1" t="str">
        <f aca="false">l_trans!$A45</f>
        <v>Ti n.e.s.</v>
      </c>
    </row>
    <row r="46" customFormat="false" ht="16" hidden="false" customHeight="false" outlineLevel="0" collapsed="false">
      <c r="A46" s="1" t="str">
        <f aca="false">l_trans!$A46</f>
        <v>V n.e.s.</v>
      </c>
    </row>
    <row r="47" customFormat="false" ht="16" hidden="false" customHeight="false" outlineLevel="0" collapsed="false">
      <c r="A47" s="1" t="str">
        <f aca="false">l_trans!$A$48</f>
        <v>Ge n.e.s.</v>
      </c>
    </row>
    <row r="48" customFormat="false" ht="16" hidden="false" customHeight="false" outlineLevel="0" collapsed="false">
      <c r="A48" s="1" t="str">
        <f aca="false">l_trans!$A$49</f>
        <v>Se n.e.s.</v>
      </c>
    </row>
    <row r="49" customFormat="false" ht="16" hidden="false" customHeight="false" outlineLevel="0" collapsed="false">
      <c r="A49" s="1" t="str">
        <f aca="false">l_trans!$A$50</f>
        <v>Br n.e.s.</v>
      </c>
    </row>
    <row r="50" customFormat="false" ht="16" hidden="false" customHeight="false" outlineLevel="0" collapsed="false">
      <c r="A50" s="1" t="str">
        <f aca="false">l_trans!$A$51</f>
        <v>Kr n.e.s.</v>
      </c>
    </row>
    <row r="51" customFormat="false" ht="16" hidden="false" customHeight="false" outlineLevel="0" collapsed="false">
      <c r="A51" s="1" t="str">
        <f aca="false">l_trans!$A$52</f>
        <v>Rb n.e.s.</v>
      </c>
    </row>
    <row r="52" customFormat="false" ht="16" hidden="false" customHeight="false" outlineLevel="0" collapsed="false">
      <c r="A52" s="1" t="str">
        <f aca="false">l_trans!$A$53</f>
        <v>Sr n.e.s.</v>
      </c>
    </row>
    <row r="53" customFormat="false" ht="16" hidden="false" customHeight="false" outlineLevel="0" collapsed="false">
      <c r="A53" s="1" t="str">
        <f aca="false">l_trans!$A$54</f>
        <v>Y n.e.s.</v>
      </c>
    </row>
    <row r="54" customFormat="false" ht="16" hidden="false" customHeight="false" outlineLevel="0" collapsed="false">
      <c r="A54" s="1" t="str">
        <f aca="false">l_trans!$A$55</f>
        <v>Zr n.e.s.</v>
      </c>
    </row>
    <row r="55" customFormat="false" ht="16" hidden="false" customHeight="false" outlineLevel="0" collapsed="false">
      <c r="A55" s="1" t="str">
        <f aca="false">l_trans!$A$56</f>
        <v>Nb n.e.s.</v>
      </c>
    </row>
    <row r="56" customFormat="false" ht="16" hidden="false" customHeight="false" outlineLevel="0" collapsed="false">
      <c r="A56" s="1" t="str">
        <f aca="false">l_trans!$A$57</f>
        <v>Tc n.e.s.</v>
      </c>
    </row>
    <row r="57" customFormat="false" ht="16" hidden="false" customHeight="false" outlineLevel="0" collapsed="false">
      <c r="A57" s="1" t="str">
        <f aca="false">l_trans!$A$58</f>
        <v>Ru n.e.s.</v>
      </c>
    </row>
    <row r="58" customFormat="false" ht="16" hidden="false" customHeight="false" outlineLevel="0" collapsed="false">
      <c r="A58" s="1" t="str">
        <f aca="false">l_trans!$A$59</f>
        <v>Rh n.e.s.</v>
      </c>
    </row>
    <row r="59" customFormat="false" ht="16" hidden="false" customHeight="false" outlineLevel="0" collapsed="false">
      <c r="A59" s="1" t="str">
        <f aca="false">l_trans!$A$60</f>
        <v>Pd n.e.s.</v>
      </c>
    </row>
    <row r="60" customFormat="false" ht="16" hidden="false" customHeight="false" outlineLevel="0" collapsed="false">
      <c r="A60" s="1" t="str">
        <f aca="false">l_trans!$A$61</f>
        <v>In n.e.s.</v>
      </c>
    </row>
    <row r="61" customFormat="false" ht="16" hidden="false" customHeight="false" outlineLevel="0" collapsed="false">
      <c r="A61" s="1" t="str">
        <f aca="false">l_trans!$A$62</f>
        <v>Sn n.e.s.</v>
      </c>
    </row>
    <row r="62" customFormat="false" ht="16" hidden="false" customHeight="false" outlineLevel="0" collapsed="false">
      <c r="A62" s="1" t="str">
        <f aca="false">l_trans!$A$63</f>
        <v>Sb n.e.s.</v>
      </c>
    </row>
    <row r="63" customFormat="false" ht="16" hidden="false" customHeight="false" outlineLevel="0" collapsed="false">
      <c r="A63" s="1" t="str">
        <f aca="false">l_trans!$A$64</f>
        <v>Te n.e.s.</v>
      </c>
    </row>
    <row r="64" customFormat="false" ht="16" hidden="false" customHeight="false" outlineLevel="0" collapsed="false">
      <c r="A64" s="1" t="str">
        <f aca="false">l_trans!$A$65</f>
        <v>I n.e.s.</v>
      </c>
    </row>
    <row r="65" customFormat="false" ht="16" hidden="false" customHeight="false" outlineLevel="0" collapsed="false">
      <c r="A65" s="1" t="str">
        <f aca="false">l_trans!$A$66</f>
        <v>Xe n.e.s.</v>
      </c>
    </row>
    <row r="66" customFormat="false" ht="16" hidden="false" customHeight="false" outlineLevel="0" collapsed="false">
      <c r="A66" s="1" t="str">
        <f aca="false">l_trans!$A$67</f>
        <v>Cs n.e.s.</v>
      </c>
    </row>
    <row r="67" customFormat="false" ht="16" hidden="false" customHeight="false" outlineLevel="0" collapsed="false">
      <c r="A67" s="1" t="str">
        <f aca="false">l_trans!$A$68</f>
        <v>Ba n.e.s.</v>
      </c>
    </row>
    <row r="68" customFormat="false" ht="16" hidden="false" customHeight="false" outlineLevel="0" collapsed="false">
      <c r="A68" s="1" t="str">
        <f aca="false">l_trans!$A$69</f>
        <v>La n.e.s.</v>
      </c>
    </row>
    <row r="69" customFormat="false" ht="16" hidden="false" customHeight="false" outlineLevel="0" collapsed="false">
      <c r="A69" s="1" t="str">
        <f aca="false">l_trans!$A$70</f>
        <v>Ce n.e.s.</v>
      </c>
    </row>
    <row r="70" customFormat="false" ht="16" hidden="false" customHeight="false" outlineLevel="0" collapsed="false">
      <c r="A70" s="1" t="str">
        <f aca="false">l_trans!$A$71</f>
        <v>Pr n.e.s.</v>
      </c>
    </row>
    <row r="71" customFormat="false" ht="16" hidden="false" customHeight="false" outlineLevel="0" collapsed="false">
      <c r="A71" s="1" t="str">
        <f aca="false">l_trans!$A$72</f>
        <v>Nd n.e.s.</v>
      </c>
    </row>
    <row r="72" customFormat="false" ht="16" hidden="false" customHeight="false" outlineLevel="0" collapsed="false">
      <c r="A72" s="1" t="str">
        <f aca="false">l_trans!$A$73</f>
        <v>Pm n.e.s.</v>
      </c>
    </row>
    <row r="73" customFormat="false" ht="16" hidden="false" customHeight="false" outlineLevel="0" collapsed="false">
      <c r="A73" s="1" t="str">
        <f aca="false">l_trans!$A$74</f>
        <v>Sm n.e.s.</v>
      </c>
    </row>
    <row r="74" customFormat="false" ht="16" hidden="false" customHeight="false" outlineLevel="0" collapsed="false">
      <c r="A74" s="1" t="str">
        <f aca="false">l_trans!$A$75</f>
        <v>Eu n.e.s.</v>
      </c>
    </row>
    <row r="75" customFormat="false" ht="16" hidden="false" customHeight="false" outlineLevel="0" collapsed="false">
      <c r="A75" s="1" t="str">
        <f aca="false">l_trans!$A$76</f>
        <v>Gd n.e.s.</v>
      </c>
    </row>
    <row r="76" customFormat="false" ht="16" hidden="false" customHeight="false" outlineLevel="0" collapsed="false">
      <c r="A76" s="1" t="str">
        <f aca="false">l_trans!$A$77</f>
        <v>Tb n.e.s.</v>
      </c>
    </row>
    <row r="77" customFormat="false" ht="16" hidden="false" customHeight="false" outlineLevel="0" collapsed="false">
      <c r="A77" s="1" t="str">
        <f aca="false">l_trans!$A$78</f>
        <v>Dy n.e.s.</v>
      </c>
    </row>
    <row r="78" customFormat="false" ht="16" hidden="false" customHeight="false" outlineLevel="0" collapsed="false">
      <c r="A78" s="1" t="str">
        <f aca="false">l_trans!$A$79</f>
        <v>Ho n.e.s.</v>
      </c>
    </row>
    <row r="79" customFormat="false" ht="16" hidden="false" customHeight="false" outlineLevel="0" collapsed="false">
      <c r="A79" s="1" t="str">
        <f aca="false">l_trans!$A$80</f>
        <v>Er n.e.s.</v>
      </c>
    </row>
    <row r="80" customFormat="false" ht="16" hidden="false" customHeight="false" outlineLevel="0" collapsed="false">
      <c r="A80" s="1" t="str">
        <f aca="false">l_trans!$A$81</f>
        <v>Tm n.e.s.</v>
      </c>
    </row>
    <row r="81" customFormat="false" ht="16" hidden="false" customHeight="false" outlineLevel="0" collapsed="false">
      <c r="A81" s="1" t="str">
        <f aca="false">l_trans!$A$82</f>
        <v>Yb n.e.s.</v>
      </c>
    </row>
    <row r="82" customFormat="false" ht="16" hidden="false" customHeight="false" outlineLevel="0" collapsed="false">
      <c r="A82" s="1" t="str">
        <f aca="false">l_trans!$A$83</f>
        <v>Lu n.e.s.</v>
      </c>
    </row>
    <row r="83" customFormat="false" ht="16" hidden="false" customHeight="false" outlineLevel="0" collapsed="false">
      <c r="A83" s="1" t="str">
        <f aca="false">l_trans!$A$84</f>
        <v>Hf n.e.s.</v>
      </c>
    </row>
    <row r="84" customFormat="false" ht="16" hidden="false" customHeight="false" outlineLevel="0" collapsed="false">
      <c r="A84" s="1" t="str">
        <f aca="false">l_trans!$A$85</f>
        <v>Ta n.e.s.</v>
      </c>
    </row>
    <row r="85" customFormat="false" ht="16" hidden="false" customHeight="false" outlineLevel="0" collapsed="false">
      <c r="A85" s="1" t="str">
        <f aca="false">l_trans!$A$86</f>
        <v>W n.e.s.</v>
      </c>
    </row>
    <row r="86" customFormat="false" ht="16" hidden="false" customHeight="false" outlineLevel="0" collapsed="false">
      <c r="A86" s="1" t="str">
        <f aca="false">l_trans!$A$87</f>
        <v>Re n.e.s.</v>
      </c>
    </row>
    <row r="87" customFormat="false" ht="16" hidden="false" customHeight="false" outlineLevel="0" collapsed="false">
      <c r="A87" s="1" t="str">
        <f aca="false">l_trans!$A$88</f>
        <v>Os n.e.s.</v>
      </c>
    </row>
    <row r="88" customFormat="false" ht="16" hidden="false" customHeight="false" outlineLevel="0" collapsed="false">
      <c r="A88" s="1" t="str">
        <f aca="false">l_trans!$A$89</f>
        <v>Ir n.e.s.</v>
      </c>
    </row>
    <row r="89" customFormat="false" ht="16" hidden="false" customHeight="false" outlineLevel="0" collapsed="false">
      <c r="A89" s="1" t="str">
        <f aca="false">l_trans!$A$90</f>
        <v>Pt n.e.s.</v>
      </c>
    </row>
    <row r="90" customFormat="false" ht="16" hidden="false" customHeight="false" outlineLevel="0" collapsed="false">
      <c r="A90" s="1" t="str">
        <f aca="false">l_trans!$A$91</f>
        <v>Au n.e.s.</v>
      </c>
    </row>
    <row r="91" customFormat="false" ht="16" hidden="false" customHeight="false" outlineLevel="0" collapsed="false">
      <c r="A91" s="1" t="str">
        <f aca="false">l_trans!$A$92</f>
        <v>Tl n.e.s.</v>
      </c>
    </row>
    <row r="92" customFormat="false" ht="16" hidden="false" customHeight="false" outlineLevel="0" collapsed="false">
      <c r="A92" s="1" t="str">
        <f aca="false">l_trans!$A$93</f>
        <v>Bi n.e.s.</v>
      </c>
    </row>
    <row r="93" customFormat="false" ht="16" hidden="false" customHeight="false" outlineLevel="0" collapsed="false">
      <c r="A93" s="1" t="str">
        <f aca="false">l_trans!$A$94</f>
        <v>Po n.e.s.</v>
      </c>
    </row>
    <row r="94" customFormat="false" ht="16" hidden="false" customHeight="false" outlineLevel="0" collapsed="false">
      <c r="A94" s="1" t="str">
        <f aca="false">l_trans!$A$95</f>
        <v>At n.e.s.</v>
      </c>
    </row>
    <row r="95" customFormat="false" ht="16" hidden="false" customHeight="false" outlineLevel="0" collapsed="false">
      <c r="A95" s="1" t="str">
        <f aca="false">l_trans!$A$96</f>
        <v>Rn n.e.s.</v>
      </c>
    </row>
    <row r="96" customFormat="false" ht="16" hidden="false" customHeight="false" outlineLevel="0" collapsed="false">
      <c r="A96" s="1" t="str">
        <f aca="false">l_trans!$A$97</f>
        <v>Fr n.e.s.</v>
      </c>
    </row>
    <row r="97" customFormat="false" ht="16" hidden="false" customHeight="false" outlineLevel="0" collapsed="false">
      <c r="A97" s="1" t="str">
        <f aca="false">l_trans!$A$98</f>
        <v>Ra n.e.s.</v>
      </c>
    </row>
    <row r="98" customFormat="false" ht="16" hidden="false" customHeight="false" outlineLevel="0" collapsed="false">
      <c r="A98" s="1" t="str">
        <f aca="false">l_trans!$A$99</f>
        <v>Ac n.e.s.</v>
      </c>
    </row>
    <row r="99" customFormat="false" ht="16" hidden="false" customHeight="false" outlineLevel="0" collapsed="false">
      <c r="A99" s="1" t="str">
        <f aca="false">l_trans!$A$100</f>
        <v>Th n.e.s.</v>
      </c>
    </row>
    <row r="100" customFormat="false" ht="16" hidden="false" customHeight="false" outlineLevel="0" collapsed="false">
      <c r="A100" s="1" t="str">
        <f aca="false">l_trans!$A$101</f>
        <v>Pa n.e.s.</v>
      </c>
    </row>
    <row r="101" customFormat="false" ht="16" hidden="false" customHeight="false" outlineLevel="0" collapsed="false">
      <c r="A101" s="1" t="str">
        <f aca="false">l_trans!$A$102</f>
        <v>U n.e.s.</v>
      </c>
    </row>
    <row r="102" customFormat="false" ht="16" hidden="false" customHeight="false" outlineLevel="0" collapsed="false">
      <c r="A102" s="1" t="str">
        <f aca="false">l_trans!$A$103</f>
        <v>Np n.e.s.</v>
      </c>
    </row>
    <row r="103" customFormat="false" ht="16" hidden="false" customHeight="false" outlineLevel="0" collapsed="false">
      <c r="A103" s="1" t="str">
        <f aca="false">l_trans!$A$104</f>
        <v>Pu n.e.s.</v>
      </c>
    </row>
    <row r="104" customFormat="false" ht="16" hidden="false" customHeight="false" outlineLevel="0" collapsed="false">
      <c r="A104" s="1" t="str">
        <f aca="false">l_trans!$A$105</f>
        <v>Am n.e.s.</v>
      </c>
    </row>
    <row r="105" customFormat="false" ht="16" hidden="false" customHeight="false" outlineLevel="0" collapsed="false">
      <c r="A105" s="1" t="str">
        <f aca="false">l_trans!$A$106</f>
        <v>Cm n.e.s.</v>
      </c>
    </row>
    <row r="106" customFormat="false" ht="16" hidden="false" customHeight="false" outlineLevel="0" collapsed="false">
      <c r="A106" s="1" t="str">
        <f aca="false">l_trans!$A$107</f>
        <v>Bk n.e.s.</v>
      </c>
    </row>
    <row r="107" customFormat="false" ht="16" hidden="false" customHeight="false" outlineLevel="0" collapsed="false">
      <c r="A107" s="1" t="str">
        <f aca="false">l_trans!$A$108</f>
        <v>Cf n.e.s.</v>
      </c>
    </row>
    <row r="108" customFormat="false" ht="16" hidden="false" customHeight="false" outlineLevel="0" collapsed="false">
      <c r="A108" s="1" t="str">
        <f aca="false">l_trans!$A$109</f>
        <v>Es n.e.s.</v>
      </c>
    </row>
    <row r="109" customFormat="false" ht="16" hidden="false" customHeight="false" outlineLevel="0" collapsed="false">
      <c r="A109" s="1" t="str">
        <f aca="false">l_trans!$A$110</f>
        <v>Fm n.e.s.</v>
      </c>
    </row>
    <row r="110" customFormat="false" ht="16" hidden="false" customHeight="false" outlineLevel="0" collapsed="false">
      <c r="A110" s="1" t="str">
        <f aca="false">l_trans!$A$111</f>
        <v>Md n.e.s.</v>
      </c>
    </row>
    <row r="111" customFormat="false" ht="16" hidden="false" customHeight="false" outlineLevel="0" collapsed="false">
      <c r="A111" s="1" t="str">
        <f aca="false">l_trans!$A$112</f>
        <v>No n.e.s.</v>
      </c>
    </row>
    <row r="112" customFormat="false" ht="16" hidden="false" customHeight="false" outlineLevel="0" collapsed="false">
      <c r="A112" s="1" t="str">
        <f aca="false">l_trans!$A$113</f>
        <v>Lr n.e.s.</v>
      </c>
    </row>
    <row r="113" customFormat="false" ht="16" hidden="false" customHeight="false" outlineLevel="0" collapsed="false">
      <c r="A113" s="1" t="str">
        <f aca="false">l_trans!$A$114</f>
        <v>Rf n.e.s.</v>
      </c>
    </row>
    <row r="114" customFormat="false" ht="16" hidden="false" customHeight="false" outlineLevel="0" collapsed="false">
      <c r="A114" s="1" t="str">
        <f aca="false">l_trans!$A$115</f>
        <v>Db n.e.s.</v>
      </c>
    </row>
    <row r="115" customFormat="false" ht="16" hidden="false" customHeight="false" outlineLevel="0" collapsed="false">
      <c r="A115" s="1" t="str">
        <f aca="false">l_trans!$A$116</f>
        <v>Sg n.e.s.</v>
      </c>
    </row>
    <row r="116" customFormat="false" ht="16" hidden="false" customHeight="false" outlineLevel="0" collapsed="false">
      <c r="A116" s="1" t="str">
        <f aca="false">l_trans!$A$117</f>
        <v>Bh n.e.s.</v>
      </c>
    </row>
    <row r="117" customFormat="false" ht="16" hidden="false" customHeight="false" outlineLevel="0" collapsed="false">
      <c r="A117" s="1" t="str">
        <f aca="false">l_trans!$A$118</f>
        <v>Hs n.e.s.</v>
      </c>
    </row>
    <row r="118" customFormat="false" ht="16" hidden="false" customHeight="false" outlineLevel="0" collapsed="false">
      <c r="A118" s="1" t="str">
        <f aca="false">l_trans!$A$119</f>
        <v>Mt n.e.s.</v>
      </c>
    </row>
    <row r="119" customFormat="false" ht="16" hidden="false" customHeight="false" outlineLevel="0" collapsed="false">
      <c r="A119" s="1" t="str">
        <f aca="false">l_trans!$A$120</f>
        <v>Ds n.e.s.</v>
      </c>
    </row>
    <row r="120" customFormat="false" ht="16" hidden="false" customHeight="false" outlineLevel="0" collapsed="false">
      <c r="A120" s="1" t="str">
        <f aca="false">l_trans!$A$121</f>
        <v>Rg n.e.s.</v>
      </c>
    </row>
    <row r="121" customFormat="false" ht="16" hidden="false" customHeight="false" outlineLevel="0" collapsed="false">
      <c r="A121" s="1" t="str">
        <f aca="false">l_trans!$A$122</f>
        <v>Cn n.e.s.</v>
      </c>
    </row>
    <row r="122" customFormat="false" ht="16" hidden="false" customHeight="false" outlineLevel="0" collapsed="false">
      <c r="A122" s="1" t="str">
        <f aca="false">l_trans!$A$123</f>
        <v>Nh n.e.s.</v>
      </c>
    </row>
    <row r="123" customFormat="false" ht="16" hidden="false" customHeight="false" outlineLevel="0" collapsed="false">
      <c r="A123" s="1" t="str">
        <f aca="false">l_trans!$A$124</f>
        <v>Fl n.e.s.</v>
      </c>
    </row>
    <row r="124" customFormat="false" ht="16" hidden="false" customHeight="false" outlineLevel="0" collapsed="false">
      <c r="A124" s="1" t="str">
        <f aca="false">l_trans!$A$125</f>
        <v>Mc n.e.s.</v>
      </c>
    </row>
    <row r="125" customFormat="false" ht="16" hidden="false" customHeight="false" outlineLevel="0" collapsed="false">
      <c r="A125" s="1" t="str">
        <f aca="false">l_trans!$A$126</f>
        <v>Lv n.e.s.</v>
      </c>
    </row>
    <row r="126" customFormat="false" ht="16" hidden="false" customHeight="false" outlineLevel="0" collapsed="false">
      <c r="A126" s="1" t="str">
        <f aca="false">l_trans!$A$127</f>
        <v>Ts n.e.s.</v>
      </c>
    </row>
    <row r="127" customFormat="false" ht="16" hidden="false" customHeight="false" outlineLevel="0" collapsed="false">
      <c r="A127" s="1" t="str">
        <f aca="false">l_trans!$A$128</f>
        <v>Og n.e.s.</v>
      </c>
    </row>
    <row r="128" customFormat="false" ht="16" hidden="false" customHeight="false" outlineLevel="0" collapsed="false">
      <c r="A128" s="1" t="str">
        <f aca="false">l_trans!$A$129</f>
        <v/>
      </c>
    </row>
    <row r="129" customFormat="false" ht="16" hidden="false" customHeight="false" outlineLevel="0" collapsed="false">
      <c r="A129" s="1" t="str">
        <f aca="false">l_trans!$A$130</f>
        <v/>
      </c>
    </row>
    <row r="130" customFormat="false" ht="16" hidden="false" customHeight="false" outlineLevel="0" collapsed="false">
      <c r="A130" s="1" t="str">
        <f aca="false">l_trans!$A$131</f>
        <v/>
      </c>
    </row>
    <row r="131" customFormat="false" ht="16" hidden="false" customHeight="false" outlineLevel="0" collapsed="false">
      <c r="A131" s="1" t="str">
        <f aca="false">l_trans!$A$132</f>
        <v/>
      </c>
    </row>
    <row r="132" customFormat="false" ht="16" hidden="false" customHeight="false" outlineLevel="0" collapsed="false">
      <c r="A132" s="1" t="str">
        <f aca="false">l_trans!$A$133</f>
        <v/>
      </c>
    </row>
    <row r="133" customFormat="false" ht="16" hidden="false" customHeight="false" outlineLevel="0" collapsed="false">
      <c r="A133" s="1" t="str">
        <f aca="false">l_trans!$A$134</f>
        <v/>
      </c>
    </row>
    <row r="134" customFormat="false" ht="16" hidden="false" customHeight="false" outlineLevel="0" collapsed="false">
      <c r="A134" s="1" t="str">
        <f aca="false">l_trans!$A$135</f>
        <v/>
      </c>
    </row>
    <row r="135" customFormat="false" ht="16" hidden="false" customHeight="false" outlineLevel="0" collapsed="false">
      <c r="A135" s="1" t="str">
        <f aca="false">l_trans!$A$136</f>
        <v/>
      </c>
    </row>
    <row r="136" customFormat="false" ht="16" hidden="false" customHeight="false" outlineLevel="0" collapsed="false">
      <c r="A136" s="1" t="str">
        <f aca="false">l_trans!$A$137</f>
        <v/>
      </c>
    </row>
    <row r="137" customFormat="false" ht="16" hidden="false" customHeight="false" outlineLevel="0" collapsed="false">
      <c r="A137" s="1" t="str">
        <f aca="false">l_trans!$A$138</f>
        <v/>
      </c>
    </row>
    <row r="138" customFormat="false" ht="16" hidden="false" customHeight="false" outlineLevel="0" collapsed="false">
      <c r="A138" s="1" t="str">
        <f aca="false">l_trans!$A$139</f>
        <v/>
      </c>
    </row>
    <row r="139" customFormat="false" ht="16" hidden="false" customHeight="false" outlineLevel="0" collapsed="false">
      <c r="A139" s="1" t="str">
        <f aca="false">l_trans!$A$140</f>
        <v/>
      </c>
    </row>
    <row r="140" customFormat="false" ht="16" hidden="false" customHeight="false" outlineLevel="0" collapsed="false">
      <c r="A140" s="1" t="str">
        <f aca="false">l_trans!$A$141</f>
        <v/>
      </c>
    </row>
    <row r="141" customFormat="false" ht="16" hidden="false" customHeight="false" outlineLevel="0" collapsed="false">
      <c r="A141" s="1" t="str">
        <f aca="false">l_trans!$A$142</f>
        <v/>
      </c>
    </row>
    <row r="142" customFormat="false" ht="16" hidden="false" customHeight="false" outlineLevel="0" collapsed="false">
      <c r="A142" s="1" t="str">
        <f aca="false">l_trans!$A$143</f>
        <v/>
      </c>
    </row>
    <row r="143" customFormat="false" ht="16" hidden="false" customHeight="false" outlineLevel="0" collapsed="false">
      <c r="A143" s="1" t="str">
        <f aca="false">l_trans!$A$144</f>
        <v/>
      </c>
    </row>
    <row r="144" customFormat="false" ht="16" hidden="false" customHeight="false" outlineLevel="0" collapsed="false">
      <c r="A144" s="1" t="str">
        <f aca="false">l_trans!$A$145</f>
        <v/>
      </c>
    </row>
    <row r="145" customFormat="false" ht="16" hidden="false" customHeight="false" outlineLevel="0" collapsed="false">
      <c r="A145" s="1" t="str">
        <f aca="false">l_trans!$A$146</f>
        <v/>
      </c>
    </row>
    <row r="146" customFormat="false" ht="16" hidden="false" customHeight="false" outlineLevel="0" collapsed="false">
      <c r="A146" s="1" t="str">
        <f aca="false">l_trans!$A$147</f>
        <v/>
      </c>
    </row>
    <row r="147" customFormat="false" ht="16" hidden="false" customHeight="false" outlineLevel="0" collapsed="false">
      <c r="A147" s="1" t="str">
        <f aca="false">l_trans!$A$148</f>
        <v/>
      </c>
    </row>
    <row r="148" customFormat="false" ht="16" hidden="false" customHeight="false" outlineLevel="0" collapsed="false">
      <c r="A148" s="1" t="str">
        <f aca="false">l_trans!$A$149</f>
        <v/>
      </c>
    </row>
    <row r="149" customFormat="false" ht="16" hidden="false" customHeight="false" outlineLevel="0" collapsed="false">
      <c r="A149" s="1" t="str">
        <f aca="false">l_trans!$A$150</f>
        <v/>
      </c>
    </row>
    <row r="150" customFormat="false" ht="16" hidden="false" customHeight="false" outlineLevel="0" collapsed="false">
      <c r="A150" s="1" t="str">
        <f aca="false">l_trans!$A$151</f>
        <v/>
      </c>
    </row>
    <row r="151" customFormat="false" ht="16" hidden="false" customHeight="false" outlineLevel="0" collapsed="false">
      <c r="A151" s="1" t="str">
        <f aca="false">l_trans!$A$152</f>
        <v/>
      </c>
    </row>
    <row r="152" customFormat="false" ht="16" hidden="false" customHeight="false" outlineLevel="0" collapsed="false">
      <c r="A152" s="1" t="str">
        <f aca="false">l_trans!$A$153</f>
        <v/>
      </c>
    </row>
    <row r="153" customFormat="false" ht="16" hidden="false" customHeight="false" outlineLevel="0" collapsed="false">
      <c r="A153" s="1" t="str">
        <f aca="false">l_trans!$A$154</f>
        <v/>
      </c>
    </row>
    <row r="154" customFormat="false" ht="16" hidden="false" customHeight="false" outlineLevel="0" collapsed="false">
      <c r="A154" s="1" t="str">
        <f aca="false">l_trans!$A$155</f>
        <v/>
      </c>
    </row>
    <row r="155" customFormat="false" ht="16" hidden="false" customHeight="false" outlineLevel="0" collapsed="false">
      <c r="A155" s="1" t="str">
        <f aca="false">l_trans!$A$156</f>
        <v/>
      </c>
    </row>
    <row r="156" customFormat="false" ht="16" hidden="false" customHeight="false" outlineLevel="0" collapsed="false">
      <c r="A156" s="1" t="str">
        <f aca="false">l_trans!$A$157</f>
        <v/>
      </c>
    </row>
    <row r="157" customFormat="false" ht="16" hidden="false" customHeight="false" outlineLevel="0" collapsed="false">
      <c r="A157" s="1" t="str">
        <f aca="false">l_trans!$A$158</f>
        <v/>
      </c>
    </row>
    <row r="158" customFormat="false" ht="16" hidden="false" customHeight="false" outlineLevel="0" collapsed="false">
      <c r="A158" s="1" t="str">
        <f aca="false">l_trans!$A$159</f>
        <v/>
      </c>
    </row>
    <row r="159" customFormat="false" ht="16" hidden="false" customHeight="false" outlineLevel="0" collapsed="false">
      <c r="A159" s="1" t="str">
        <f aca="false">l_trans!$A$160</f>
        <v/>
      </c>
    </row>
    <row r="160" customFormat="false" ht="16" hidden="false" customHeight="false" outlineLevel="0" collapsed="false">
      <c r="A160" s="1" t="str">
        <f aca="false">l_trans!$A$161</f>
        <v/>
      </c>
    </row>
    <row r="161" customFormat="false" ht="16" hidden="false" customHeight="false" outlineLevel="0" collapsed="false">
      <c r="A161" s="1" t="str">
        <f aca="false">l_trans!$A$162</f>
        <v/>
      </c>
    </row>
    <row r="162" customFormat="false" ht="16" hidden="false" customHeight="false" outlineLevel="0" collapsed="false">
      <c r="A162" s="1" t="str">
        <f aca="false">l_trans!$A$163</f>
        <v/>
      </c>
    </row>
    <row r="163" customFormat="false" ht="16" hidden="false" customHeight="false" outlineLevel="0" collapsed="false">
      <c r="A163" s="1" t="str">
        <f aca="false">l_trans!$A$164</f>
        <v/>
      </c>
    </row>
    <row r="164" customFormat="false" ht="16" hidden="false" customHeight="false" outlineLevel="0" collapsed="false">
      <c r="A164" s="1" t="str">
        <f aca="false">l_trans!$A$165</f>
        <v/>
      </c>
    </row>
    <row r="165" customFormat="false" ht="16" hidden="false" customHeight="false" outlineLevel="0" collapsed="false">
      <c r="A165" s="1" t="str">
        <f aca="false">l_trans!$A$166</f>
        <v/>
      </c>
    </row>
    <row r="166" customFormat="false" ht="16" hidden="false" customHeight="false" outlineLevel="0" collapsed="false">
      <c r="A166" s="1" t="str">
        <f aca="false">l_trans!$A$167</f>
        <v/>
      </c>
    </row>
    <row r="167" customFormat="false" ht="16" hidden="false" customHeight="false" outlineLevel="0" collapsed="false">
      <c r="A167" s="1" t="str">
        <f aca="false">l_trans!$A$168</f>
        <v/>
      </c>
    </row>
    <row r="168" customFormat="false" ht="16" hidden="false" customHeight="false" outlineLevel="0" collapsed="false">
      <c r="A168" s="1" t="str">
        <f aca="false">l_trans!$A$169</f>
        <v/>
      </c>
    </row>
    <row r="169" customFormat="false" ht="16" hidden="false" customHeight="false" outlineLevel="0" collapsed="false">
      <c r="A169" s="1" t="str">
        <f aca="false">l_trans!$A$170</f>
        <v/>
      </c>
    </row>
    <row r="170" customFormat="false" ht="16" hidden="false" customHeight="false" outlineLevel="0" collapsed="false">
      <c r="A170" s="1" t="str">
        <f aca="false">l_trans!$A$171</f>
        <v/>
      </c>
    </row>
    <row r="171" customFormat="false" ht="16" hidden="false" customHeight="false" outlineLevel="0" collapsed="false">
      <c r="A171" s="1" t="str">
        <f aca="false">l_trans!$A$172</f>
        <v/>
      </c>
    </row>
    <row r="172" customFormat="false" ht="16" hidden="false" customHeight="false" outlineLevel="0" collapsed="false">
      <c r="A172" s="1" t="str">
        <f aca="false">l_trans!$A$173</f>
        <v/>
      </c>
    </row>
    <row r="173" customFormat="false" ht="16" hidden="false" customHeight="false" outlineLevel="0" collapsed="false">
      <c r="A173" s="1" t="str">
        <f aca="false">l_trans!$A$174</f>
        <v/>
      </c>
    </row>
    <row r="174" customFormat="false" ht="16" hidden="false" customHeight="false" outlineLevel="0" collapsed="false">
      <c r="A174" s="1" t="str">
        <f aca="false">l_trans!$A$175</f>
        <v/>
      </c>
    </row>
    <row r="175" customFormat="false" ht="16" hidden="false" customHeight="false" outlineLevel="0" collapsed="false">
      <c r="A175" s="1" t="str">
        <f aca="false">l_trans!$A$176</f>
        <v/>
      </c>
    </row>
    <row r="176" customFormat="false" ht="16" hidden="false" customHeight="false" outlineLevel="0" collapsed="false">
      <c r="A176" s="1" t="str">
        <f aca="false">l_trans!$A$177</f>
        <v/>
      </c>
    </row>
    <row r="177" customFormat="false" ht="16" hidden="false" customHeight="false" outlineLevel="0" collapsed="false">
      <c r="A177" s="1" t="str">
        <f aca="false">l_trans!$A$178</f>
        <v/>
      </c>
    </row>
    <row r="178" customFormat="false" ht="16" hidden="false" customHeight="false" outlineLevel="0" collapsed="false">
      <c r="A178" s="1" t="str">
        <f aca="false">l_trans!$A$179</f>
        <v/>
      </c>
    </row>
    <row r="179" customFormat="false" ht="16" hidden="false" customHeight="false" outlineLevel="0" collapsed="false">
      <c r="A179" s="1" t="str">
        <f aca="false">l_trans!$A$180</f>
        <v/>
      </c>
    </row>
    <row r="180" customFormat="false" ht="16" hidden="false" customHeight="false" outlineLevel="0" collapsed="false">
      <c r="A180" s="1" t="str">
        <f aca="false">l_trans!$A$181</f>
        <v/>
      </c>
    </row>
    <row r="181" customFormat="false" ht="16" hidden="false" customHeight="false" outlineLevel="0" collapsed="false">
      <c r="A181" s="1" t="str">
        <f aca="false">l_trans!$A$182</f>
        <v/>
      </c>
    </row>
    <row r="182" customFormat="false" ht="16" hidden="false" customHeight="false" outlineLevel="0" collapsed="false">
      <c r="A182" s="1" t="str">
        <f aca="false">l_trans!$A$183</f>
        <v/>
      </c>
    </row>
    <row r="183" customFormat="false" ht="16" hidden="false" customHeight="false" outlineLevel="0" collapsed="false">
      <c r="A183" s="1" t="str">
        <f aca="false">l_trans!$A$184</f>
        <v/>
      </c>
    </row>
    <row r="184" customFormat="false" ht="16" hidden="false" customHeight="false" outlineLevel="0" collapsed="false">
      <c r="A184" s="1" t="str">
        <f aca="false">l_trans!$A$185</f>
        <v/>
      </c>
    </row>
    <row r="185" customFormat="false" ht="16" hidden="false" customHeight="false" outlineLevel="0" collapsed="false">
      <c r="A185" s="1" t="str">
        <f aca="false">l_trans!$A$186</f>
        <v/>
      </c>
    </row>
    <row r="186" customFormat="false" ht="16" hidden="false" customHeight="false" outlineLevel="0" collapsed="false">
      <c r="A186" s="1" t="str">
        <f aca="false">l_trans!$A$187</f>
        <v/>
      </c>
    </row>
    <row r="187" customFormat="false" ht="16" hidden="false" customHeight="false" outlineLevel="0" collapsed="false">
      <c r="A187" s="1" t="str">
        <f aca="false">l_trans!$A$188</f>
        <v/>
      </c>
    </row>
    <row r="188" customFormat="false" ht="16" hidden="false" customHeight="false" outlineLevel="0" collapsed="false">
      <c r="A188" s="1" t="str">
        <f aca="false">l_trans!$A$189</f>
        <v/>
      </c>
    </row>
    <row r="189" customFormat="false" ht="16" hidden="false" customHeight="false" outlineLevel="0" collapsed="false">
      <c r="A189" s="1" t="str">
        <f aca="false">l_trans!$A$190</f>
        <v/>
      </c>
    </row>
    <row r="190" customFormat="false" ht="16" hidden="false" customHeight="false" outlineLevel="0" collapsed="false">
      <c r="A190" s="1" t="str">
        <f aca="false">l_trans!$A$191</f>
        <v/>
      </c>
    </row>
    <row r="191" customFormat="false" ht="16" hidden="false" customHeight="false" outlineLevel="0" collapsed="false">
      <c r="A191" s="1" t="str">
        <f aca="false">l_trans!$A$192</f>
        <v/>
      </c>
    </row>
    <row r="192" customFormat="false" ht="16" hidden="false" customHeight="false" outlineLevel="0" collapsed="false">
      <c r="A192" s="1" t="str">
        <f aca="false">l_trans!$A$193</f>
        <v/>
      </c>
    </row>
    <row r="193" customFormat="false" ht="16" hidden="false" customHeight="false" outlineLevel="0" collapsed="false">
      <c r="A193" s="1" t="str">
        <f aca="false">l_trans!$A$194</f>
        <v/>
      </c>
    </row>
    <row r="194" customFormat="false" ht="16" hidden="false" customHeight="false" outlineLevel="0" collapsed="false">
      <c r="A194" s="1" t="str">
        <f aca="false">l_trans!$A$195</f>
        <v/>
      </c>
    </row>
    <row r="195" customFormat="false" ht="16" hidden="false" customHeight="false" outlineLevel="0" collapsed="false">
      <c r="A195" s="1" t="str">
        <f aca="false">l_trans!$A$196</f>
        <v/>
      </c>
    </row>
    <row r="196" customFormat="false" ht="16" hidden="false" customHeight="false" outlineLevel="0" collapsed="false">
      <c r="A196" s="1" t="str">
        <f aca="false">l_trans!$A$197</f>
        <v/>
      </c>
    </row>
    <row r="197" customFormat="false" ht="16" hidden="false" customHeight="false" outlineLevel="0" collapsed="false">
      <c r="A197" s="1" t="str">
        <f aca="false">l_trans!$A$198</f>
        <v/>
      </c>
    </row>
    <row r="198" customFormat="false" ht="16" hidden="false" customHeight="false" outlineLevel="0" collapsed="false">
      <c r="A198" s="1" t="str">
        <f aca="false">l_trans!$A$199</f>
        <v/>
      </c>
    </row>
    <row r="199" customFormat="false" ht="16" hidden="false" customHeight="false" outlineLevel="0" collapsed="false">
      <c r="A199" s="1" t="str">
        <f aca="false">l_trans!$A$200</f>
        <v/>
      </c>
    </row>
    <row r="200" customFormat="false" ht="16" hidden="false" customHeight="false" outlineLevel="0" collapsed="false">
      <c r="A200" s="1" t="str">
        <f aca="false">l_trans!$A$201</f>
        <v/>
      </c>
    </row>
    <row r="201" customFormat="false" ht="16" hidden="false" customHeight="false" outlineLevel="0" collapsed="false">
      <c r="A201" s="1" t="str">
        <f aca="false">l_trans!$A$202</f>
        <v/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U200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29" activeCellId="0" sqref="A29"/>
    </sheetView>
  </sheetViews>
  <sheetFormatPr defaultColWidth="8.62109375" defaultRowHeight="16" zeroHeight="false" outlineLevelRow="0" outlineLevelCol="0"/>
  <cols>
    <col collapsed="false" customWidth="true" hidden="false" outlineLevel="0" max="1" min="1" style="1" width="24.33"/>
    <col collapsed="false" customWidth="true" hidden="false" outlineLevel="0" max="2" min="2" style="1" width="4.67"/>
    <col collapsed="false" customWidth="true" hidden="false" outlineLevel="0" max="3" min="3" style="1" width="8"/>
    <col collapsed="false" customWidth="false" hidden="false" outlineLevel="0" max="4" min="4" style="1" width="8.67"/>
    <col collapsed="false" customWidth="true" hidden="false" outlineLevel="0" max="5" min="5" style="1" width="11.67"/>
    <col collapsed="false" customWidth="true" hidden="false" outlineLevel="0" max="6" min="6" style="1" width="6.83"/>
    <col collapsed="false" customWidth="true" hidden="false" outlineLevel="0" max="7" min="7" style="1" width="8"/>
    <col collapsed="false" customWidth="true" hidden="false" outlineLevel="0" max="8" min="8" style="1" width="9.16"/>
    <col collapsed="false" customWidth="true" hidden="false" outlineLevel="0" max="9" min="9" style="1" width="7.16"/>
    <col collapsed="false" customWidth="true" hidden="false" outlineLevel="0" max="10" min="10" style="1" width="7.51"/>
    <col collapsed="false" customWidth="false" hidden="false" outlineLevel="0" max="32" min="11" style="1" width="8.67"/>
    <col collapsed="false" customWidth="true" hidden="false" outlineLevel="0" max="33" min="33" style="1" width="11.33"/>
    <col collapsed="false" customWidth="false" hidden="false" outlineLevel="0" max="1025" min="34" style="1" width="8.67"/>
  </cols>
  <sheetData>
    <row r="1" s="19" customFormat="true" ht="16" hidden="false" customHeight="false" outlineLevel="0" collapsed="false">
      <c r="A1" s="19" t="s">
        <v>244</v>
      </c>
      <c r="B1" s="19" t="str">
        <f aca="false">l_trans!A3</f>
        <v>CO2</v>
      </c>
      <c r="C1" s="19" t="s">
        <v>249</v>
      </c>
      <c r="D1" s="19" t="s">
        <v>251</v>
      </c>
      <c r="E1" s="19" t="s">
        <v>254</v>
      </c>
      <c r="F1" s="19" t="s">
        <v>255</v>
      </c>
      <c r="G1" s="19" t="s">
        <v>710</v>
      </c>
      <c r="H1" s="19" t="s">
        <v>711</v>
      </c>
      <c r="I1" s="19" t="s">
        <v>712</v>
      </c>
      <c r="J1" s="19" t="s">
        <v>713</v>
      </c>
      <c r="K1" s="19" t="s">
        <v>714</v>
      </c>
      <c r="L1" s="19" t="s">
        <v>715</v>
      </c>
      <c r="M1" s="19" t="s">
        <v>716</v>
      </c>
      <c r="N1" s="19" t="s">
        <v>717</v>
      </c>
      <c r="O1" s="19" t="s">
        <v>718</v>
      </c>
      <c r="P1" s="19" t="s">
        <v>719</v>
      </c>
      <c r="Q1" s="19" t="s">
        <v>720</v>
      </c>
      <c r="R1" s="19" t="s">
        <v>721</v>
      </c>
      <c r="S1" s="19" t="s">
        <v>722</v>
      </c>
      <c r="T1" s="19" t="s">
        <v>723</v>
      </c>
      <c r="U1" s="19" t="s">
        <v>724</v>
      </c>
      <c r="V1" s="19" t="s">
        <v>725</v>
      </c>
      <c r="W1" s="19" t="s">
        <v>726</v>
      </c>
      <c r="X1" s="19" t="s">
        <v>727</v>
      </c>
      <c r="Y1" s="19" t="s">
        <v>256</v>
      </c>
      <c r="Z1" s="19" t="s">
        <v>728</v>
      </c>
      <c r="AA1" s="19" t="s">
        <v>729</v>
      </c>
      <c r="AB1" s="19" t="s">
        <v>730</v>
      </c>
      <c r="AC1" s="19" t="s">
        <v>731</v>
      </c>
      <c r="AD1" s="19" t="s">
        <v>732</v>
      </c>
      <c r="AE1" s="19" t="s">
        <v>733</v>
      </c>
      <c r="AF1" s="19" t="s">
        <v>734</v>
      </c>
      <c r="AG1" s="19" t="s">
        <v>735</v>
      </c>
      <c r="AH1" s="19" t="s">
        <v>258</v>
      </c>
      <c r="AO1" s="19" t="str">
        <f aca="false">l_trans!$A$40</f>
        <v>Be n.e.s.</v>
      </c>
      <c r="AP1" s="19" t="str">
        <f aca="false">l_trans!$A$41</f>
        <v>B n.e.s.</v>
      </c>
      <c r="AQ1" s="19" t="str">
        <f aca="false">l_trans!$A$42</f>
        <v>Ne n.e.s.</v>
      </c>
      <c r="AR1" s="19" t="str">
        <f aca="false">l_trans!$A$43</f>
        <v>Si n.e.s.</v>
      </c>
      <c r="AS1" s="19" t="str">
        <f aca="false">l_trans!$A$44</f>
        <v>Sc n.e.s.</v>
      </c>
      <c r="AT1" s="19" t="str">
        <f aca="false">l_trans!$A$45</f>
        <v>Ti n.e.s.</v>
      </c>
      <c r="AU1" s="19" t="str">
        <f aca="false">l_trans!$A$46</f>
        <v>V n.e.s.</v>
      </c>
      <c r="AV1" s="19" t="str">
        <f aca="false">l_trans!$A$47</f>
        <v>Ga n.e.s.</v>
      </c>
      <c r="AW1" s="19" t="str">
        <f aca="false">l_trans!$A$48</f>
        <v>Ge n.e.s.</v>
      </c>
      <c r="AX1" s="19" t="str">
        <f aca="false">l_trans!$A$49</f>
        <v>Se n.e.s.</v>
      </c>
      <c r="AY1" s="19" t="str">
        <f aca="false">l_trans!$A$50</f>
        <v>Br n.e.s.</v>
      </c>
      <c r="AZ1" s="19" t="str">
        <f aca="false">l_trans!$A$51</f>
        <v>Kr n.e.s.</v>
      </c>
      <c r="BA1" s="19" t="str">
        <f aca="false">l_trans!$A$52</f>
        <v>Rb n.e.s.</v>
      </c>
      <c r="BB1" s="19" t="str">
        <f aca="false">l_trans!$A$53</f>
        <v>Sr n.e.s.</v>
      </c>
      <c r="BC1" s="19" t="str">
        <f aca="false">l_trans!$A$54</f>
        <v>Y n.e.s.</v>
      </c>
      <c r="BD1" s="19" t="str">
        <f aca="false">l_trans!$A$55</f>
        <v>Zr n.e.s.</v>
      </c>
      <c r="BE1" s="19" t="str">
        <f aca="false">l_trans!$A$56</f>
        <v>Nb n.e.s.</v>
      </c>
      <c r="BF1" s="19" t="str">
        <f aca="false">l_trans!$A$57</f>
        <v>Tc n.e.s.</v>
      </c>
      <c r="BG1" s="19" t="str">
        <f aca="false">l_trans!$A$58</f>
        <v>Ru n.e.s.</v>
      </c>
      <c r="BH1" s="19" t="str">
        <f aca="false">l_trans!$A$59</f>
        <v>Rh n.e.s.</v>
      </c>
      <c r="BI1" s="19" t="str">
        <f aca="false">l_trans!$A$60</f>
        <v>Pd n.e.s.</v>
      </c>
      <c r="BJ1" s="19" t="str">
        <f aca="false">l_trans!$A$61</f>
        <v>In n.e.s.</v>
      </c>
      <c r="BK1" s="19" t="str">
        <f aca="false">l_trans!$A$62</f>
        <v>Sn n.e.s.</v>
      </c>
      <c r="BL1" s="19" t="str">
        <f aca="false">l_trans!$A$63</f>
        <v>Sb n.e.s.</v>
      </c>
      <c r="BM1" s="19" t="str">
        <f aca="false">l_trans!$A$64</f>
        <v>Te n.e.s.</v>
      </c>
      <c r="BN1" s="19" t="str">
        <f aca="false">l_trans!$A$65</f>
        <v>I n.e.s.</v>
      </c>
      <c r="BO1" s="19" t="str">
        <f aca="false">l_trans!$A$66</f>
        <v>Xe n.e.s.</v>
      </c>
      <c r="BP1" s="19" t="str">
        <f aca="false">l_trans!$A$67</f>
        <v>Cs n.e.s.</v>
      </c>
      <c r="BQ1" s="19" t="str">
        <f aca="false">l_trans!$A$68</f>
        <v>Ba n.e.s.</v>
      </c>
      <c r="BR1" s="19" t="str">
        <f aca="false">l_trans!$A$69</f>
        <v>La n.e.s.</v>
      </c>
      <c r="BS1" s="19" t="str">
        <f aca="false">l_trans!$A$70</f>
        <v>Ce n.e.s.</v>
      </c>
      <c r="BT1" s="19" t="str">
        <f aca="false">l_trans!$A$71</f>
        <v>Pr n.e.s.</v>
      </c>
      <c r="BU1" s="19" t="str">
        <f aca="false">l_trans!$A$72</f>
        <v>Nd n.e.s.</v>
      </c>
      <c r="BV1" s="19" t="str">
        <f aca="false">l_trans!$A$73</f>
        <v>Pm n.e.s.</v>
      </c>
      <c r="BW1" s="19" t="str">
        <f aca="false">l_trans!$A$74</f>
        <v>Sm n.e.s.</v>
      </c>
      <c r="BX1" s="19" t="str">
        <f aca="false">l_trans!$A$75</f>
        <v>Eu n.e.s.</v>
      </c>
      <c r="BY1" s="19" t="str">
        <f aca="false">l_trans!$A$76</f>
        <v>Gd n.e.s.</v>
      </c>
      <c r="BZ1" s="19" t="str">
        <f aca="false">l_trans!$A$77</f>
        <v>Tb n.e.s.</v>
      </c>
      <c r="CA1" s="19" t="str">
        <f aca="false">l_trans!$A$78</f>
        <v>Dy n.e.s.</v>
      </c>
      <c r="CB1" s="19" t="str">
        <f aca="false">l_trans!$A$79</f>
        <v>Ho n.e.s.</v>
      </c>
      <c r="CC1" s="19" t="str">
        <f aca="false">l_trans!$A$80</f>
        <v>Er n.e.s.</v>
      </c>
      <c r="CD1" s="19" t="str">
        <f aca="false">l_trans!$A$81</f>
        <v>Tm n.e.s.</v>
      </c>
      <c r="CE1" s="19" t="str">
        <f aca="false">l_trans!$A$82</f>
        <v>Yb n.e.s.</v>
      </c>
      <c r="CF1" s="19" t="str">
        <f aca="false">l_trans!$A$83</f>
        <v>Lu n.e.s.</v>
      </c>
      <c r="CG1" s="19" t="str">
        <f aca="false">l_trans!$A$84</f>
        <v>Hf n.e.s.</v>
      </c>
      <c r="CH1" s="19" t="str">
        <f aca="false">l_trans!$A$85</f>
        <v>Ta n.e.s.</v>
      </c>
      <c r="CI1" s="19" t="str">
        <f aca="false">l_trans!$A$86</f>
        <v>W n.e.s.</v>
      </c>
      <c r="CJ1" s="19" t="str">
        <f aca="false">l_trans!$A$87</f>
        <v>Re n.e.s.</v>
      </c>
      <c r="CK1" s="19" t="str">
        <f aca="false">l_trans!$A$88</f>
        <v>Os n.e.s.</v>
      </c>
      <c r="CL1" s="19" t="str">
        <f aca="false">l_trans!$A$89</f>
        <v>Ir n.e.s.</v>
      </c>
      <c r="CM1" s="19" t="str">
        <f aca="false">l_trans!$A$90</f>
        <v>Pt n.e.s.</v>
      </c>
      <c r="CN1" s="19" t="str">
        <f aca="false">l_trans!$A$91</f>
        <v>Au n.e.s.</v>
      </c>
      <c r="CO1" s="19" t="str">
        <f aca="false">l_trans!$A$92</f>
        <v>Tl n.e.s.</v>
      </c>
      <c r="CP1" s="19" t="str">
        <f aca="false">l_trans!$A$93</f>
        <v>Bi n.e.s.</v>
      </c>
      <c r="CQ1" s="19" t="str">
        <f aca="false">l_trans!$A$94</f>
        <v>Po n.e.s.</v>
      </c>
      <c r="CR1" s="19" t="str">
        <f aca="false">l_trans!$A$95</f>
        <v>At n.e.s.</v>
      </c>
      <c r="CS1" s="19" t="str">
        <f aca="false">l_trans!$A$96</f>
        <v>Rn n.e.s.</v>
      </c>
      <c r="CT1" s="19" t="str">
        <f aca="false">l_trans!$A$97</f>
        <v>Fr n.e.s.</v>
      </c>
      <c r="CU1" s="19" t="str">
        <f aca="false">l_trans!$A$98</f>
        <v>Ra n.e.s.</v>
      </c>
      <c r="CV1" s="19" t="str">
        <f aca="false">l_trans!$A$99</f>
        <v>Ac n.e.s.</v>
      </c>
      <c r="CW1" s="19" t="str">
        <f aca="false">l_trans!$A$100</f>
        <v>Th n.e.s.</v>
      </c>
      <c r="CX1" s="19" t="str">
        <f aca="false">l_trans!$A$101</f>
        <v>Pa n.e.s.</v>
      </c>
      <c r="CY1" s="19" t="str">
        <f aca="false">l_trans!$A$102</f>
        <v>U n.e.s.</v>
      </c>
      <c r="CZ1" s="19" t="str">
        <f aca="false">l_trans!$A$103</f>
        <v>Np n.e.s.</v>
      </c>
      <c r="DA1" s="19" t="str">
        <f aca="false">l_trans!$A$104</f>
        <v>Pu n.e.s.</v>
      </c>
      <c r="DB1" s="19" t="str">
        <f aca="false">l_trans!$A$105</f>
        <v>Am n.e.s.</v>
      </c>
      <c r="DC1" s="19" t="str">
        <f aca="false">l_trans!$A$106</f>
        <v>Cm n.e.s.</v>
      </c>
      <c r="DD1" s="19" t="str">
        <f aca="false">l_trans!$A$107</f>
        <v>Bk n.e.s.</v>
      </c>
      <c r="DE1" s="19" t="str">
        <f aca="false">l_trans!$A$108</f>
        <v>Cf n.e.s.</v>
      </c>
      <c r="DF1" s="19" t="str">
        <f aca="false">l_trans!$A$109</f>
        <v>Es n.e.s.</v>
      </c>
      <c r="DG1" s="19" t="str">
        <f aca="false">l_trans!$A$110</f>
        <v>Fm n.e.s.</v>
      </c>
      <c r="DH1" s="19" t="str">
        <f aca="false">l_trans!$A$111</f>
        <v>Md n.e.s.</v>
      </c>
      <c r="DI1" s="19" t="str">
        <f aca="false">l_trans!$A$112</f>
        <v>No n.e.s.</v>
      </c>
      <c r="DJ1" s="19" t="str">
        <f aca="false">l_trans!$A$113</f>
        <v>Lr n.e.s.</v>
      </c>
      <c r="DK1" s="19" t="str">
        <f aca="false">l_trans!$A$114</f>
        <v>Rf n.e.s.</v>
      </c>
      <c r="DL1" s="19" t="str">
        <f aca="false">l_trans!$A$115</f>
        <v>Db n.e.s.</v>
      </c>
      <c r="DM1" s="19" t="str">
        <f aca="false">l_trans!$A$116</f>
        <v>Sg n.e.s.</v>
      </c>
      <c r="DN1" s="19" t="str">
        <f aca="false">l_trans!$A$117</f>
        <v>Bh n.e.s.</v>
      </c>
      <c r="DO1" s="19" t="str">
        <f aca="false">l_trans!$A$118</f>
        <v>Hs n.e.s.</v>
      </c>
      <c r="DP1" s="19" t="str">
        <f aca="false">l_trans!$A$119</f>
        <v>Mt n.e.s.</v>
      </c>
      <c r="DQ1" s="19" t="str">
        <f aca="false">l_trans!$A$120</f>
        <v>Ds n.e.s.</v>
      </c>
      <c r="DR1" s="19" t="str">
        <f aca="false">l_trans!$A$121</f>
        <v>Rg n.e.s.</v>
      </c>
      <c r="DS1" s="19" t="str">
        <f aca="false">l_trans!$A$122</f>
        <v>Cn n.e.s.</v>
      </c>
      <c r="DT1" s="19" t="str">
        <f aca="false">l_trans!$A$123</f>
        <v>Nh n.e.s.</v>
      </c>
      <c r="DU1" s="19" t="str">
        <f aca="false">l_trans!$A$124</f>
        <v>Fl n.e.s.</v>
      </c>
      <c r="DV1" s="19" t="str">
        <f aca="false">l_trans!$A$125</f>
        <v>Mc n.e.s.</v>
      </c>
      <c r="DW1" s="19" t="str">
        <f aca="false">l_trans!$A$126</f>
        <v>Lv n.e.s.</v>
      </c>
      <c r="DX1" s="19" t="str">
        <f aca="false">l_trans!$A$127</f>
        <v>Ts n.e.s.</v>
      </c>
      <c r="DY1" s="19" t="str">
        <f aca="false">l_trans!$A$128</f>
        <v>Og n.e.s.</v>
      </c>
      <c r="DZ1" s="19" t="str">
        <f aca="false">l_trans!$A$129</f>
        <v/>
      </c>
      <c r="EA1" s="19" t="str">
        <f aca="false">l_trans!$A$130</f>
        <v/>
      </c>
      <c r="EB1" s="19" t="str">
        <f aca="false">l_trans!$A$131</f>
        <v/>
      </c>
      <c r="EC1" s="19" t="str">
        <f aca="false">l_trans!$A$132</f>
        <v/>
      </c>
      <c r="ED1" s="19" t="str">
        <f aca="false">l_trans!$A$133</f>
        <v/>
      </c>
      <c r="EE1" s="19" t="str">
        <f aca="false">l_trans!$A$134</f>
        <v/>
      </c>
      <c r="EF1" s="19" t="str">
        <f aca="false">l_trans!$A$135</f>
        <v/>
      </c>
      <c r="EG1" s="19" t="str">
        <f aca="false">l_trans!$A$136</f>
        <v/>
      </c>
      <c r="EH1" s="19" t="str">
        <f aca="false">l_trans!$A$137</f>
        <v/>
      </c>
      <c r="EI1" s="19" t="str">
        <f aca="false">l_trans!$A$138</f>
        <v/>
      </c>
      <c r="EJ1" s="19" t="str">
        <f aca="false">l_trans!$A$139</f>
        <v/>
      </c>
      <c r="EK1" s="19" t="str">
        <f aca="false">l_trans!$A$140</f>
        <v/>
      </c>
      <c r="EL1" s="19" t="str">
        <f aca="false">l_trans!$A$141</f>
        <v/>
      </c>
      <c r="EM1" s="19" t="str">
        <f aca="false">l_trans!$A$142</f>
        <v/>
      </c>
      <c r="EN1" s="19" t="str">
        <f aca="false">l_trans!$A$143</f>
        <v/>
      </c>
      <c r="EO1" s="19" t="str">
        <f aca="false">l_trans!$A$144</f>
        <v/>
      </c>
      <c r="EP1" s="19" t="str">
        <f aca="false">l_trans!$A$145</f>
        <v/>
      </c>
      <c r="EQ1" s="19" t="str">
        <f aca="false">l_trans!$A$146</f>
        <v/>
      </c>
      <c r="ER1" s="19" t="str">
        <f aca="false">l_trans!$A$147</f>
        <v/>
      </c>
      <c r="ES1" s="19" t="str">
        <f aca="false">l_trans!$A$148</f>
        <v/>
      </c>
      <c r="ET1" s="19" t="str">
        <f aca="false">l_trans!$A$149</f>
        <v/>
      </c>
      <c r="EU1" s="19" t="str">
        <f aca="false">l_trans!$A$150</f>
        <v/>
      </c>
      <c r="EV1" s="19" t="str">
        <f aca="false">l_trans!$A$151</f>
        <v/>
      </c>
      <c r="EW1" s="19" t="str">
        <f aca="false">l_trans!$A$152</f>
        <v/>
      </c>
      <c r="EX1" s="19" t="str">
        <f aca="false">l_trans!$A$153</f>
        <v/>
      </c>
      <c r="EY1" s="19" t="str">
        <f aca="false">l_trans!$A$154</f>
        <v/>
      </c>
      <c r="EZ1" s="19" t="str">
        <f aca="false">l_trans!$A$155</f>
        <v/>
      </c>
      <c r="FA1" s="19" t="str">
        <f aca="false">l_trans!$A$156</f>
        <v/>
      </c>
      <c r="FB1" s="19" t="str">
        <f aca="false">l_trans!$A$157</f>
        <v/>
      </c>
      <c r="FC1" s="19" t="str">
        <f aca="false">l_trans!$A$158</f>
        <v/>
      </c>
      <c r="FD1" s="19" t="str">
        <f aca="false">l_trans!$A$159</f>
        <v/>
      </c>
      <c r="FE1" s="19" t="str">
        <f aca="false">l_trans!$A$160</f>
        <v/>
      </c>
      <c r="FF1" s="19" t="str">
        <f aca="false">l_trans!$A$161</f>
        <v/>
      </c>
      <c r="FG1" s="19" t="str">
        <f aca="false">l_trans!$A$162</f>
        <v/>
      </c>
      <c r="FH1" s="19" t="str">
        <f aca="false">l_trans!$A$163</f>
        <v/>
      </c>
      <c r="FI1" s="19" t="str">
        <f aca="false">l_trans!$A$164</f>
        <v/>
      </c>
      <c r="FJ1" s="19" t="str">
        <f aca="false">l_trans!$A$165</f>
        <v/>
      </c>
      <c r="FK1" s="19" t="str">
        <f aca="false">l_trans!$A$166</f>
        <v/>
      </c>
      <c r="FL1" s="19" t="str">
        <f aca="false">l_trans!$A$167</f>
        <v/>
      </c>
      <c r="FM1" s="19" t="str">
        <f aca="false">l_trans!$A$168</f>
        <v/>
      </c>
      <c r="FN1" s="19" t="str">
        <f aca="false">l_trans!$A$169</f>
        <v/>
      </c>
      <c r="FO1" s="19" t="str">
        <f aca="false">l_trans!$A$170</f>
        <v/>
      </c>
      <c r="FP1" s="19" t="str">
        <f aca="false">l_trans!$A$171</f>
        <v/>
      </c>
      <c r="FQ1" s="19" t="str">
        <f aca="false">l_trans!$A$172</f>
        <v/>
      </c>
      <c r="FR1" s="19" t="str">
        <f aca="false">l_trans!$A$173</f>
        <v/>
      </c>
      <c r="FS1" s="19" t="str">
        <f aca="false">l_trans!$A$174</f>
        <v/>
      </c>
      <c r="FT1" s="19" t="str">
        <f aca="false">l_trans!$A$175</f>
        <v/>
      </c>
      <c r="FU1" s="19" t="str">
        <f aca="false">l_trans!$A$176</f>
        <v/>
      </c>
      <c r="FV1" s="19" t="str">
        <f aca="false">l_trans!$A$177</f>
        <v/>
      </c>
      <c r="FW1" s="19" t="str">
        <f aca="false">l_trans!$A$178</f>
        <v/>
      </c>
      <c r="FX1" s="19" t="str">
        <f aca="false">l_trans!$A$179</f>
        <v/>
      </c>
      <c r="FY1" s="19" t="str">
        <f aca="false">l_trans!$A$180</f>
        <v/>
      </c>
      <c r="FZ1" s="19" t="str">
        <f aca="false">l_trans!$A$181</f>
        <v/>
      </c>
      <c r="GA1" s="19" t="str">
        <f aca="false">l_trans!$A$182</f>
        <v/>
      </c>
      <c r="GB1" s="19" t="str">
        <f aca="false">l_trans!$A$183</f>
        <v/>
      </c>
      <c r="GC1" s="19" t="str">
        <f aca="false">l_trans!$A$184</f>
        <v/>
      </c>
      <c r="GD1" s="19" t="str">
        <f aca="false">l_trans!$A$185</f>
        <v/>
      </c>
      <c r="GE1" s="19" t="str">
        <f aca="false">l_trans!$A$186</f>
        <v/>
      </c>
      <c r="GF1" s="19" t="str">
        <f aca="false">l_trans!$A$187</f>
        <v/>
      </c>
      <c r="GG1" s="19" t="str">
        <f aca="false">l_trans!$A$188</f>
        <v/>
      </c>
      <c r="GH1" s="19" t="str">
        <f aca="false">l_trans!$A$189</f>
        <v/>
      </c>
      <c r="GI1" s="19" t="str">
        <f aca="false">l_trans!$A$190</f>
        <v/>
      </c>
      <c r="GJ1" s="19" t="str">
        <f aca="false">l_trans!$A$191</f>
        <v/>
      </c>
      <c r="GK1" s="19" t="str">
        <f aca="false">l_trans!$A$192</f>
        <v/>
      </c>
      <c r="GL1" s="19" t="str">
        <f aca="false">l_trans!$A$193</f>
        <v/>
      </c>
      <c r="GM1" s="19" t="str">
        <f aca="false">l_trans!$A$194</f>
        <v/>
      </c>
      <c r="GN1" s="19" t="str">
        <f aca="false">l_trans!$A$195</f>
        <v/>
      </c>
      <c r="GO1" s="19" t="str">
        <f aca="false">l_trans!$A$196</f>
        <v/>
      </c>
      <c r="GP1" s="19" t="str">
        <f aca="false">l_trans!$A$197</f>
        <v/>
      </c>
      <c r="GQ1" s="19" t="str">
        <f aca="false">l_trans!$A$198</f>
        <v/>
      </c>
      <c r="GR1" s="19" t="str">
        <f aca="false">l_trans!$A$199</f>
        <v/>
      </c>
      <c r="GS1" s="19" t="str">
        <f aca="false">l_trans!$A$200</f>
        <v/>
      </c>
      <c r="GT1" s="19" t="str">
        <f aca="false">l_trans!$A$201</f>
        <v/>
      </c>
      <c r="GU1" s="19" t="str">
        <f aca="false">l_trans!$A$202</f>
        <v/>
      </c>
    </row>
    <row r="2" customFormat="false" ht="16" hidden="false" customHeight="false" outlineLevel="0" collapsed="false">
      <c r="A2" s="20" t="str">
        <f aca="false">l_cons!$A3</f>
        <v>unknown_elements</v>
      </c>
      <c r="AG2" s="1" t="n">
        <v>1</v>
      </c>
    </row>
    <row r="3" customFormat="false" ht="16" hidden="false" customHeight="false" outlineLevel="0" collapsed="false">
      <c r="A3" s="20" t="str">
        <f aca="false">l_cons!$A4</f>
        <v>C</v>
      </c>
    </row>
    <row r="4" customFormat="false" ht="16" hidden="false" customHeight="false" outlineLevel="0" collapsed="false">
      <c r="A4" s="20" t="str">
        <f aca="false">l_cons!$A5</f>
        <v>Ca</v>
      </c>
    </row>
    <row r="5" customFormat="false" ht="16" hidden="false" customHeight="false" outlineLevel="0" collapsed="false">
      <c r="A5" s="20" t="str">
        <f aca="false">l_cons!$A6</f>
        <v>Cl</v>
      </c>
    </row>
    <row r="6" customFormat="false" ht="16" hidden="false" customHeight="false" outlineLevel="0" collapsed="false">
      <c r="A6" s="20" t="str">
        <f aca="false">l_cons!$A7</f>
        <v>F</v>
      </c>
    </row>
    <row r="7" customFormat="false" ht="16" hidden="false" customHeight="false" outlineLevel="0" collapsed="false">
      <c r="A7" s="20" t="str">
        <f aca="false">l_cons!$A8</f>
        <v>H</v>
      </c>
    </row>
    <row r="8" customFormat="false" ht="16" hidden="false" customHeight="false" outlineLevel="0" collapsed="false">
      <c r="A8" s="20" t="str">
        <f aca="false">l_cons!$A9</f>
        <v>K</v>
      </c>
    </row>
    <row r="9" customFormat="false" ht="16" hidden="false" customHeight="false" outlineLevel="0" collapsed="false">
      <c r="A9" s="20" t="str">
        <f aca="false">l_cons!$A10</f>
        <v>N</v>
      </c>
    </row>
    <row r="10" customFormat="false" ht="16" hidden="false" customHeight="false" outlineLevel="0" collapsed="false">
      <c r="A10" s="20" t="str">
        <f aca="false">l_cons!$A11</f>
        <v>Na</v>
      </c>
    </row>
    <row r="11" customFormat="false" ht="16" hidden="false" customHeight="false" outlineLevel="0" collapsed="false">
      <c r="A11" s="20" t="str">
        <f aca="false">l_cons!$A12</f>
        <v>O</v>
      </c>
    </row>
    <row r="12" customFormat="false" ht="16" hidden="false" customHeight="false" outlineLevel="0" collapsed="false">
      <c r="A12" s="20" t="str">
        <f aca="false">l_cons!$A13</f>
        <v>P</v>
      </c>
    </row>
    <row r="13" customFormat="false" ht="16" hidden="false" customHeight="false" outlineLevel="0" collapsed="false">
      <c r="A13" s="20" t="str">
        <f aca="false">l_cons!$A14</f>
        <v>S</v>
      </c>
    </row>
    <row r="14" customFormat="false" ht="16" hidden="false" customHeight="false" outlineLevel="0" collapsed="false">
      <c r="A14" s="20" t="str">
        <f aca="false">l_cons!$A15</f>
        <v>Ag</v>
      </c>
    </row>
    <row r="15" customFormat="false" ht="16" hidden="false" customHeight="false" outlineLevel="0" collapsed="false">
      <c r="A15" s="20" t="str">
        <f aca="false">l_cons!$A16</f>
        <v>Al</v>
      </c>
    </row>
    <row r="16" customFormat="false" ht="16" hidden="false" customHeight="false" outlineLevel="0" collapsed="false">
      <c r="A16" s="20" t="str">
        <f aca="false">l_cons!$A17</f>
        <v>Ar</v>
      </c>
    </row>
    <row r="17" customFormat="false" ht="16" hidden="false" customHeight="false" outlineLevel="0" collapsed="false">
      <c r="A17" s="20" t="str">
        <f aca="false">l_cons!$A18</f>
        <v>As</v>
      </c>
    </row>
    <row r="18" customFormat="false" ht="16" hidden="false" customHeight="false" outlineLevel="0" collapsed="false">
      <c r="A18" s="20" t="str">
        <f aca="false">l_cons!$A19</f>
        <v>Cd</v>
      </c>
    </row>
    <row r="19" customFormat="false" ht="16" hidden="false" customHeight="false" outlineLevel="0" collapsed="false">
      <c r="A19" s="20" t="str">
        <f aca="false">l_cons!$A20</f>
        <v>Co</v>
      </c>
    </row>
    <row r="20" customFormat="false" ht="16" hidden="false" customHeight="false" outlineLevel="0" collapsed="false">
      <c r="A20" s="20" t="str">
        <f aca="false">l_cons!$A21</f>
        <v>Cr</v>
      </c>
    </row>
    <row r="21" customFormat="false" ht="16" hidden="false" customHeight="false" outlineLevel="0" collapsed="false">
      <c r="A21" s="20" t="str">
        <f aca="false">l_cons!$A22</f>
        <v>Cu</v>
      </c>
    </row>
    <row r="22" customFormat="false" ht="16" hidden="false" customHeight="false" outlineLevel="0" collapsed="false">
      <c r="A22" s="20" t="str">
        <f aca="false">l_cons!$A23</f>
        <v>Fe</v>
      </c>
    </row>
    <row r="23" customFormat="false" ht="16" hidden="false" customHeight="false" outlineLevel="0" collapsed="false">
      <c r="A23" s="20" t="str">
        <f aca="false">l_cons!$A24</f>
        <v>Hg</v>
      </c>
    </row>
    <row r="24" customFormat="false" ht="16" hidden="false" customHeight="false" outlineLevel="0" collapsed="false">
      <c r="A24" s="20" t="str">
        <f aca="false">l_cons!$A25</f>
        <v>Mg</v>
      </c>
    </row>
    <row r="25" customFormat="false" ht="16" hidden="false" customHeight="false" outlineLevel="0" collapsed="false">
      <c r="A25" s="20" t="str">
        <f aca="false">l_cons!$A26</f>
        <v>Mn</v>
      </c>
    </row>
    <row r="26" customFormat="false" ht="16" hidden="false" customHeight="false" outlineLevel="0" collapsed="false">
      <c r="A26" s="20" t="str">
        <f aca="false">l_cons!$A27</f>
        <v>Mo</v>
      </c>
    </row>
    <row r="27" customFormat="false" ht="16" hidden="false" customHeight="false" outlineLevel="0" collapsed="false">
      <c r="A27" s="20" t="str">
        <f aca="false">l_cons!$A28</f>
        <v>Ni</v>
      </c>
    </row>
    <row r="28" customFormat="false" ht="16" hidden="false" customHeight="false" outlineLevel="0" collapsed="false">
      <c r="A28" s="20" t="str">
        <f aca="false">l_cons!$A29</f>
        <v>Pb</v>
      </c>
    </row>
    <row r="29" customFormat="false" ht="16" hidden="false" customHeight="false" outlineLevel="0" collapsed="false">
      <c r="A29" s="20" t="str">
        <f aca="false">l_cons!$A30</f>
        <v>Zn</v>
      </c>
    </row>
    <row r="30" customFormat="false" ht="16" hidden="false" customHeight="false" outlineLevel="0" collapsed="false">
      <c r="A30" s="20" t="str">
        <f aca="false">l_cons!$A31</f>
        <v>He</v>
      </c>
    </row>
    <row r="31" customFormat="false" ht="16" hidden="false" customHeight="false" outlineLevel="0" collapsed="false">
      <c r="A31" s="20" t="str">
        <f aca="false">l_cons!$A32</f>
        <v>Li</v>
      </c>
    </row>
    <row r="32" customFormat="false" ht="16" hidden="false" customHeight="false" outlineLevel="0" collapsed="false">
      <c r="A32" s="20" t="str">
        <f aca="false">l_cons!$A33</f>
        <v>Be</v>
      </c>
    </row>
    <row r="33" customFormat="false" ht="16" hidden="false" customHeight="false" outlineLevel="0" collapsed="false">
      <c r="A33" s="20" t="str">
        <f aca="false">l_cons!$A34</f>
        <v>B</v>
      </c>
    </row>
    <row r="34" customFormat="false" ht="16" hidden="false" customHeight="false" outlineLevel="0" collapsed="false">
      <c r="A34" s="20" t="str">
        <f aca="false">l_cons!$A35</f>
        <v>Ne</v>
      </c>
    </row>
    <row r="35" customFormat="false" ht="16" hidden="false" customHeight="false" outlineLevel="0" collapsed="false">
      <c r="A35" s="20" t="str">
        <f aca="false">l_cons!$A36</f>
        <v>Si</v>
      </c>
    </row>
    <row r="36" customFormat="false" ht="16" hidden="false" customHeight="false" outlineLevel="0" collapsed="false">
      <c r="A36" s="20" t="str">
        <f aca="false">l_cons!$A37</f>
        <v>Sc</v>
      </c>
    </row>
    <row r="37" customFormat="false" ht="16" hidden="false" customHeight="false" outlineLevel="0" collapsed="false">
      <c r="A37" s="20" t="str">
        <f aca="false">l_cons!$A38</f>
        <v>Ti</v>
      </c>
    </row>
    <row r="38" customFormat="false" ht="16" hidden="false" customHeight="false" outlineLevel="0" collapsed="false">
      <c r="A38" s="20" t="str">
        <f aca="false">l_cons!$A39</f>
        <v>V</v>
      </c>
      <c r="B38" s="1" t="str">
        <f aca="false">l_trans!$A40</f>
        <v>Be n.e.s.</v>
      </c>
    </row>
    <row r="39" customFormat="false" ht="16" hidden="false" customHeight="false" outlineLevel="0" collapsed="false">
      <c r="A39" s="20" t="str">
        <f aca="false">l_cons!$A40</f>
        <v>Ga</v>
      </c>
      <c r="B39" s="1" t="str">
        <f aca="false">l_trans!$A41</f>
        <v>B n.e.s.</v>
      </c>
    </row>
    <row r="40" customFormat="false" ht="16" hidden="false" customHeight="false" outlineLevel="0" collapsed="false">
      <c r="A40" s="20" t="str">
        <f aca="false">l_cons!$A41</f>
        <v>Ge</v>
      </c>
      <c r="B40" s="1" t="str">
        <f aca="false">l_trans!$A42</f>
        <v>Ne n.e.s.</v>
      </c>
    </row>
    <row r="41" customFormat="false" ht="16" hidden="false" customHeight="false" outlineLevel="0" collapsed="false">
      <c r="A41" s="20" t="str">
        <f aca="false">l_cons!$A42</f>
        <v>Se</v>
      </c>
      <c r="B41" s="1" t="str">
        <f aca="false">l_trans!$A43</f>
        <v>Si n.e.s.</v>
      </c>
    </row>
    <row r="42" customFormat="false" ht="16" hidden="false" customHeight="false" outlineLevel="0" collapsed="false">
      <c r="A42" s="20" t="str">
        <f aca="false">l_cons!$A43</f>
        <v>Br</v>
      </c>
      <c r="B42" s="1" t="str">
        <f aca="false">l_trans!$A44</f>
        <v>Sc n.e.s.</v>
      </c>
    </row>
    <row r="43" customFormat="false" ht="16" hidden="false" customHeight="false" outlineLevel="0" collapsed="false">
      <c r="A43" s="20" t="str">
        <f aca="false">l_cons!$A44</f>
        <v>Kr</v>
      </c>
      <c r="B43" s="1" t="str">
        <f aca="false">l_trans!$A45</f>
        <v>Ti n.e.s.</v>
      </c>
    </row>
    <row r="44" customFormat="false" ht="16" hidden="false" customHeight="false" outlineLevel="0" collapsed="false">
      <c r="A44" s="20" t="str">
        <f aca="false">l_cons!$A45</f>
        <v>Rb</v>
      </c>
      <c r="B44" s="1" t="str">
        <f aca="false">l_trans!$A46</f>
        <v>V n.e.s.</v>
      </c>
    </row>
    <row r="45" customFormat="false" ht="16" hidden="false" customHeight="false" outlineLevel="0" collapsed="false">
      <c r="A45" s="20" t="str">
        <f aca="false">l_cons!$A46</f>
        <v>Sr</v>
      </c>
      <c r="B45" s="1" t="str">
        <f aca="false">l_trans!$A47</f>
        <v>Ga n.e.s.</v>
      </c>
    </row>
    <row r="46" customFormat="false" ht="16" hidden="false" customHeight="false" outlineLevel="0" collapsed="false">
      <c r="A46" s="20" t="str">
        <f aca="false">l_cons!$A47</f>
        <v>Y</v>
      </c>
      <c r="B46" s="1" t="str">
        <f aca="false">l_trans!$A48</f>
        <v>Ge n.e.s.</v>
      </c>
    </row>
    <row r="47" customFormat="false" ht="16" hidden="false" customHeight="false" outlineLevel="0" collapsed="false">
      <c r="A47" s="20" t="str">
        <f aca="false">l_cons!$A48</f>
        <v>Zr</v>
      </c>
      <c r="B47" s="1" t="str">
        <f aca="false">l_trans!$A49</f>
        <v>Se n.e.s.</v>
      </c>
    </row>
    <row r="48" customFormat="false" ht="16" hidden="false" customHeight="false" outlineLevel="0" collapsed="false">
      <c r="A48" s="20" t="str">
        <f aca="false">l_cons!$A49</f>
        <v>Nb</v>
      </c>
      <c r="B48" s="1" t="str">
        <f aca="false">l_trans!$A50</f>
        <v>Br n.e.s.</v>
      </c>
    </row>
    <row r="49" customFormat="false" ht="16" hidden="false" customHeight="false" outlineLevel="0" collapsed="false">
      <c r="A49" s="20" t="str">
        <f aca="false">l_cons!$A50</f>
        <v>Tc</v>
      </c>
      <c r="B49" s="1" t="str">
        <f aca="false">l_trans!$A51</f>
        <v>Kr n.e.s.</v>
      </c>
    </row>
    <row r="50" customFormat="false" ht="16" hidden="false" customHeight="false" outlineLevel="0" collapsed="false">
      <c r="A50" s="20" t="str">
        <f aca="false">l_cons!$A51</f>
        <v>Ru</v>
      </c>
      <c r="B50" s="1" t="str">
        <f aca="false">l_trans!$A52</f>
        <v>Rb n.e.s.</v>
      </c>
    </row>
    <row r="51" customFormat="false" ht="16" hidden="false" customHeight="false" outlineLevel="0" collapsed="false">
      <c r="A51" s="20" t="str">
        <f aca="false">l_cons!$A52</f>
        <v>Rh</v>
      </c>
      <c r="B51" s="1" t="str">
        <f aca="false">l_trans!$A53</f>
        <v>Sr n.e.s.</v>
      </c>
    </row>
    <row r="52" customFormat="false" ht="16" hidden="false" customHeight="false" outlineLevel="0" collapsed="false">
      <c r="A52" s="20" t="str">
        <f aca="false">l_cons!$A53</f>
        <v>Pd</v>
      </c>
      <c r="B52" s="1" t="str">
        <f aca="false">l_trans!$A54</f>
        <v>Y n.e.s.</v>
      </c>
    </row>
    <row r="53" customFormat="false" ht="16" hidden="false" customHeight="false" outlineLevel="0" collapsed="false">
      <c r="A53" s="20" t="str">
        <f aca="false">l_cons!$A54</f>
        <v>In</v>
      </c>
      <c r="B53" s="1" t="str">
        <f aca="false">l_trans!$A55</f>
        <v>Zr n.e.s.</v>
      </c>
    </row>
    <row r="54" customFormat="false" ht="16" hidden="false" customHeight="false" outlineLevel="0" collapsed="false">
      <c r="A54" s="20" t="str">
        <f aca="false">l_cons!$A55</f>
        <v>Sn</v>
      </c>
      <c r="B54" s="1" t="str">
        <f aca="false">l_trans!$A56</f>
        <v>Nb n.e.s.</v>
      </c>
    </row>
    <row r="55" customFormat="false" ht="16" hidden="false" customHeight="false" outlineLevel="0" collapsed="false">
      <c r="A55" s="20" t="str">
        <f aca="false">l_cons!$A56</f>
        <v>Sb</v>
      </c>
      <c r="B55" s="1" t="str">
        <f aca="false">l_trans!$A57</f>
        <v>Tc n.e.s.</v>
      </c>
    </row>
    <row r="56" customFormat="false" ht="16" hidden="false" customHeight="false" outlineLevel="0" collapsed="false">
      <c r="A56" s="20" t="str">
        <f aca="false">l_cons!$A57</f>
        <v>Te</v>
      </c>
      <c r="B56" s="1" t="str">
        <f aca="false">l_trans!$A58</f>
        <v>Ru n.e.s.</v>
      </c>
    </row>
    <row r="57" customFormat="false" ht="16" hidden="false" customHeight="false" outlineLevel="0" collapsed="false">
      <c r="A57" s="20" t="str">
        <f aca="false">l_cons!$A58</f>
        <v>I</v>
      </c>
      <c r="B57" s="1" t="str">
        <f aca="false">l_trans!$A59</f>
        <v>Rh n.e.s.</v>
      </c>
    </row>
    <row r="58" customFormat="false" ht="16" hidden="false" customHeight="false" outlineLevel="0" collapsed="false">
      <c r="A58" s="20" t="str">
        <f aca="false">l_cons!$A59</f>
        <v>Xe</v>
      </c>
      <c r="B58" s="1" t="str">
        <f aca="false">l_trans!$A60</f>
        <v>Pd n.e.s.</v>
      </c>
    </row>
    <row r="59" customFormat="false" ht="16" hidden="false" customHeight="false" outlineLevel="0" collapsed="false">
      <c r="A59" s="20" t="str">
        <f aca="false">l_cons!$A60</f>
        <v>Cs</v>
      </c>
      <c r="B59" s="1" t="str">
        <f aca="false">l_trans!$A61</f>
        <v>In n.e.s.</v>
      </c>
    </row>
    <row r="60" customFormat="false" ht="16" hidden="false" customHeight="false" outlineLevel="0" collapsed="false">
      <c r="A60" s="20" t="str">
        <f aca="false">l_cons!$A61</f>
        <v>Ba</v>
      </c>
      <c r="B60" s="1" t="str">
        <f aca="false">l_trans!$A62</f>
        <v>Sn n.e.s.</v>
      </c>
    </row>
    <row r="61" customFormat="false" ht="16" hidden="false" customHeight="false" outlineLevel="0" collapsed="false">
      <c r="A61" s="20" t="str">
        <f aca="false">l_cons!$A62</f>
        <v>La</v>
      </c>
      <c r="B61" s="1" t="str">
        <f aca="false">l_trans!$A63</f>
        <v>Sb n.e.s.</v>
      </c>
    </row>
    <row r="62" customFormat="false" ht="16" hidden="false" customHeight="false" outlineLevel="0" collapsed="false">
      <c r="A62" s="20" t="str">
        <f aca="false">l_cons!$A63</f>
        <v>Ce</v>
      </c>
      <c r="B62" s="1" t="str">
        <f aca="false">l_trans!$A64</f>
        <v>Te n.e.s.</v>
      </c>
    </row>
    <row r="63" customFormat="false" ht="16" hidden="false" customHeight="false" outlineLevel="0" collapsed="false">
      <c r="A63" s="20" t="str">
        <f aca="false">l_cons!$A64</f>
        <v>Pr</v>
      </c>
      <c r="B63" s="1" t="str">
        <f aca="false">l_trans!$A65</f>
        <v>I n.e.s.</v>
      </c>
    </row>
    <row r="64" customFormat="false" ht="16" hidden="false" customHeight="false" outlineLevel="0" collapsed="false">
      <c r="A64" s="20" t="str">
        <f aca="false">l_cons!$A65</f>
        <v>Nd</v>
      </c>
      <c r="B64" s="1" t="str">
        <f aca="false">l_trans!$A66</f>
        <v>Xe n.e.s.</v>
      </c>
    </row>
    <row r="65" customFormat="false" ht="16" hidden="false" customHeight="false" outlineLevel="0" collapsed="false">
      <c r="A65" s="20" t="str">
        <f aca="false">l_cons!$A66</f>
        <v>Pm</v>
      </c>
      <c r="B65" s="1" t="str">
        <f aca="false">l_trans!$A67</f>
        <v>Cs n.e.s.</v>
      </c>
    </row>
    <row r="66" customFormat="false" ht="16" hidden="false" customHeight="false" outlineLevel="0" collapsed="false">
      <c r="A66" s="20" t="str">
        <f aca="false">l_cons!$A67</f>
        <v>Sm</v>
      </c>
      <c r="B66" s="1" t="str">
        <f aca="false">l_trans!$A68</f>
        <v>Ba n.e.s.</v>
      </c>
    </row>
    <row r="67" customFormat="false" ht="16" hidden="false" customHeight="false" outlineLevel="0" collapsed="false">
      <c r="A67" s="20" t="str">
        <f aca="false">l_cons!$A68</f>
        <v>Eu</v>
      </c>
      <c r="B67" s="1" t="str">
        <f aca="false">l_trans!$A69</f>
        <v>La n.e.s.</v>
      </c>
    </row>
    <row r="68" customFormat="false" ht="16" hidden="false" customHeight="false" outlineLevel="0" collapsed="false">
      <c r="A68" s="20" t="str">
        <f aca="false">l_cons!$A69</f>
        <v>Gd</v>
      </c>
      <c r="B68" s="1" t="str">
        <f aca="false">l_trans!$A70</f>
        <v>Ce n.e.s.</v>
      </c>
    </row>
    <row r="69" customFormat="false" ht="16" hidden="false" customHeight="false" outlineLevel="0" collapsed="false">
      <c r="A69" s="20" t="str">
        <f aca="false">l_cons!$A70</f>
        <v>Tb</v>
      </c>
      <c r="B69" s="1" t="str">
        <f aca="false">l_trans!$A71</f>
        <v>Pr n.e.s.</v>
      </c>
    </row>
    <row r="70" customFormat="false" ht="16" hidden="false" customHeight="false" outlineLevel="0" collapsed="false">
      <c r="A70" s="20" t="str">
        <f aca="false">l_cons!$A71</f>
        <v>Dy</v>
      </c>
      <c r="B70" s="1" t="str">
        <f aca="false">l_trans!$A72</f>
        <v>Nd n.e.s.</v>
      </c>
    </row>
    <row r="71" customFormat="false" ht="16" hidden="false" customHeight="false" outlineLevel="0" collapsed="false">
      <c r="A71" s="20" t="str">
        <f aca="false">l_cons!$A72</f>
        <v>Ho</v>
      </c>
      <c r="B71" s="1" t="str">
        <f aca="false">l_trans!$A73</f>
        <v>Pm n.e.s.</v>
      </c>
    </row>
    <row r="72" customFormat="false" ht="16" hidden="false" customHeight="false" outlineLevel="0" collapsed="false">
      <c r="A72" s="20" t="str">
        <f aca="false">l_cons!$A73</f>
        <v>Er</v>
      </c>
      <c r="B72" s="1" t="str">
        <f aca="false">l_trans!$A74</f>
        <v>Sm n.e.s.</v>
      </c>
    </row>
    <row r="73" customFormat="false" ht="16" hidden="false" customHeight="false" outlineLevel="0" collapsed="false">
      <c r="A73" s="20" t="str">
        <f aca="false">l_cons!$A74</f>
        <v>Tm</v>
      </c>
      <c r="B73" s="1" t="str">
        <f aca="false">l_trans!$A75</f>
        <v>Eu n.e.s.</v>
      </c>
    </row>
    <row r="74" customFormat="false" ht="16" hidden="false" customHeight="false" outlineLevel="0" collapsed="false">
      <c r="A74" s="20" t="str">
        <f aca="false">l_cons!$A75</f>
        <v>Yb</v>
      </c>
      <c r="B74" s="1" t="str">
        <f aca="false">l_trans!$A76</f>
        <v>Gd n.e.s.</v>
      </c>
    </row>
    <row r="75" customFormat="false" ht="16" hidden="false" customHeight="false" outlineLevel="0" collapsed="false">
      <c r="A75" s="20" t="str">
        <f aca="false">l_cons!$A76</f>
        <v>Lu</v>
      </c>
      <c r="B75" s="1" t="str">
        <f aca="false">l_trans!$A77</f>
        <v>Tb n.e.s.</v>
      </c>
    </row>
    <row r="76" customFormat="false" ht="16" hidden="false" customHeight="false" outlineLevel="0" collapsed="false">
      <c r="A76" s="20" t="str">
        <f aca="false">l_cons!$A77</f>
        <v>Hf</v>
      </c>
      <c r="B76" s="1" t="str">
        <f aca="false">l_trans!$A78</f>
        <v>Dy n.e.s.</v>
      </c>
    </row>
    <row r="77" customFormat="false" ht="16" hidden="false" customHeight="false" outlineLevel="0" collapsed="false">
      <c r="A77" s="20" t="str">
        <f aca="false">l_cons!$A78</f>
        <v>Ta</v>
      </c>
      <c r="B77" s="1" t="str">
        <f aca="false">l_trans!$A79</f>
        <v>Ho n.e.s.</v>
      </c>
    </row>
    <row r="78" customFormat="false" ht="16" hidden="false" customHeight="false" outlineLevel="0" collapsed="false">
      <c r="A78" s="20" t="str">
        <f aca="false">l_cons!$A79</f>
        <v>W</v>
      </c>
      <c r="B78" s="1" t="str">
        <f aca="false">l_trans!$A80</f>
        <v>Er n.e.s.</v>
      </c>
    </row>
    <row r="79" customFormat="false" ht="16" hidden="false" customHeight="false" outlineLevel="0" collapsed="false">
      <c r="A79" s="20" t="str">
        <f aca="false">l_cons!$A80</f>
        <v>Re</v>
      </c>
      <c r="B79" s="1" t="str">
        <f aca="false">l_trans!$A81</f>
        <v>Tm n.e.s.</v>
      </c>
    </row>
    <row r="80" customFormat="false" ht="16" hidden="false" customHeight="false" outlineLevel="0" collapsed="false">
      <c r="A80" s="20" t="str">
        <f aca="false">l_cons!$A81</f>
        <v>Os</v>
      </c>
      <c r="B80" s="1" t="str">
        <f aca="false">l_trans!$A82</f>
        <v>Yb n.e.s.</v>
      </c>
    </row>
    <row r="81" customFormat="false" ht="16" hidden="false" customHeight="false" outlineLevel="0" collapsed="false">
      <c r="A81" s="20" t="str">
        <f aca="false">l_cons!$A82</f>
        <v>Ir</v>
      </c>
      <c r="B81" s="1" t="str">
        <f aca="false">l_trans!$A83</f>
        <v>Lu n.e.s.</v>
      </c>
    </row>
    <row r="82" customFormat="false" ht="16" hidden="false" customHeight="false" outlineLevel="0" collapsed="false">
      <c r="A82" s="20" t="str">
        <f aca="false">l_cons!$A83</f>
        <v>Pt</v>
      </c>
      <c r="B82" s="1" t="str">
        <f aca="false">l_trans!$A84</f>
        <v>Hf n.e.s.</v>
      </c>
    </row>
    <row r="83" customFormat="false" ht="16" hidden="false" customHeight="false" outlineLevel="0" collapsed="false">
      <c r="A83" s="20" t="str">
        <f aca="false">l_cons!$A84</f>
        <v>Au</v>
      </c>
      <c r="B83" s="1" t="str">
        <f aca="false">l_trans!$A85</f>
        <v>Ta n.e.s.</v>
      </c>
    </row>
    <row r="84" customFormat="false" ht="16" hidden="false" customHeight="false" outlineLevel="0" collapsed="false">
      <c r="A84" s="20" t="str">
        <f aca="false">l_cons!$A85</f>
        <v>Tl</v>
      </c>
      <c r="B84" s="1" t="str">
        <f aca="false">l_trans!$A86</f>
        <v>W n.e.s.</v>
      </c>
    </row>
    <row r="85" customFormat="false" ht="16" hidden="false" customHeight="false" outlineLevel="0" collapsed="false">
      <c r="A85" s="20" t="str">
        <f aca="false">l_cons!$A86</f>
        <v>Bi</v>
      </c>
      <c r="B85" s="1" t="str">
        <f aca="false">l_trans!$A87</f>
        <v>Re n.e.s.</v>
      </c>
    </row>
    <row r="86" customFormat="false" ht="16" hidden="false" customHeight="false" outlineLevel="0" collapsed="false">
      <c r="A86" s="20" t="str">
        <f aca="false">l_cons!$A87</f>
        <v>Po</v>
      </c>
      <c r="B86" s="1" t="str">
        <f aca="false">l_trans!$A88</f>
        <v>Os n.e.s.</v>
      </c>
    </row>
    <row r="87" customFormat="false" ht="16" hidden="false" customHeight="false" outlineLevel="0" collapsed="false">
      <c r="A87" s="20" t="str">
        <f aca="false">l_cons!$A88</f>
        <v>At</v>
      </c>
      <c r="B87" s="1" t="str">
        <f aca="false">l_trans!$A89</f>
        <v>Ir n.e.s.</v>
      </c>
    </row>
    <row r="88" customFormat="false" ht="16" hidden="false" customHeight="false" outlineLevel="0" collapsed="false">
      <c r="A88" s="20" t="str">
        <f aca="false">l_cons!$A89</f>
        <v>Rn</v>
      </c>
      <c r="B88" s="1" t="str">
        <f aca="false">l_trans!$A90</f>
        <v>Pt n.e.s.</v>
      </c>
    </row>
    <row r="89" customFormat="false" ht="16" hidden="false" customHeight="false" outlineLevel="0" collapsed="false">
      <c r="A89" s="20" t="str">
        <f aca="false">l_cons!$A90</f>
        <v>Fr</v>
      </c>
      <c r="B89" s="1" t="str">
        <f aca="false">l_trans!$A91</f>
        <v>Au n.e.s.</v>
      </c>
    </row>
    <row r="90" customFormat="false" ht="16" hidden="false" customHeight="false" outlineLevel="0" collapsed="false">
      <c r="A90" s="20" t="str">
        <f aca="false">l_cons!$A91</f>
        <v>Ra</v>
      </c>
      <c r="B90" s="1" t="str">
        <f aca="false">l_trans!$A92</f>
        <v>Tl n.e.s.</v>
      </c>
    </row>
    <row r="91" customFormat="false" ht="16" hidden="false" customHeight="false" outlineLevel="0" collapsed="false">
      <c r="A91" s="20" t="str">
        <f aca="false">l_cons!$A92</f>
        <v>Ac</v>
      </c>
      <c r="B91" s="1" t="str">
        <f aca="false">l_trans!$A93</f>
        <v>Bi n.e.s.</v>
      </c>
    </row>
    <row r="92" customFormat="false" ht="16" hidden="false" customHeight="false" outlineLevel="0" collapsed="false">
      <c r="A92" s="20" t="str">
        <f aca="false">l_cons!$A93</f>
        <v>Th</v>
      </c>
      <c r="B92" s="1" t="str">
        <f aca="false">l_trans!$A94</f>
        <v>Po n.e.s.</v>
      </c>
    </row>
    <row r="93" customFormat="false" ht="16" hidden="false" customHeight="false" outlineLevel="0" collapsed="false">
      <c r="A93" s="20" t="str">
        <f aca="false">l_cons!$A94</f>
        <v>Pa</v>
      </c>
      <c r="B93" s="1" t="str">
        <f aca="false">l_trans!$A95</f>
        <v>At n.e.s.</v>
      </c>
    </row>
    <row r="94" customFormat="false" ht="16" hidden="false" customHeight="false" outlineLevel="0" collapsed="false">
      <c r="A94" s="20" t="str">
        <f aca="false">l_cons!$A95</f>
        <v>U</v>
      </c>
      <c r="B94" s="1" t="str">
        <f aca="false">l_trans!$A96</f>
        <v>Rn n.e.s.</v>
      </c>
    </row>
    <row r="95" customFormat="false" ht="16" hidden="false" customHeight="false" outlineLevel="0" collapsed="false">
      <c r="A95" s="20" t="str">
        <f aca="false">l_cons!$A96</f>
        <v>Np</v>
      </c>
      <c r="B95" s="1" t="str">
        <f aca="false">l_trans!$A97</f>
        <v>Fr n.e.s.</v>
      </c>
    </row>
    <row r="96" customFormat="false" ht="16" hidden="false" customHeight="false" outlineLevel="0" collapsed="false">
      <c r="A96" s="20" t="str">
        <f aca="false">l_cons!$A97</f>
        <v>Pu</v>
      </c>
      <c r="B96" s="1" t="str">
        <f aca="false">l_trans!$A98</f>
        <v>Ra n.e.s.</v>
      </c>
    </row>
    <row r="97" customFormat="false" ht="16" hidden="false" customHeight="false" outlineLevel="0" collapsed="false">
      <c r="A97" s="20" t="str">
        <f aca="false">l_cons!$A98</f>
        <v>Am</v>
      </c>
      <c r="B97" s="1" t="str">
        <f aca="false">l_trans!$A99</f>
        <v>Ac n.e.s.</v>
      </c>
    </row>
    <row r="98" customFormat="false" ht="16" hidden="false" customHeight="false" outlineLevel="0" collapsed="false">
      <c r="A98" s="20" t="str">
        <f aca="false">l_cons!$A99</f>
        <v>Cm</v>
      </c>
      <c r="B98" s="1" t="str">
        <f aca="false">l_trans!$A100</f>
        <v>Th n.e.s.</v>
      </c>
    </row>
    <row r="99" customFormat="false" ht="16" hidden="false" customHeight="false" outlineLevel="0" collapsed="false">
      <c r="A99" s="20" t="str">
        <f aca="false">l_cons!$A100</f>
        <v>Bk</v>
      </c>
      <c r="B99" s="1" t="str">
        <f aca="false">l_trans!$A101</f>
        <v>Pa n.e.s.</v>
      </c>
    </row>
    <row r="100" customFormat="false" ht="16" hidden="false" customHeight="false" outlineLevel="0" collapsed="false">
      <c r="A100" s="20" t="str">
        <f aca="false">l_cons!$A101</f>
        <v>Cf</v>
      </c>
      <c r="B100" s="1" t="str">
        <f aca="false">l_trans!$A102</f>
        <v>U n.e.s.</v>
      </c>
    </row>
    <row r="101" customFormat="false" ht="16" hidden="false" customHeight="false" outlineLevel="0" collapsed="false">
      <c r="A101" s="20" t="str">
        <f aca="false">l_cons!$A102</f>
        <v>Es</v>
      </c>
      <c r="B101" s="1" t="str">
        <f aca="false">l_trans!$A103</f>
        <v>Np n.e.s.</v>
      </c>
    </row>
    <row r="102" customFormat="false" ht="16" hidden="false" customHeight="false" outlineLevel="0" collapsed="false">
      <c r="A102" s="20" t="str">
        <f aca="false">l_cons!$A103</f>
        <v>Fm</v>
      </c>
      <c r="B102" s="1" t="str">
        <f aca="false">l_trans!$A104</f>
        <v>Pu n.e.s.</v>
      </c>
    </row>
    <row r="103" customFormat="false" ht="16" hidden="false" customHeight="false" outlineLevel="0" collapsed="false">
      <c r="A103" s="20" t="str">
        <f aca="false">l_cons!$A104</f>
        <v>Md</v>
      </c>
      <c r="B103" s="1" t="str">
        <f aca="false">l_trans!$A105</f>
        <v>Am n.e.s.</v>
      </c>
    </row>
    <row r="104" customFormat="false" ht="16" hidden="false" customHeight="false" outlineLevel="0" collapsed="false">
      <c r="A104" s="20" t="str">
        <f aca="false">l_cons!$A105</f>
        <v>No</v>
      </c>
      <c r="B104" s="1" t="str">
        <f aca="false">l_trans!$A106</f>
        <v>Cm n.e.s.</v>
      </c>
    </row>
    <row r="105" customFormat="false" ht="16" hidden="false" customHeight="false" outlineLevel="0" collapsed="false">
      <c r="A105" s="20" t="str">
        <f aca="false">l_cons!$A106</f>
        <v>Lr</v>
      </c>
      <c r="B105" s="1" t="str">
        <f aca="false">l_trans!$A107</f>
        <v>Bk n.e.s.</v>
      </c>
    </row>
    <row r="106" customFormat="false" ht="16" hidden="false" customHeight="false" outlineLevel="0" collapsed="false">
      <c r="A106" s="20" t="str">
        <f aca="false">l_cons!$A107</f>
        <v>Rf</v>
      </c>
      <c r="B106" s="1" t="str">
        <f aca="false">l_trans!$A108</f>
        <v>Cf n.e.s.</v>
      </c>
    </row>
    <row r="107" customFormat="false" ht="16" hidden="false" customHeight="false" outlineLevel="0" collapsed="false">
      <c r="A107" s="20" t="str">
        <f aca="false">l_cons!$A108</f>
        <v>Db</v>
      </c>
      <c r="B107" s="1" t="str">
        <f aca="false">l_trans!$A109</f>
        <v>Es n.e.s.</v>
      </c>
    </row>
    <row r="108" customFormat="false" ht="16" hidden="false" customHeight="false" outlineLevel="0" collapsed="false">
      <c r="A108" s="20" t="str">
        <f aca="false">l_cons!$A109</f>
        <v>Sg</v>
      </c>
      <c r="B108" s="1" t="str">
        <f aca="false">l_trans!$A110</f>
        <v>Fm n.e.s.</v>
      </c>
    </row>
    <row r="109" customFormat="false" ht="16" hidden="false" customHeight="false" outlineLevel="0" collapsed="false">
      <c r="A109" s="20" t="str">
        <f aca="false">l_cons!$A110</f>
        <v>Bh</v>
      </c>
      <c r="B109" s="1" t="str">
        <f aca="false">l_trans!$A111</f>
        <v>Md n.e.s.</v>
      </c>
    </row>
    <row r="110" customFormat="false" ht="16" hidden="false" customHeight="false" outlineLevel="0" collapsed="false">
      <c r="A110" s="20" t="str">
        <f aca="false">l_cons!$A111</f>
        <v>Hs</v>
      </c>
      <c r="B110" s="1" t="str">
        <f aca="false">l_trans!$A112</f>
        <v>No n.e.s.</v>
      </c>
    </row>
    <row r="111" customFormat="false" ht="16" hidden="false" customHeight="false" outlineLevel="0" collapsed="false">
      <c r="A111" s="20" t="str">
        <f aca="false">l_cons!$A112</f>
        <v>Mt</v>
      </c>
      <c r="B111" s="1" t="str">
        <f aca="false">l_trans!$A113</f>
        <v>Lr n.e.s.</v>
      </c>
    </row>
    <row r="112" customFormat="false" ht="16" hidden="false" customHeight="false" outlineLevel="0" collapsed="false">
      <c r="A112" s="20" t="str">
        <f aca="false">l_cons!$A113</f>
        <v>Ds</v>
      </c>
      <c r="B112" s="1" t="str">
        <f aca="false">l_trans!$A114</f>
        <v>Rf n.e.s.</v>
      </c>
    </row>
    <row r="113" customFormat="false" ht="16" hidden="false" customHeight="false" outlineLevel="0" collapsed="false">
      <c r="A113" s="20" t="str">
        <f aca="false">l_cons!$A114</f>
        <v>Rg</v>
      </c>
      <c r="B113" s="1" t="str">
        <f aca="false">l_trans!$A115</f>
        <v>Db n.e.s.</v>
      </c>
    </row>
    <row r="114" customFormat="false" ht="16" hidden="false" customHeight="false" outlineLevel="0" collapsed="false">
      <c r="A114" s="20" t="str">
        <f aca="false">l_cons!$A115</f>
        <v>Cn</v>
      </c>
      <c r="B114" s="1" t="str">
        <f aca="false">l_trans!$A116</f>
        <v>Sg n.e.s.</v>
      </c>
    </row>
    <row r="115" customFormat="false" ht="16" hidden="false" customHeight="false" outlineLevel="0" collapsed="false">
      <c r="A115" s="20" t="str">
        <f aca="false">l_cons!$A116</f>
        <v>Nh</v>
      </c>
      <c r="B115" s="1" t="str">
        <f aca="false">l_trans!$A117</f>
        <v>Bh n.e.s.</v>
      </c>
    </row>
    <row r="116" customFormat="false" ht="16" hidden="false" customHeight="false" outlineLevel="0" collapsed="false">
      <c r="A116" s="20" t="str">
        <f aca="false">l_cons!$A117</f>
        <v>Fl</v>
      </c>
      <c r="B116" s="1" t="str">
        <f aca="false">l_trans!$A118</f>
        <v>Hs n.e.s.</v>
      </c>
    </row>
    <row r="117" customFormat="false" ht="16" hidden="false" customHeight="false" outlineLevel="0" collapsed="false">
      <c r="A117" s="20" t="str">
        <f aca="false">l_cons!$A118</f>
        <v>Mc</v>
      </c>
      <c r="B117" s="1" t="str">
        <f aca="false">l_trans!$A119</f>
        <v>Mt n.e.s.</v>
      </c>
    </row>
    <row r="118" customFormat="false" ht="16" hidden="false" customHeight="false" outlineLevel="0" collapsed="false">
      <c r="A118" s="20" t="str">
        <f aca="false">l_cons!$A119</f>
        <v>Lv</v>
      </c>
      <c r="B118" s="1" t="str">
        <f aca="false">l_trans!$A120</f>
        <v>Ds n.e.s.</v>
      </c>
    </row>
    <row r="119" customFormat="false" ht="16" hidden="false" customHeight="false" outlineLevel="0" collapsed="false">
      <c r="A119" s="20" t="str">
        <f aca="false">l_cons!$A120</f>
        <v>Ts</v>
      </c>
      <c r="B119" s="1" t="str">
        <f aca="false">l_trans!$A121</f>
        <v>Rg n.e.s.</v>
      </c>
    </row>
    <row r="120" customFormat="false" ht="16" hidden="false" customHeight="false" outlineLevel="0" collapsed="false">
      <c r="A120" s="20" t="str">
        <f aca="false">l_cons!$A121</f>
        <v>Og</v>
      </c>
      <c r="B120" s="1" t="str">
        <f aca="false">l_trans!$A122</f>
        <v>Cn n.e.s.</v>
      </c>
    </row>
    <row r="121" customFormat="false" ht="16" hidden="false" customHeight="false" outlineLevel="0" collapsed="false">
      <c r="A121" s="20" t="n">
        <f aca="false">l_cons!$A122</f>
        <v>0</v>
      </c>
      <c r="B121" s="1" t="str">
        <f aca="false">l_trans!$A123</f>
        <v>Nh n.e.s.</v>
      </c>
    </row>
    <row r="122" customFormat="false" ht="16" hidden="false" customHeight="false" outlineLevel="0" collapsed="false">
      <c r="A122" s="20" t="n">
        <f aca="false">l_cons!$A123</f>
        <v>0</v>
      </c>
      <c r="B122" s="1" t="str">
        <f aca="false">l_trans!$A124</f>
        <v>Fl n.e.s.</v>
      </c>
    </row>
    <row r="123" customFormat="false" ht="16" hidden="false" customHeight="false" outlineLevel="0" collapsed="false">
      <c r="A123" s="20" t="str">
        <f aca="false">l_cons!$A124</f>
        <v/>
      </c>
      <c r="B123" s="1" t="str">
        <f aca="false">l_trans!$A125</f>
        <v>Mc n.e.s.</v>
      </c>
    </row>
    <row r="124" customFormat="false" ht="16" hidden="false" customHeight="false" outlineLevel="0" collapsed="false">
      <c r="A124" s="20" t="str">
        <f aca="false">l_cons!$A125</f>
        <v/>
      </c>
      <c r="B124" s="1" t="str">
        <f aca="false">l_trans!$A126</f>
        <v>Lv n.e.s.</v>
      </c>
    </row>
    <row r="125" customFormat="false" ht="16" hidden="false" customHeight="false" outlineLevel="0" collapsed="false">
      <c r="A125" s="20" t="str">
        <f aca="false">l_cons!$A126</f>
        <v/>
      </c>
      <c r="B125" s="1" t="str">
        <f aca="false">l_trans!$A127</f>
        <v>Ts n.e.s.</v>
      </c>
    </row>
    <row r="126" customFormat="false" ht="16" hidden="false" customHeight="false" outlineLevel="0" collapsed="false">
      <c r="A126" s="20" t="str">
        <f aca="false">l_cons!$A127</f>
        <v/>
      </c>
      <c r="B126" s="1" t="str">
        <f aca="false">l_trans!$A128</f>
        <v>Og n.e.s.</v>
      </c>
    </row>
    <row r="127" customFormat="false" ht="16" hidden="false" customHeight="false" outlineLevel="0" collapsed="false">
      <c r="A127" s="20" t="str">
        <f aca="false">l_cons!$A128</f>
        <v/>
      </c>
      <c r="B127" s="1" t="str">
        <f aca="false">l_trans!$A129</f>
        <v/>
      </c>
    </row>
    <row r="128" customFormat="false" ht="16" hidden="false" customHeight="false" outlineLevel="0" collapsed="false">
      <c r="A128" s="20" t="str">
        <f aca="false">l_cons!$A129</f>
        <v/>
      </c>
      <c r="B128" s="1" t="str">
        <f aca="false">l_trans!$A130</f>
        <v/>
      </c>
    </row>
    <row r="129" customFormat="false" ht="16" hidden="false" customHeight="false" outlineLevel="0" collapsed="false">
      <c r="A129" s="20" t="str">
        <f aca="false">l_cons!$A130</f>
        <v/>
      </c>
      <c r="B129" s="1" t="str">
        <f aca="false">l_trans!$A131</f>
        <v/>
      </c>
    </row>
    <row r="130" customFormat="false" ht="16" hidden="false" customHeight="false" outlineLevel="0" collapsed="false">
      <c r="A130" s="20" t="str">
        <f aca="false">l_cons!$A131</f>
        <v/>
      </c>
      <c r="B130" s="1" t="str">
        <f aca="false">l_trans!$A132</f>
        <v/>
      </c>
    </row>
    <row r="131" customFormat="false" ht="16" hidden="false" customHeight="false" outlineLevel="0" collapsed="false">
      <c r="A131" s="20" t="str">
        <f aca="false">l_cons!$A132</f>
        <v/>
      </c>
      <c r="B131" s="1" t="str">
        <f aca="false">l_trans!$A133</f>
        <v/>
      </c>
    </row>
    <row r="132" customFormat="false" ht="16" hidden="false" customHeight="false" outlineLevel="0" collapsed="false">
      <c r="A132" s="20" t="str">
        <f aca="false">l_cons!$A133</f>
        <v/>
      </c>
      <c r="B132" s="1" t="str">
        <f aca="false">l_trans!$A134</f>
        <v/>
      </c>
    </row>
    <row r="133" customFormat="false" ht="16" hidden="false" customHeight="false" outlineLevel="0" collapsed="false">
      <c r="A133" s="20" t="str">
        <f aca="false">l_cons!$A134</f>
        <v/>
      </c>
      <c r="B133" s="1" t="str">
        <f aca="false">l_trans!$A135</f>
        <v/>
      </c>
    </row>
    <row r="134" customFormat="false" ht="16" hidden="false" customHeight="false" outlineLevel="0" collapsed="false">
      <c r="A134" s="20" t="str">
        <f aca="false">l_cons!$A135</f>
        <v/>
      </c>
      <c r="B134" s="1" t="str">
        <f aca="false">l_trans!$A136</f>
        <v/>
      </c>
    </row>
    <row r="135" customFormat="false" ht="16" hidden="false" customHeight="false" outlineLevel="0" collapsed="false">
      <c r="A135" s="20" t="str">
        <f aca="false">l_cons!$A136</f>
        <v/>
      </c>
      <c r="B135" s="1" t="str">
        <f aca="false">l_trans!$A137</f>
        <v/>
      </c>
    </row>
    <row r="136" customFormat="false" ht="16" hidden="false" customHeight="false" outlineLevel="0" collapsed="false">
      <c r="A136" s="20" t="str">
        <f aca="false">l_cons!$A137</f>
        <v/>
      </c>
      <c r="B136" s="1" t="str">
        <f aca="false">l_trans!$A138</f>
        <v/>
      </c>
    </row>
    <row r="137" customFormat="false" ht="16" hidden="false" customHeight="false" outlineLevel="0" collapsed="false">
      <c r="A137" s="20" t="str">
        <f aca="false">l_cons!$A138</f>
        <v/>
      </c>
      <c r="B137" s="1" t="str">
        <f aca="false">l_trans!$A139</f>
        <v/>
      </c>
    </row>
    <row r="138" customFormat="false" ht="16" hidden="false" customHeight="false" outlineLevel="0" collapsed="false">
      <c r="A138" s="20" t="str">
        <f aca="false">l_cons!$A139</f>
        <v/>
      </c>
      <c r="B138" s="1" t="str">
        <f aca="false">l_trans!$A140</f>
        <v/>
      </c>
    </row>
    <row r="139" customFormat="false" ht="16" hidden="false" customHeight="false" outlineLevel="0" collapsed="false">
      <c r="A139" s="20" t="str">
        <f aca="false">l_cons!$A140</f>
        <v/>
      </c>
    </row>
    <row r="140" customFormat="false" ht="16" hidden="false" customHeight="false" outlineLevel="0" collapsed="false">
      <c r="A140" s="20" t="str">
        <f aca="false">l_cons!$A141</f>
        <v/>
      </c>
    </row>
    <row r="141" customFormat="false" ht="16" hidden="false" customHeight="false" outlineLevel="0" collapsed="false">
      <c r="A141" s="20" t="str">
        <f aca="false">l_cons!$A142</f>
        <v/>
      </c>
    </row>
    <row r="142" customFormat="false" ht="16" hidden="false" customHeight="false" outlineLevel="0" collapsed="false">
      <c r="A142" s="20" t="str">
        <f aca="false">l_cons!$A143</f>
        <v/>
      </c>
    </row>
    <row r="143" customFormat="false" ht="16" hidden="false" customHeight="false" outlineLevel="0" collapsed="false">
      <c r="A143" s="20" t="str">
        <f aca="false">l_cons!$A144</f>
        <v/>
      </c>
    </row>
    <row r="144" customFormat="false" ht="16" hidden="false" customHeight="false" outlineLevel="0" collapsed="false">
      <c r="A144" s="20" t="str">
        <f aca="false">l_cons!$A145</f>
        <v/>
      </c>
    </row>
    <row r="145" customFormat="false" ht="16" hidden="false" customHeight="false" outlineLevel="0" collapsed="false">
      <c r="A145" s="20" t="str">
        <f aca="false">l_cons!$A146</f>
        <v/>
      </c>
    </row>
    <row r="146" customFormat="false" ht="16" hidden="false" customHeight="false" outlineLevel="0" collapsed="false">
      <c r="A146" s="20" t="str">
        <f aca="false">l_cons!$A147</f>
        <v/>
      </c>
    </row>
    <row r="147" customFormat="false" ht="16" hidden="false" customHeight="false" outlineLevel="0" collapsed="false">
      <c r="A147" s="20" t="str">
        <f aca="false">l_cons!$A148</f>
        <v/>
      </c>
    </row>
    <row r="148" customFormat="false" ht="16" hidden="false" customHeight="false" outlineLevel="0" collapsed="false">
      <c r="A148" s="20" t="str">
        <f aca="false">l_cons!$A149</f>
        <v/>
      </c>
    </row>
    <row r="149" customFormat="false" ht="16" hidden="false" customHeight="false" outlineLevel="0" collapsed="false">
      <c r="A149" s="20" t="str">
        <f aca="false">l_cons!$A150</f>
        <v/>
      </c>
    </row>
    <row r="150" customFormat="false" ht="16" hidden="false" customHeight="false" outlineLevel="0" collapsed="false">
      <c r="A150" s="20" t="str">
        <f aca="false">l_cons!$A151</f>
        <v/>
      </c>
    </row>
    <row r="151" customFormat="false" ht="16" hidden="false" customHeight="false" outlineLevel="0" collapsed="false">
      <c r="A151" s="20" t="str">
        <f aca="false">l_cons!$A152</f>
        <v/>
      </c>
    </row>
    <row r="152" customFormat="false" ht="16" hidden="false" customHeight="false" outlineLevel="0" collapsed="false">
      <c r="A152" s="20" t="str">
        <f aca="false">l_cons!$A153</f>
        <v/>
      </c>
    </row>
    <row r="153" customFormat="false" ht="16" hidden="false" customHeight="false" outlineLevel="0" collapsed="false">
      <c r="A153" s="20" t="str">
        <f aca="false">l_cons!$A154</f>
        <v/>
      </c>
    </row>
    <row r="154" customFormat="false" ht="16" hidden="false" customHeight="false" outlineLevel="0" collapsed="false">
      <c r="A154" s="20" t="str">
        <f aca="false">l_cons!$A155</f>
        <v/>
      </c>
    </row>
    <row r="155" customFormat="false" ht="16" hidden="false" customHeight="false" outlineLevel="0" collapsed="false">
      <c r="A155" s="20" t="str">
        <f aca="false">l_cons!$A156</f>
        <v/>
      </c>
    </row>
    <row r="156" customFormat="false" ht="16" hidden="false" customHeight="false" outlineLevel="0" collapsed="false">
      <c r="A156" s="20" t="str">
        <f aca="false">l_cons!$A157</f>
        <v/>
      </c>
    </row>
    <row r="157" customFormat="false" ht="16" hidden="false" customHeight="false" outlineLevel="0" collapsed="false">
      <c r="A157" s="20" t="str">
        <f aca="false">l_cons!$A158</f>
        <v/>
      </c>
    </row>
    <row r="158" customFormat="false" ht="16" hidden="false" customHeight="false" outlineLevel="0" collapsed="false">
      <c r="A158" s="20" t="str">
        <f aca="false">l_cons!$A159</f>
        <v/>
      </c>
    </row>
    <row r="159" customFormat="false" ht="16" hidden="false" customHeight="false" outlineLevel="0" collapsed="false">
      <c r="A159" s="20" t="str">
        <f aca="false">l_cons!$A160</f>
        <v/>
      </c>
    </row>
    <row r="160" customFormat="false" ht="16" hidden="false" customHeight="false" outlineLevel="0" collapsed="false">
      <c r="A160" s="20" t="str">
        <f aca="false">l_cons!$A161</f>
        <v/>
      </c>
    </row>
    <row r="161" customFormat="false" ht="16" hidden="false" customHeight="false" outlineLevel="0" collapsed="false">
      <c r="A161" s="20" t="str">
        <f aca="false">l_cons!$A162</f>
        <v/>
      </c>
    </row>
    <row r="162" customFormat="false" ht="16" hidden="false" customHeight="false" outlineLevel="0" collapsed="false">
      <c r="A162" s="20" t="str">
        <f aca="false">l_cons!$A163</f>
        <v/>
      </c>
    </row>
    <row r="163" customFormat="false" ht="16" hidden="false" customHeight="false" outlineLevel="0" collapsed="false">
      <c r="A163" s="20" t="str">
        <f aca="false">l_cons!$A164</f>
        <v/>
      </c>
    </row>
    <row r="164" customFormat="false" ht="16" hidden="false" customHeight="false" outlineLevel="0" collapsed="false">
      <c r="A164" s="20" t="str">
        <f aca="false">l_cons!$A165</f>
        <v/>
      </c>
    </row>
    <row r="165" customFormat="false" ht="16" hidden="false" customHeight="false" outlineLevel="0" collapsed="false">
      <c r="A165" s="20" t="str">
        <f aca="false">l_cons!$A166</f>
        <v/>
      </c>
    </row>
    <row r="166" customFormat="false" ht="16" hidden="false" customHeight="false" outlineLevel="0" collapsed="false">
      <c r="A166" s="20" t="str">
        <f aca="false">l_cons!$A167</f>
        <v/>
      </c>
    </row>
    <row r="167" customFormat="false" ht="16" hidden="false" customHeight="false" outlineLevel="0" collapsed="false">
      <c r="A167" s="20" t="str">
        <f aca="false">l_cons!$A168</f>
        <v/>
      </c>
    </row>
    <row r="168" customFormat="false" ht="16" hidden="false" customHeight="false" outlineLevel="0" collapsed="false">
      <c r="A168" s="20" t="str">
        <f aca="false">l_cons!$A169</f>
        <v/>
      </c>
    </row>
    <row r="169" customFormat="false" ht="16" hidden="false" customHeight="false" outlineLevel="0" collapsed="false">
      <c r="A169" s="20" t="str">
        <f aca="false">l_cons!$A170</f>
        <v/>
      </c>
    </row>
    <row r="170" customFormat="false" ht="16" hidden="false" customHeight="false" outlineLevel="0" collapsed="false">
      <c r="A170" s="20" t="str">
        <f aca="false">l_cons!$A171</f>
        <v/>
      </c>
    </row>
    <row r="171" customFormat="false" ht="16" hidden="false" customHeight="false" outlineLevel="0" collapsed="false">
      <c r="A171" s="20" t="str">
        <f aca="false">l_cons!$A172</f>
        <v/>
      </c>
    </row>
    <row r="172" customFormat="false" ht="16" hidden="false" customHeight="false" outlineLevel="0" collapsed="false">
      <c r="A172" s="20" t="str">
        <f aca="false">l_cons!$A173</f>
        <v/>
      </c>
    </row>
    <row r="173" customFormat="false" ht="16" hidden="false" customHeight="false" outlineLevel="0" collapsed="false">
      <c r="A173" s="20" t="str">
        <f aca="false">l_cons!$A174</f>
        <v/>
      </c>
    </row>
    <row r="174" customFormat="false" ht="16" hidden="false" customHeight="false" outlineLevel="0" collapsed="false">
      <c r="A174" s="20" t="str">
        <f aca="false">l_cons!$A175</f>
        <v/>
      </c>
    </row>
    <row r="175" customFormat="false" ht="16" hidden="false" customHeight="false" outlineLevel="0" collapsed="false">
      <c r="A175" s="20" t="str">
        <f aca="false">l_cons!$A176</f>
        <v/>
      </c>
    </row>
    <row r="176" customFormat="false" ht="16" hidden="false" customHeight="false" outlineLevel="0" collapsed="false">
      <c r="A176" s="20" t="str">
        <f aca="false">l_cons!$A177</f>
        <v/>
      </c>
    </row>
    <row r="177" customFormat="false" ht="16" hidden="false" customHeight="false" outlineLevel="0" collapsed="false">
      <c r="A177" s="20" t="str">
        <f aca="false">l_cons!$A178</f>
        <v/>
      </c>
    </row>
    <row r="178" customFormat="false" ht="16" hidden="false" customHeight="false" outlineLevel="0" collapsed="false">
      <c r="A178" s="20" t="str">
        <f aca="false">l_cons!$A179</f>
        <v/>
      </c>
    </row>
    <row r="179" customFormat="false" ht="16" hidden="false" customHeight="false" outlineLevel="0" collapsed="false">
      <c r="A179" s="20" t="str">
        <f aca="false">l_cons!$A180</f>
        <v/>
      </c>
    </row>
    <row r="180" customFormat="false" ht="16" hidden="false" customHeight="false" outlineLevel="0" collapsed="false">
      <c r="A180" s="20" t="str">
        <f aca="false">l_cons!$A181</f>
        <v/>
      </c>
    </row>
    <row r="181" customFormat="false" ht="16" hidden="false" customHeight="false" outlineLevel="0" collapsed="false">
      <c r="A181" s="20" t="str">
        <f aca="false">l_cons!$A182</f>
        <v/>
      </c>
    </row>
    <row r="182" customFormat="false" ht="16" hidden="false" customHeight="false" outlineLevel="0" collapsed="false">
      <c r="A182" s="20" t="str">
        <f aca="false">l_cons!$A183</f>
        <v/>
      </c>
    </row>
    <row r="183" customFormat="false" ht="16" hidden="false" customHeight="false" outlineLevel="0" collapsed="false">
      <c r="A183" s="20" t="str">
        <f aca="false">l_cons!$A184</f>
        <v/>
      </c>
    </row>
    <row r="184" customFormat="false" ht="16" hidden="false" customHeight="false" outlineLevel="0" collapsed="false">
      <c r="A184" s="20" t="str">
        <f aca="false">l_cons!$A185</f>
        <v/>
      </c>
    </row>
    <row r="185" customFormat="false" ht="16" hidden="false" customHeight="false" outlineLevel="0" collapsed="false">
      <c r="A185" s="20" t="str">
        <f aca="false">l_cons!$A186</f>
        <v/>
      </c>
    </row>
    <row r="186" customFormat="false" ht="16" hidden="false" customHeight="false" outlineLevel="0" collapsed="false">
      <c r="A186" s="20" t="str">
        <f aca="false">l_cons!$A187</f>
        <v/>
      </c>
    </row>
    <row r="187" customFormat="false" ht="16" hidden="false" customHeight="false" outlineLevel="0" collapsed="false">
      <c r="A187" s="20" t="str">
        <f aca="false">l_cons!$A188</f>
        <v/>
      </c>
    </row>
    <row r="188" customFormat="false" ht="16" hidden="false" customHeight="false" outlineLevel="0" collapsed="false">
      <c r="A188" s="20" t="str">
        <f aca="false">l_cons!$A189</f>
        <v/>
      </c>
    </row>
    <row r="189" customFormat="false" ht="16" hidden="false" customHeight="false" outlineLevel="0" collapsed="false">
      <c r="A189" s="20" t="str">
        <f aca="false">l_cons!$A190</f>
        <v/>
      </c>
    </row>
    <row r="190" customFormat="false" ht="16" hidden="false" customHeight="false" outlineLevel="0" collapsed="false">
      <c r="A190" s="20" t="str">
        <f aca="false">l_cons!$A191</f>
        <v/>
      </c>
    </row>
    <row r="191" customFormat="false" ht="16" hidden="false" customHeight="false" outlineLevel="0" collapsed="false">
      <c r="A191" s="20" t="str">
        <f aca="false">l_cons!$A192</f>
        <v/>
      </c>
    </row>
    <row r="192" customFormat="false" ht="16" hidden="false" customHeight="false" outlineLevel="0" collapsed="false">
      <c r="A192" s="20" t="str">
        <f aca="false">l_cons!$A193</f>
        <v/>
      </c>
    </row>
    <row r="193" customFormat="false" ht="16" hidden="false" customHeight="false" outlineLevel="0" collapsed="false">
      <c r="A193" s="20" t="str">
        <f aca="false">l_cons!$A194</f>
        <v/>
      </c>
    </row>
    <row r="194" customFormat="false" ht="16" hidden="false" customHeight="false" outlineLevel="0" collapsed="false">
      <c r="A194" s="1" t="str">
        <f aca="false">l_cons!$A195</f>
        <v/>
      </c>
    </row>
    <row r="195" customFormat="false" ht="16" hidden="false" customHeight="false" outlineLevel="0" collapsed="false">
      <c r="A195" s="1" t="str">
        <f aca="false">l_cons!$A196</f>
        <v/>
      </c>
    </row>
    <row r="196" customFormat="false" ht="16" hidden="false" customHeight="false" outlineLevel="0" collapsed="false">
      <c r="A196" s="1" t="str">
        <f aca="false">l_cons!$A197</f>
        <v/>
      </c>
    </row>
    <row r="197" customFormat="false" ht="16" hidden="false" customHeight="false" outlineLevel="0" collapsed="false">
      <c r="A197" s="1" t="str">
        <f aca="false">l_cons!$A198</f>
        <v/>
      </c>
    </row>
    <row r="198" customFormat="false" ht="16" hidden="false" customHeight="false" outlineLevel="0" collapsed="false">
      <c r="A198" s="1" t="str">
        <f aca="false">l_cons!$A199</f>
        <v/>
      </c>
    </row>
    <row r="199" customFormat="false" ht="16" hidden="false" customHeight="false" outlineLevel="0" collapsed="false">
      <c r="A199" s="1" t="str">
        <f aca="false">l_cons!$A200</f>
        <v/>
      </c>
    </row>
    <row r="200" customFormat="false" ht="16" hidden="false" customHeight="false" outlineLevel="0" collapsed="false">
      <c r="A200" s="1" t="str">
        <f aca="false">l_cons!$A201</f>
        <v/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0"/>
  <sheetViews>
    <sheetView showFormulas="false" showGridLines="true" showRowColHeaders="true" showZeros="true" rightToLeft="false" tabSelected="false" showOutlineSymbols="true" defaultGridColor="true" view="normal" topLeftCell="A24" colorId="64" zoomScale="100" zoomScaleNormal="100" zoomScalePageLayoutView="100" workbookViewId="0">
      <selection pane="topLeft" activeCell="A43" activeCellId="0" sqref="A43"/>
    </sheetView>
  </sheetViews>
  <sheetFormatPr defaultColWidth="8.62109375" defaultRowHeight="16" zeroHeight="false" outlineLevelRow="0" outlineLevelCol="0"/>
  <cols>
    <col collapsed="false" customWidth="true" hidden="false" outlineLevel="0" max="1" min="1" style="1" width="17.84"/>
    <col collapsed="false" customWidth="true" hidden="false" outlineLevel="0" max="2" min="2" style="1" width="15.16"/>
    <col collapsed="false" customWidth="true" hidden="false" outlineLevel="0" max="3" min="3" style="1" width="16"/>
    <col collapsed="false" customWidth="true" hidden="false" outlineLevel="0" max="1025" min="4" style="1" width="11.5"/>
  </cols>
  <sheetData>
    <row r="1" customFormat="false" ht="16" hidden="false" customHeight="false" outlineLevel="0" collapsed="false">
      <c r="A1" s="21" t="s">
        <v>736</v>
      </c>
      <c r="B1" s="21" t="s">
        <v>737</v>
      </c>
      <c r="C1" s="21" t="s">
        <v>738</v>
      </c>
    </row>
    <row r="2" customFormat="false" ht="16" hidden="false" customHeight="false" outlineLevel="0" collapsed="false">
      <c r="A2" s="3" t="s">
        <v>247</v>
      </c>
      <c r="B2" s="3" t="s">
        <v>8</v>
      </c>
      <c r="C2" s="3" t="n">
        <v>1</v>
      </c>
    </row>
    <row r="3" customFormat="false" ht="16" hidden="false" customHeight="false" outlineLevel="0" collapsed="false">
      <c r="A3" s="3" t="s">
        <v>247</v>
      </c>
      <c r="B3" s="3" t="s">
        <v>24</v>
      </c>
      <c r="C3" s="3" t="n">
        <v>2</v>
      </c>
    </row>
    <row r="4" customFormat="false" ht="16" hidden="false" customHeight="false" outlineLevel="0" collapsed="false">
      <c r="A4" s="3" t="s">
        <v>249</v>
      </c>
      <c r="B4" s="3" t="s">
        <v>8</v>
      </c>
      <c r="C4" s="3" t="n">
        <v>1</v>
      </c>
    </row>
    <row r="5" customFormat="false" ht="16" hidden="false" customHeight="false" outlineLevel="0" collapsed="false">
      <c r="A5" s="3" t="s">
        <v>249</v>
      </c>
      <c r="B5" s="3" t="s">
        <v>16</v>
      </c>
      <c r="C5" s="3" t="n">
        <v>4</v>
      </c>
    </row>
    <row r="6" customFormat="false" ht="16" hidden="false" customHeight="false" outlineLevel="0" collapsed="false">
      <c r="A6" s="3" t="s">
        <v>259</v>
      </c>
      <c r="B6" s="3" t="s">
        <v>20</v>
      </c>
      <c r="C6" s="3" t="n">
        <v>2</v>
      </c>
    </row>
    <row r="7" customFormat="false" ht="16" hidden="false" customHeight="false" outlineLevel="0" collapsed="false">
      <c r="A7" s="3" t="s">
        <v>259</v>
      </c>
      <c r="B7" s="3" t="s">
        <v>24</v>
      </c>
      <c r="C7" s="3" t="n">
        <v>1</v>
      </c>
    </row>
    <row r="8" customFormat="false" ht="16" hidden="false" customHeight="false" outlineLevel="0" collapsed="false">
      <c r="A8" s="3" t="s">
        <v>261</v>
      </c>
      <c r="B8" s="3" t="s">
        <v>20</v>
      </c>
      <c r="C8" s="3" t="n">
        <v>1</v>
      </c>
    </row>
    <row r="9" customFormat="false" ht="16" hidden="false" customHeight="false" outlineLevel="0" collapsed="false">
      <c r="A9" s="3" t="s">
        <v>261</v>
      </c>
      <c r="B9" s="3" t="s">
        <v>16</v>
      </c>
      <c r="C9" s="3" t="n">
        <v>3</v>
      </c>
    </row>
    <row r="10" customFormat="false" ht="16" hidden="false" customHeight="false" outlineLevel="0" collapsed="false">
      <c r="A10" s="3" t="s">
        <v>258</v>
      </c>
      <c r="B10" s="3" t="s">
        <v>20</v>
      </c>
      <c r="C10" s="3" t="n">
        <v>2</v>
      </c>
    </row>
    <row r="11" customFormat="false" ht="16" hidden="false" customHeight="false" outlineLevel="0" collapsed="false">
      <c r="A11" s="3" t="s">
        <v>254</v>
      </c>
      <c r="B11" s="3" t="s">
        <v>8</v>
      </c>
      <c r="C11" s="3" t="n">
        <v>1</v>
      </c>
    </row>
    <row r="12" customFormat="false" ht="16" hidden="false" customHeight="false" outlineLevel="0" collapsed="false">
      <c r="A12" s="3" t="s">
        <v>255</v>
      </c>
      <c r="B12" s="3" t="s">
        <v>8</v>
      </c>
      <c r="C12" s="3" t="n">
        <v>1</v>
      </c>
    </row>
    <row r="13" customFormat="false" ht="16" hidden="false" customHeight="false" outlineLevel="0" collapsed="false">
      <c r="A13" s="3" t="s">
        <v>713</v>
      </c>
      <c r="B13" s="3" t="s">
        <v>16</v>
      </c>
      <c r="C13" s="3" t="n">
        <v>1</v>
      </c>
    </row>
    <row r="14" customFormat="false" ht="16" hidden="false" customHeight="false" outlineLevel="0" collapsed="false">
      <c r="A14" s="3" t="s">
        <v>251</v>
      </c>
      <c r="B14" s="3" t="s">
        <v>8</v>
      </c>
      <c r="C14" s="3" t="n">
        <v>1</v>
      </c>
    </row>
    <row r="15" customFormat="false" ht="16" hidden="false" customHeight="false" outlineLevel="0" collapsed="false">
      <c r="A15" s="3" t="s">
        <v>715</v>
      </c>
      <c r="B15" s="3" t="s">
        <v>20</v>
      </c>
      <c r="C15" s="3" t="n">
        <v>1</v>
      </c>
    </row>
    <row r="16" customFormat="false" ht="16" hidden="false" customHeight="false" outlineLevel="0" collapsed="false">
      <c r="A16" s="3" t="s">
        <v>717</v>
      </c>
      <c r="B16" s="3" t="s">
        <v>24</v>
      </c>
      <c r="C16" s="3" t="n">
        <v>1</v>
      </c>
    </row>
    <row r="17" customFormat="false" ht="16" hidden="false" customHeight="false" outlineLevel="0" collapsed="false">
      <c r="A17" s="3" t="s">
        <v>718</v>
      </c>
      <c r="B17" s="3" t="s">
        <v>26</v>
      </c>
      <c r="C17" s="3" t="n">
        <v>1</v>
      </c>
    </row>
    <row r="18" customFormat="false" ht="16" hidden="false" customHeight="false" outlineLevel="0" collapsed="false">
      <c r="A18" s="3" t="s">
        <v>719</v>
      </c>
      <c r="B18" s="3" t="s">
        <v>28</v>
      </c>
      <c r="C18" s="3" t="n">
        <v>1</v>
      </c>
    </row>
    <row r="19" customFormat="false" ht="16" hidden="false" customHeight="false" outlineLevel="0" collapsed="false">
      <c r="A19" s="3" t="s">
        <v>711</v>
      </c>
      <c r="B19" s="3" t="s">
        <v>12</v>
      </c>
      <c r="C19" s="3" t="n">
        <v>1</v>
      </c>
    </row>
    <row r="20" customFormat="false" ht="16" hidden="false" customHeight="false" outlineLevel="0" collapsed="false">
      <c r="A20" s="3" t="s">
        <v>263</v>
      </c>
      <c r="B20" s="3" t="s">
        <v>62</v>
      </c>
      <c r="C20" s="3" t="n">
        <v>1</v>
      </c>
    </row>
    <row r="21" customFormat="false" ht="16" hidden="false" customHeight="false" outlineLevel="0" collapsed="false">
      <c r="A21" s="3" t="s">
        <v>264</v>
      </c>
      <c r="B21" s="3" t="s">
        <v>64</v>
      </c>
      <c r="C21" s="3" t="n">
        <v>1</v>
      </c>
    </row>
    <row r="22" customFormat="false" ht="16" hidden="false" customHeight="false" outlineLevel="0" collapsed="false">
      <c r="A22" s="3" t="s">
        <v>265</v>
      </c>
      <c r="B22" s="3" t="s">
        <v>66</v>
      </c>
      <c r="C22" s="3" t="n">
        <v>1</v>
      </c>
    </row>
    <row r="23" customFormat="false" ht="16" hidden="false" customHeight="false" outlineLevel="0" collapsed="false">
      <c r="A23" s="3" t="s">
        <v>266</v>
      </c>
      <c r="B23" s="3" t="s">
        <v>68</v>
      </c>
      <c r="C23" s="3" t="n">
        <v>1</v>
      </c>
    </row>
    <row r="24" customFormat="false" ht="16" hidden="false" customHeight="false" outlineLevel="0" collapsed="false">
      <c r="A24" s="3" t="s">
        <v>712</v>
      </c>
      <c r="B24" s="3" t="s">
        <v>14</v>
      </c>
      <c r="C24" s="3" t="n">
        <v>1</v>
      </c>
    </row>
    <row r="25" customFormat="false" ht="16" hidden="false" customHeight="false" outlineLevel="0" collapsed="false">
      <c r="A25" s="3" t="s">
        <v>267</v>
      </c>
      <c r="B25" s="3" t="s">
        <v>70</v>
      </c>
      <c r="C25" s="3" t="n">
        <v>1</v>
      </c>
    </row>
    <row r="26" customFormat="false" ht="16" hidden="false" customHeight="false" outlineLevel="0" collapsed="false">
      <c r="A26" s="3" t="s">
        <v>716</v>
      </c>
      <c r="B26" s="3" t="s">
        <v>22</v>
      </c>
      <c r="C26" s="3" t="n">
        <v>1</v>
      </c>
    </row>
    <row r="27" customFormat="false" ht="16" hidden="false" customHeight="false" outlineLevel="0" collapsed="false">
      <c r="A27" s="3" t="s">
        <v>729</v>
      </c>
      <c r="B27" s="3" t="s">
        <v>50</v>
      </c>
      <c r="C27" s="3" t="n">
        <v>1</v>
      </c>
    </row>
    <row r="28" customFormat="false" ht="16" hidden="false" customHeight="false" outlineLevel="0" collapsed="false">
      <c r="A28" s="3" t="s">
        <v>721</v>
      </c>
      <c r="B28" s="3" t="s">
        <v>32</v>
      </c>
      <c r="C28" s="3" t="n">
        <v>1</v>
      </c>
    </row>
    <row r="29" customFormat="false" ht="16" hidden="false" customHeight="false" outlineLevel="0" collapsed="false">
      <c r="A29" s="3" t="s">
        <v>268</v>
      </c>
      <c r="B29" s="3" t="s">
        <v>72</v>
      </c>
      <c r="C29" s="3" t="n">
        <v>1</v>
      </c>
    </row>
    <row r="30" customFormat="false" ht="16" hidden="false" customHeight="false" outlineLevel="0" collapsed="false">
      <c r="A30" s="3" t="s">
        <v>722</v>
      </c>
      <c r="B30" s="3" t="s">
        <v>34</v>
      </c>
      <c r="C30" s="3" t="n">
        <v>1</v>
      </c>
    </row>
    <row r="31" customFormat="false" ht="16" hidden="false" customHeight="false" outlineLevel="0" collapsed="false">
      <c r="A31" s="3" t="s">
        <v>714</v>
      </c>
      <c r="B31" s="3" t="s">
        <v>18</v>
      </c>
      <c r="C31" s="3" t="n">
        <v>1</v>
      </c>
    </row>
    <row r="32" customFormat="false" ht="16" hidden="false" customHeight="false" outlineLevel="0" collapsed="false">
      <c r="A32" s="3" t="s">
        <v>710</v>
      </c>
      <c r="B32" s="3" t="s">
        <v>10</v>
      </c>
      <c r="C32" s="3" t="n">
        <v>1</v>
      </c>
    </row>
    <row r="33" customFormat="false" ht="16" hidden="false" customHeight="false" outlineLevel="0" collapsed="false">
      <c r="A33" s="3" t="s">
        <v>269</v>
      </c>
      <c r="B33" s="3" t="s">
        <v>74</v>
      </c>
      <c r="C33" s="3" t="n">
        <v>1</v>
      </c>
    </row>
    <row r="34" customFormat="false" ht="16" hidden="false" customHeight="false" outlineLevel="0" collapsed="false">
      <c r="A34" s="3" t="s">
        <v>270</v>
      </c>
      <c r="B34" s="3" t="s">
        <v>76</v>
      </c>
      <c r="C34" s="3" t="n">
        <v>1</v>
      </c>
    </row>
    <row r="35" customFormat="false" ht="16" hidden="false" customHeight="false" outlineLevel="0" collapsed="false">
      <c r="A35" s="3" t="s">
        <v>271</v>
      </c>
      <c r="B35" s="3" t="s">
        <v>78</v>
      </c>
      <c r="C35" s="3" t="n">
        <v>1</v>
      </c>
    </row>
    <row r="36" customFormat="false" ht="16" hidden="false" customHeight="false" outlineLevel="0" collapsed="false">
      <c r="A36" s="3" t="s">
        <v>726</v>
      </c>
      <c r="B36" s="3" t="s">
        <v>42</v>
      </c>
      <c r="C36" s="3" t="n">
        <v>1</v>
      </c>
    </row>
    <row r="37" customFormat="false" ht="16" hidden="false" customHeight="false" outlineLevel="0" collapsed="false">
      <c r="A37" s="3" t="s">
        <v>730</v>
      </c>
      <c r="B37" s="3" t="s">
        <v>52</v>
      </c>
      <c r="C37" s="3" t="n">
        <v>1</v>
      </c>
    </row>
    <row r="38" customFormat="false" ht="16" hidden="false" customHeight="false" outlineLevel="0" collapsed="false">
      <c r="A38" s="3" t="s">
        <v>256</v>
      </c>
      <c r="B38" s="3" t="s">
        <v>46</v>
      </c>
      <c r="C38" s="3" t="n">
        <v>1</v>
      </c>
    </row>
    <row r="39" customFormat="false" ht="16" hidden="false" customHeight="false" outlineLevel="0" collapsed="false">
      <c r="A39" s="3" t="s">
        <v>725</v>
      </c>
      <c r="B39" s="3" t="s">
        <v>40</v>
      </c>
      <c r="C39" s="3" t="n">
        <v>1</v>
      </c>
    </row>
    <row r="40" customFormat="false" ht="16" hidden="false" customHeight="false" outlineLevel="0" collapsed="false">
      <c r="A40" s="3" t="s">
        <v>732</v>
      </c>
      <c r="B40" s="3" t="s">
        <v>56</v>
      </c>
      <c r="C40" s="3" t="n">
        <v>1</v>
      </c>
    </row>
    <row r="41" customFormat="false" ht="16" hidden="false" customHeight="false" outlineLevel="0" collapsed="false">
      <c r="A41" s="3" t="s">
        <v>727</v>
      </c>
      <c r="B41" s="3" t="s">
        <v>44</v>
      </c>
      <c r="C41" s="3" t="n">
        <v>1</v>
      </c>
    </row>
    <row r="42" customFormat="false" ht="16" hidden="false" customHeight="false" outlineLevel="0" collapsed="false">
      <c r="A42" s="3" t="s">
        <v>734</v>
      </c>
      <c r="B42" s="3" t="s">
        <v>60</v>
      </c>
      <c r="C42" s="3" t="n">
        <v>1</v>
      </c>
    </row>
    <row r="43" customFormat="false" ht="16" hidden="false" customHeight="false" outlineLevel="0" collapsed="false">
      <c r="A43" s="3" t="s">
        <v>272</v>
      </c>
      <c r="B43" s="3" t="s">
        <v>80</v>
      </c>
      <c r="C43" s="3" t="n">
        <v>1</v>
      </c>
    </row>
    <row r="44" customFormat="false" ht="16" hidden="false" customHeight="false" outlineLevel="0" collapsed="false">
      <c r="A44" s="3" t="s">
        <v>273</v>
      </c>
      <c r="B44" s="3" t="s">
        <v>82</v>
      </c>
      <c r="C44" s="3" t="n">
        <v>1</v>
      </c>
    </row>
    <row r="45" customFormat="false" ht="16" hidden="false" customHeight="false" outlineLevel="0" collapsed="false">
      <c r="A45" s="3" t="s">
        <v>723</v>
      </c>
      <c r="B45" s="3" t="s">
        <v>36</v>
      </c>
      <c r="C45" s="3" t="n">
        <v>1</v>
      </c>
    </row>
    <row r="46" customFormat="false" ht="16" hidden="false" customHeight="false" outlineLevel="0" collapsed="false">
      <c r="A46" s="3" t="s">
        <v>274</v>
      </c>
      <c r="B46" s="3" t="s">
        <v>84</v>
      </c>
      <c r="C46" s="3" t="n">
        <v>1</v>
      </c>
    </row>
    <row r="47" customFormat="false" ht="16" hidden="false" customHeight="false" outlineLevel="0" collapsed="false">
      <c r="A47" s="3" t="s">
        <v>275</v>
      </c>
      <c r="B47" s="3" t="s">
        <v>86</v>
      </c>
      <c r="C47" s="3" t="n">
        <v>1</v>
      </c>
    </row>
    <row r="48" customFormat="false" ht="16" hidden="false" customHeight="false" outlineLevel="0" collapsed="false">
      <c r="A48" s="3" t="s">
        <v>276</v>
      </c>
      <c r="B48" s="3" t="s">
        <v>88</v>
      </c>
      <c r="C48" s="3" t="n">
        <v>1</v>
      </c>
    </row>
    <row r="49" customFormat="false" ht="16" hidden="false" customHeight="false" outlineLevel="0" collapsed="false">
      <c r="A49" s="3" t="s">
        <v>277</v>
      </c>
      <c r="B49" s="3" t="s">
        <v>90</v>
      </c>
      <c r="C49" s="3" t="n">
        <v>1</v>
      </c>
    </row>
    <row r="50" customFormat="false" ht="16" hidden="false" customHeight="false" outlineLevel="0" collapsed="false">
      <c r="A50" s="3" t="s">
        <v>278</v>
      </c>
      <c r="B50" s="3" t="s">
        <v>92</v>
      </c>
      <c r="C50" s="3" t="n">
        <v>1</v>
      </c>
    </row>
    <row r="51" customFormat="false" ht="16" hidden="false" customHeight="false" outlineLevel="0" collapsed="false">
      <c r="A51" s="3" t="s">
        <v>279</v>
      </c>
      <c r="B51" s="3" t="s">
        <v>94</v>
      </c>
      <c r="C51" s="3" t="n">
        <v>1</v>
      </c>
    </row>
    <row r="52" customFormat="false" ht="16" hidden="false" customHeight="false" outlineLevel="0" collapsed="false">
      <c r="A52" s="3" t="s">
        <v>280</v>
      </c>
      <c r="B52" s="3" t="s">
        <v>96</v>
      </c>
      <c r="C52" s="3" t="n">
        <v>1</v>
      </c>
    </row>
    <row r="53" customFormat="false" ht="16" hidden="false" customHeight="false" outlineLevel="0" collapsed="false">
      <c r="A53" s="3" t="s">
        <v>281</v>
      </c>
      <c r="B53" s="3" t="s">
        <v>98</v>
      </c>
      <c r="C53" s="3" t="n">
        <v>1</v>
      </c>
    </row>
    <row r="54" customFormat="false" ht="16" hidden="false" customHeight="false" outlineLevel="0" collapsed="false">
      <c r="A54" s="3" t="s">
        <v>731</v>
      </c>
      <c r="B54" s="3" t="s">
        <v>54</v>
      </c>
      <c r="C54" s="3" t="n">
        <v>1</v>
      </c>
    </row>
    <row r="55" customFormat="false" ht="16" hidden="false" customHeight="false" outlineLevel="0" collapsed="false">
      <c r="A55" s="3" t="s">
        <v>282</v>
      </c>
      <c r="B55" s="3" t="s">
        <v>100</v>
      </c>
      <c r="C55" s="3" t="n">
        <v>1</v>
      </c>
    </row>
    <row r="56" customFormat="false" ht="16" hidden="false" customHeight="false" outlineLevel="0" collapsed="false">
      <c r="A56" s="3" t="s">
        <v>283</v>
      </c>
      <c r="B56" s="3" t="s">
        <v>102</v>
      </c>
      <c r="C56" s="3" t="n">
        <v>1</v>
      </c>
    </row>
    <row r="57" customFormat="false" ht="16" hidden="false" customHeight="false" outlineLevel="0" collapsed="false">
      <c r="A57" s="3" t="s">
        <v>284</v>
      </c>
      <c r="B57" s="3" t="s">
        <v>104</v>
      </c>
      <c r="C57" s="3" t="n">
        <v>1</v>
      </c>
    </row>
    <row r="58" customFormat="false" ht="16" hidden="false" customHeight="false" outlineLevel="0" collapsed="false">
      <c r="A58" s="3" t="s">
        <v>285</v>
      </c>
      <c r="B58" s="3" t="s">
        <v>106</v>
      </c>
      <c r="C58" s="3" t="n">
        <v>1</v>
      </c>
    </row>
    <row r="59" customFormat="false" ht="16" hidden="false" customHeight="false" outlineLevel="0" collapsed="false">
      <c r="A59" s="3" t="s">
        <v>720</v>
      </c>
      <c r="B59" s="3" t="s">
        <v>30</v>
      </c>
      <c r="C59" s="3" t="n">
        <v>1</v>
      </c>
    </row>
    <row r="60" customFormat="false" ht="16" hidden="false" customHeight="false" outlineLevel="0" collapsed="false">
      <c r="A60" s="3" t="s">
        <v>724</v>
      </c>
      <c r="B60" s="3" t="s">
        <v>38</v>
      </c>
      <c r="C60" s="3" t="n">
        <v>1</v>
      </c>
    </row>
    <row r="61" customFormat="false" ht="16" hidden="false" customHeight="false" outlineLevel="0" collapsed="false">
      <c r="A61" s="3" t="s">
        <v>286</v>
      </c>
      <c r="B61" s="3" t="s">
        <v>108</v>
      </c>
      <c r="C61" s="3" t="n">
        <v>1</v>
      </c>
    </row>
    <row r="62" customFormat="false" ht="16" hidden="false" customHeight="false" outlineLevel="0" collapsed="false">
      <c r="A62" s="3" t="s">
        <v>287</v>
      </c>
      <c r="B62" s="3" t="s">
        <v>110</v>
      </c>
      <c r="C62" s="3" t="n">
        <v>1</v>
      </c>
    </row>
    <row r="63" customFormat="false" ht="16" hidden="false" customHeight="false" outlineLevel="0" collapsed="false">
      <c r="A63" s="3" t="s">
        <v>288</v>
      </c>
      <c r="B63" s="3" t="s">
        <v>112</v>
      </c>
      <c r="C63" s="3" t="n">
        <v>1</v>
      </c>
    </row>
    <row r="64" customFormat="false" ht="16" hidden="false" customHeight="false" outlineLevel="0" collapsed="false">
      <c r="A64" s="3" t="s">
        <v>289</v>
      </c>
      <c r="B64" s="3" t="s">
        <v>114</v>
      </c>
      <c r="C64" s="3" t="n">
        <v>1</v>
      </c>
    </row>
    <row r="65" customFormat="false" ht="16" hidden="false" customHeight="false" outlineLevel="0" collapsed="false">
      <c r="A65" s="3" t="s">
        <v>290</v>
      </c>
      <c r="B65" s="3" t="s">
        <v>116</v>
      </c>
      <c r="C65" s="3" t="n">
        <v>1</v>
      </c>
    </row>
    <row r="66" customFormat="false" ht="16" hidden="false" customHeight="false" outlineLevel="0" collapsed="false">
      <c r="A66" s="3" t="s">
        <v>291</v>
      </c>
      <c r="B66" s="3" t="s">
        <v>118</v>
      </c>
      <c r="C66" s="3" t="n">
        <v>1</v>
      </c>
    </row>
    <row r="67" customFormat="false" ht="16" hidden="false" customHeight="false" outlineLevel="0" collapsed="false">
      <c r="A67" s="3" t="s">
        <v>292</v>
      </c>
      <c r="B67" s="3" t="s">
        <v>120</v>
      </c>
      <c r="C67" s="3" t="n">
        <v>1</v>
      </c>
    </row>
    <row r="68" customFormat="false" ht="16" hidden="false" customHeight="false" outlineLevel="0" collapsed="false">
      <c r="A68" s="3" t="s">
        <v>293</v>
      </c>
      <c r="B68" s="3" t="s">
        <v>122</v>
      </c>
      <c r="C68" s="3" t="n">
        <v>1</v>
      </c>
    </row>
    <row r="69" customFormat="false" ht="16" hidden="false" customHeight="false" outlineLevel="0" collapsed="false">
      <c r="A69" s="3" t="s">
        <v>294</v>
      </c>
      <c r="B69" s="3" t="s">
        <v>124</v>
      </c>
      <c r="C69" s="3" t="n">
        <v>1</v>
      </c>
    </row>
    <row r="70" customFormat="false" ht="16" hidden="false" customHeight="false" outlineLevel="0" collapsed="false">
      <c r="A70" s="3" t="s">
        <v>295</v>
      </c>
      <c r="B70" s="3" t="s">
        <v>126</v>
      </c>
      <c r="C70" s="3" t="n">
        <v>1</v>
      </c>
    </row>
    <row r="71" customFormat="false" ht="16" hidden="false" customHeight="false" outlineLevel="0" collapsed="false">
      <c r="A71" s="3" t="s">
        <v>296</v>
      </c>
      <c r="B71" s="3" t="s">
        <v>128</v>
      </c>
      <c r="C71" s="3" t="n">
        <v>1</v>
      </c>
    </row>
    <row r="72" customFormat="false" ht="16" hidden="false" customHeight="false" outlineLevel="0" collapsed="false">
      <c r="A72" s="3" t="s">
        <v>297</v>
      </c>
      <c r="B72" s="3" t="s">
        <v>130</v>
      </c>
      <c r="C72" s="3" t="n">
        <v>1</v>
      </c>
    </row>
    <row r="73" customFormat="false" ht="16" hidden="false" customHeight="false" outlineLevel="0" collapsed="false">
      <c r="A73" s="3" t="s">
        <v>298</v>
      </c>
      <c r="B73" s="3" t="s">
        <v>132</v>
      </c>
      <c r="C73" s="3" t="n">
        <v>1</v>
      </c>
    </row>
    <row r="74" customFormat="false" ht="16" hidden="false" customHeight="false" outlineLevel="0" collapsed="false">
      <c r="A74" s="3" t="s">
        <v>299</v>
      </c>
      <c r="B74" s="3" t="s">
        <v>134</v>
      </c>
      <c r="C74" s="3" t="n">
        <v>1</v>
      </c>
    </row>
    <row r="75" customFormat="false" ht="16" hidden="false" customHeight="false" outlineLevel="0" collapsed="false">
      <c r="A75" s="3" t="s">
        <v>300</v>
      </c>
      <c r="B75" s="3" t="s">
        <v>136</v>
      </c>
      <c r="C75" s="3" t="n">
        <v>1</v>
      </c>
    </row>
    <row r="76" customFormat="false" ht="16" hidden="false" customHeight="false" outlineLevel="0" collapsed="false">
      <c r="A76" s="3" t="s">
        <v>301</v>
      </c>
      <c r="B76" s="3" t="s">
        <v>138</v>
      </c>
      <c r="C76" s="3" t="n">
        <v>1</v>
      </c>
    </row>
    <row r="77" customFormat="false" ht="16" hidden="false" customHeight="false" outlineLevel="0" collapsed="false">
      <c r="A77" s="3" t="s">
        <v>302</v>
      </c>
      <c r="B77" s="3" t="s">
        <v>140</v>
      </c>
      <c r="C77" s="3" t="n">
        <v>1</v>
      </c>
    </row>
    <row r="78" customFormat="false" ht="16" hidden="false" customHeight="false" outlineLevel="0" collapsed="false">
      <c r="A78" s="3" t="s">
        <v>303</v>
      </c>
      <c r="B78" s="3" t="s">
        <v>142</v>
      </c>
      <c r="C78" s="3" t="n">
        <v>1</v>
      </c>
    </row>
    <row r="79" customFormat="false" ht="16" hidden="false" customHeight="false" outlineLevel="0" collapsed="false">
      <c r="A79" s="3" t="s">
        <v>304</v>
      </c>
      <c r="B79" s="3" t="s">
        <v>144</v>
      </c>
      <c r="C79" s="3" t="n">
        <v>1</v>
      </c>
    </row>
    <row r="80" customFormat="false" ht="16" hidden="false" customHeight="false" outlineLevel="0" collapsed="false">
      <c r="A80" s="3" t="s">
        <v>305</v>
      </c>
      <c r="B80" s="3" t="s">
        <v>146</v>
      </c>
      <c r="C80" s="3" t="n">
        <v>1</v>
      </c>
    </row>
    <row r="81" customFormat="false" ht="16" hidden="false" customHeight="false" outlineLevel="0" collapsed="false">
      <c r="A81" s="3" t="s">
        <v>306</v>
      </c>
      <c r="B81" s="3" t="s">
        <v>148</v>
      </c>
      <c r="C81" s="3" t="n">
        <v>1</v>
      </c>
    </row>
    <row r="82" customFormat="false" ht="16" hidden="false" customHeight="false" outlineLevel="0" collapsed="false">
      <c r="A82" s="3" t="s">
        <v>307</v>
      </c>
      <c r="B82" s="3" t="s">
        <v>150</v>
      </c>
      <c r="C82" s="3" t="n">
        <v>1</v>
      </c>
    </row>
    <row r="83" customFormat="false" ht="16" hidden="false" customHeight="false" outlineLevel="0" collapsed="false">
      <c r="A83" s="3" t="s">
        <v>308</v>
      </c>
      <c r="B83" s="3" t="s">
        <v>152</v>
      </c>
      <c r="C83" s="3" t="n">
        <v>1</v>
      </c>
    </row>
    <row r="84" customFormat="false" ht="16" hidden="false" customHeight="false" outlineLevel="0" collapsed="false">
      <c r="A84" s="3" t="s">
        <v>309</v>
      </c>
      <c r="B84" s="3" t="s">
        <v>154</v>
      </c>
      <c r="C84" s="3" t="n">
        <v>1</v>
      </c>
    </row>
    <row r="85" customFormat="false" ht="16" hidden="false" customHeight="false" outlineLevel="0" collapsed="false">
      <c r="A85" s="3" t="s">
        <v>310</v>
      </c>
      <c r="B85" s="3" t="s">
        <v>156</v>
      </c>
      <c r="C85" s="3" t="n">
        <v>1</v>
      </c>
    </row>
    <row r="86" customFormat="false" ht="16" hidden="false" customHeight="false" outlineLevel="0" collapsed="false">
      <c r="A86" s="3" t="s">
        <v>311</v>
      </c>
      <c r="B86" s="3" t="s">
        <v>158</v>
      </c>
      <c r="C86" s="3" t="n">
        <v>1</v>
      </c>
    </row>
    <row r="87" customFormat="false" ht="16" hidden="false" customHeight="false" outlineLevel="0" collapsed="false">
      <c r="A87" s="3" t="s">
        <v>312</v>
      </c>
      <c r="B87" s="3" t="s">
        <v>160</v>
      </c>
      <c r="C87" s="3" t="n">
        <v>1</v>
      </c>
    </row>
    <row r="88" customFormat="false" ht="16" hidden="false" customHeight="false" outlineLevel="0" collapsed="false">
      <c r="A88" s="3" t="s">
        <v>313</v>
      </c>
      <c r="B88" s="3" t="s">
        <v>162</v>
      </c>
      <c r="C88" s="3" t="n">
        <v>1</v>
      </c>
    </row>
    <row r="89" customFormat="false" ht="16" hidden="false" customHeight="false" outlineLevel="0" collapsed="false">
      <c r="A89" s="3" t="s">
        <v>314</v>
      </c>
      <c r="B89" s="3" t="s">
        <v>164</v>
      </c>
      <c r="C89" s="3" t="n">
        <v>1</v>
      </c>
    </row>
    <row r="90" customFormat="false" ht="16" hidden="false" customHeight="false" outlineLevel="0" collapsed="false">
      <c r="A90" s="3" t="s">
        <v>315</v>
      </c>
      <c r="B90" s="3" t="s">
        <v>166</v>
      </c>
      <c r="C90" s="3" t="n">
        <v>1</v>
      </c>
    </row>
    <row r="91" customFormat="false" ht="16" hidden="false" customHeight="false" outlineLevel="0" collapsed="false">
      <c r="A91" s="3" t="s">
        <v>316</v>
      </c>
      <c r="B91" s="3" t="s">
        <v>168</v>
      </c>
      <c r="C91" s="3" t="n">
        <v>1</v>
      </c>
    </row>
    <row r="92" customFormat="false" ht="16" hidden="false" customHeight="false" outlineLevel="0" collapsed="false">
      <c r="A92" s="3" t="s">
        <v>728</v>
      </c>
      <c r="B92" s="3" t="s">
        <v>48</v>
      </c>
      <c r="C92" s="3" t="n">
        <v>1</v>
      </c>
    </row>
    <row r="93" customFormat="false" ht="16" hidden="false" customHeight="false" outlineLevel="0" collapsed="false">
      <c r="A93" s="3" t="s">
        <v>317</v>
      </c>
      <c r="B93" s="3" t="s">
        <v>170</v>
      </c>
      <c r="C93" s="3" t="n">
        <v>1</v>
      </c>
    </row>
    <row r="94" customFormat="false" ht="16" hidden="false" customHeight="false" outlineLevel="0" collapsed="false">
      <c r="A94" s="3" t="s">
        <v>733</v>
      </c>
      <c r="B94" s="3" t="s">
        <v>58</v>
      </c>
      <c r="C94" s="3" t="n">
        <v>1</v>
      </c>
    </row>
    <row r="95" customFormat="false" ht="16" hidden="false" customHeight="false" outlineLevel="0" collapsed="false">
      <c r="A95" s="3" t="s">
        <v>318</v>
      </c>
      <c r="B95" s="3" t="s">
        <v>172</v>
      </c>
      <c r="C95" s="3" t="n">
        <v>1</v>
      </c>
    </row>
    <row r="96" customFormat="false" ht="16" hidden="false" customHeight="false" outlineLevel="0" collapsed="false">
      <c r="A96" s="3" t="s">
        <v>319</v>
      </c>
      <c r="B96" s="3" t="s">
        <v>174</v>
      </c>
      <c r="C96" s="3" t="n">
        <v>1</v>
      </c>
    </row>
    <row r="97" customFormat="false" ht="16" hidden="false" customHeight="false" outlineLevel="0" collapsed="false">
      <c r="A97" s="3" t="s">
        <v>320</v>
      </c>
      <c r="B97" s="3" t="s">
        <v>176</v>
      </c>
      <c r="C97" s="3" t="n">
        <v>1</v>
      </c>
    </row>
    <row r="98" customFormat="false" ht="16" hidden="false" customHeight="false" outlineLevel="0" collapsed="false">
      <c r="A98" s="3" t="s">
        <v>321</v>
      </c>
      <c r="B98" s="3" t="s">
        <v>178</v>
      </c>
      <c r="C98" s="3" t="n">
        <v>1</v>
      </c>
    </row>
    <row r="99" customFormat="false" ht="16" hidden="false" customHeight="false" outlineLevel="0" collapsed="false">
      <c r="A99" s="3" t="s">
        <v>322</v>
      </c>
      <c r="B99" s="3" t="s">
        <v>180</v>
      </c>
      <c r="C99" s="3" t="n">
        <v>1</v>
      </c>
    </row>
    <row r="100" customFormat="false" ht="16" hidden="false" customHeight="false" outlineLevel="0" collapsed="false">
      <c r="A100" s="3" t="s">
        <v>323</v>
      </c>
      <c r="B100" s="3" t="s">
        <v>182</v>
      </c>
      <c r="C100" s="3" t="n">
        <v>1</v>
      </c>
    </row>
    <row r="101" customFormat="false" ht="16" hidden="false" customHeight="false" outlineLevel="0" collapsed="false">
      <c r="A101" s="3" t="s">
        <v>324</v>
      </c>
      <c r="B101" s="3" t="s">
        <v>184</v>
      </c>
      <c r="C101" s="3" t="n">
        <v>1</v>
      </c>
    </row>
    <row r="102" customFormat="false" ht="16" hidden="false" customHeight="false" outlineLevel="0" collapsed="false">
      <c r="A102" s="3" t="s">
        <v>325</v>
      </c>
      <c r="B102" s="3" t="s">
        <v>186</v>
      </c>
      <c r="C102" s="3" t="n">
        <v>1</v>
      </c>
    </row>
    <row r="103" customFormat="false" ht="16" hidden="false" customHeight="false" outlineLevel="0" collapsed="false">
      <c r="A103" s="3" t="s">
        <v>326</v>
      </c>
      <c r="B103" s="3" t="s">
        <v>188</v>
      </c>
      <c r="C103" s="3" t="n">
        <v>1</v>
      </c>
    </row>
    <row r="104" customFormat="false" ht="16" hidden="false" customHeight="false" outlineLevel="0" collapsed="false">
      <c r="A104" s="3" t="s">
        <v>327</v>
      </c>
      <c r="B104" s="3" t="s">
        <v>190</v>
      </c>
      <c r="C104" s="3" t="n">
        <v>1</v>
      </c>
    </row>
    <row r="105" customFormat="false" ht="16" hidden="false" customHeight="false" outlineLevel="0" collapsed="false">
      <c r="A105" s="3" t="s">
        <v>328</v>
      </c>
      <c r="B105" s="3" t="s">
        <v>192</v>
      </c>
      <c r="C105" s="3" t="n">
        <v>1</v>
      </c>
    </row>
    <row r="106" customFormat="false" ht="16" hidden="false" customHeight="false" outlineLevel="0" collapsed="false">
      <c r="A106" s="3" t="s">
        <v>329</v>
      </c>
      <c r="B106" s="3" t="s">
        <v>194</v>
      </c>
      <c r="C106" s="3" t="n">
        <v>1</v>
      </c>
    </row>
    <row r="107" customFormat="false" ht="16" hidden="false" customHeight="false" outlineLevel="0" collapsed="false">
      <c r="A107" s="3" t="s">
        <v>330</v>
      </c>
      <c r="B107" s="3" t="s">
        <v>196</v>
      </c>
      <c r="C107" s="3" t="n">
        <v>1</v>
      </c>
    </row>
    <row r="108" customFormat="false" ht="16" hidden="false" customHeight="false" outlineLevel="0" collapsed="false">
      <c r="A108" s="3" t="s">
        <v>331</v>
      </c>
      <c r="B108" s="3" t="s">
        <v>198</v>
      </c>
      <c r="C108" s="3" t="n">
        <v>1</v>
      </c>
    </row>
    <row r="109" customFormat="false" ht="16" hidden="false" customHeight="false" outlineLevel="0" collapsed="false">
      <c r="A109" s="3" t="s">
        <v>332</v>
      </c>
      <c r="B109" s="3" t="s">
        <v>200</v>
      </c>
      <c r="C109" s="3" t="n">
        <v>1</v>
      </c>
    </row>
    <row r="110" customFormat="false" ht="16" hidden="false" customHeight="false" outlineLevel="0" collapsed="false">
      <c r="A110" s="3" t="s">
        <v>333</v>
      </c>
      <c r="B110" s="3" t="s">
        <v>202</v>
      </c>
      <c r="C110" s="3" t="n">
        <v>1</v>
      </c>
    </row>
    <row r="111" customFormat="false" ht="16" hidden="false" customHeight="false" outlineLevel="0" collapsed="false">
      <c r="A111" s="3" t="s">
        <v>334</v>
      </c>
      <c r="B111" s="3" t="s">
        <v>204</v>
      </c>
      <c r="C111" s="3" t="n">
        <v>1</v>
      </c>
    </row>
    <row r="112" customFormat="false" ht="16" hidden="false" customHeight="false" outlineLevel="0" collapsed="false">
      <c r="A112" s="3" t="s">
        <v>335</v>
      </c>
      <c r="B112" s="3" t="s">
        <v>206</v>
      </c>
      <c r="C112" s="3" t="n">
        <v>1</v>
      </c>
    </row>
    <row r="113" customFormat="false" ht="16" hidden="false" customHeight="false" outlineLevel="0" collapsed="false">
      <c r="A113" s="3" t="s">
        <v>336</v>
      </c>
      <c r="B113" s="3" t="s">
        <v>208</v>
      </c>
      <c r="C113" s="3" t="n">
        <v>1</v>
      </c>
    </row>
    <row r="114" customFormat="false" ht="16" hidden="false" customHeight="false" outlineLevel="0" collapsed="false">
      <c r="A114" s="3" t="s">
        <v>337</v>
      </c>
      <c r="B114" s="3" t="s">
        <v>210</v>
      </c>
      <c r="C114" s="3" t="n">
        <v>1</v>
      </c>
    </row>
    <row r="115" customFormat="false" ht="16" hidden="false" customHeight="false" outlineLevel="0" collapsed="false">
      <c r="A115" s="3" t="s">
        <v>338</v>
      </c>
      <c r="B115" s="3" t="s">
        <v>212</v>
      </c>
      <c r="C115" s="3" t="n">
        <v>1</v>
      </c>
    </row>
    <row r="116" customFormat="false" ht="16" hidden="false" customHeight="false" outlineLevel="0" collapsed="false">
      <c r="A116" s="3" t="s">
        <v>339</v>
      </c>
      <c r="B116" s="3" t="s">
        <v>214</v>
      </c>
      <c r="C116" s="3" t="n">
        <v>1</v>
      </c>
    </row>
    <row r="117" customFormat="false" ht="16" hidden="false" customHeight="false" outlineLevel="0" collapsed="false">
      <c r="A117" s="3" t="s">
        <v>340</v>
      </c>
      <c r="B117" s="3" t="s">
        <v>216</v>
      </c>
      <c r="C117" s="3" t="n">
        <v>1</v>
      </c>
    </row>
    <row r="118" customFormat="false" ht="16" hidden="false" customHeight="false" outlineLevel="0" collapsed="false">
      <c r="A118" s="3" t="s">
        <v>341</v>
      </c>
      <c r="B118" s="3" t="s">
        <v>218</v>
      </c>
      <c r="C118" s="3" t="n">
        <v>1</v>
      </c>
    </row>
    <row r="119" customFormat="false" ht="16" hidden="false" customHeight="false" outlineLevel="0" collapsed="false">
      <c r="A119" s="3" t="s">
        <v>342</v>
      </c>
      <c r="B119" s="3" t="s">
        <v>220</v>
      </c>
      <c r="C119" s="3" t="n">
        <v>1</v>
      </c>
    </row>
    <row r="120" customFormat="false" ht="16" hidden="false" customHeight="false" outlineLevel="0" collapsed="false">
      <c r="A120" s="3" t="s">
        <v>343</v>
      </c>
      <c r="B120" s="3" t="s">
        <v>222</v>
      </c>
      <c r="C120" s="3" t="n">
        <v>1</v>
      </c>
    </row>
    <row r="121" customFormat="false" ht="16" hidden="false" customHeight="false" outlineLevel="0" collapsed="false">
      <c r="A121" s="3" t="s">
        <v>344</v>
      </c>
      <c r="B121" s="3" t="s">
        <v>224</v>
      </c>
      <c r="C121" s="3" t="n">
        <v>1</v>
      </c>
    </row>
    <row r="122" customFormat="false" ht="16" hidden="false" customHeight="false" outlineLevel="0" collapsed="false">
      <c r="A122" s="3" t="s">
        <v>345</v>
      </c>
      <c r="B122" s="3" t="s">
        <v>226</v>
      </c>
      <c r="C122" s="3" t="n">
        <v>1</v>
      </c>
    </row>
    <row r="123" customFormat="false" ht="16" hidden="false" customHeight="false" outlineLevel="0" collapsed="false">
      <c r="A123" s="3" t="s">
        <v>346</v>
      </c>
      <c r="B123" s="3" t="s">
        <v>228</v>
      </c>
      <c r="C123" s="3" t="n">
        <v>1</v>
      </c>
    </row>
    <row r="124" customFormat="false" ht="16" hidden="false" customHeight="false" outlineLevel="0" collapsed="false">
      <c r="A124" s="3" t="s">
        <v>347</v>
      </c>
      <c r="B124" s="3" t="s">
        <v>230</v>
      </c>
      <c r="C124" s="3" t="n">
        <v>1</v>
      </c>
    </row>
    <row r="125" customFormat="false" ht="16" hidden="false" customHeight="false" outlineLevel="0" collapsed="false">
      <c r="A125" s="3" t="s">
        <v>348</v>
      </c>
      <c r="B125" s="3" t="s">
        <v>232</v>
      </c>
      <c r="C125" s="3" t="n">
        <v>1</v>
      </c>
    </row>
    <row r="126" customFormat="false" ht="16" hidden="false" customHeight="false" outlineLevel="0" collapsed="false">
      <c r="A126" s="3" t="s">
        <v>349</v>
      </c>
      <c r="B126" s="3" t="s">
        <v>234</v>
      </c>
      <c r="C126" s="3" t="n">
        <v>1</v>
      </c>
    </row>
    <row r="127" customFormat="false" ht="16" hidden="false" customHeight="false" outlineLevel="0" collapsed="false">
      <c r="A127" s="3" t="s">
        <v>350</v>
      </c>
      <c r="B127" s="3" t="s">
        <v>236</v>
      </c>
      <c r="C127" s="3" t="n">
        <v>1</v>
      </c>
    </row>
    <row r="128" customFormat="false" ht="16" hidden="false" customHeight="false" outlineLevel="0" collapsed="false">
      <c r="A128" s="3" t="s">
        <v>351</v>
      </c>
      <c r="B128" s="3" t="s">
        <v>238</v>
      </c>
      <c r="C128" s="3" t="n">
        <v>1</v>
      </c>
    </row>
    <row r="129" customFormat="false" ht="16" hidden="false" customHeight="false" outlineLevel="0" collapsed="false">
      <c r="A129" s="3" t="s">
        <v>352</v>
      </c>
      <c r="B129" s="3" t="s">
        <v>240</v>
      </c>
      <c r="C129" s="3" t="n">
        <v>1</v>
      </c>
    </row>
    <row r="130" customFormat="false" ht="16" hidden="false" customHeight="false" outlineLevel="0" collapsed="false">
      <c r="A130" s="3" t="s">
        <v>353</v>
      </c>
      <c r="B130" s="3" t="s">
        <v>242</v>
      </c>
      <c r="C130" s="3" t="n">
        <v>1</v>
      </c>
    </row>
  </sheetData>
  <dataValidations count="2">
    <dataValidation allowBlank="true" errorStyle="stop" operator="equal" showDropDown="false" showErrorMessage="true" showInputMessage="false" sqref="A2:A10" type="list">
      <formula1>l_trans!$A$3:$A$501</formula1>
      <formula2>0</formula2>
    </dataValidation>
    <dataValidation allowBlank="true" errorStyle="stop" operator="equal" showDropDown="false" showErrorMessage="true" showInputMessage="false" sqref="B2:B10" type="list">
      <formula1>l_cons!$A$3:$A$202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3" activeCellId="0" sqref="D3"/>
    </sheetView>
  </sheetViews>
  <sheetFormatPr defaultColWidth="8.62109375" defaultRowHeight="15" zeroHeight="false" outlineLevelRow="0" outlineLevelCol="0"/>
  <cols>
    <col collapsed="false" customWidth="true" hidden="false" outlineLevel="0" max="1" min="1" style="1" width="14.68"/>
    <col collapsed="false" customWidth="true" hidden="false" outlineLevel="0" max="2" min="2" style="1" width="12.41"/>
    <col collapsed="false" customWidth="true" hidden="false" outlineLevel="0" max="3" min="3" style="1" width="28.79"/>
    <col collapsed="false" customWidth="true" hidden="false" outlineLevel="0" max="1025" min="4" style="1" width="10.5"/>
  </cols>
  <sheetData>
    <row r="1" s="22" customFormat="true" ht="15" hidden="false" customHeight="false" outlineLevel="0" collapsed="false">
      <c r="A1" s="22" t="s">
        <v>739</v>
      </c>
      <c r="B1" s="22" t="s">
        <v>740</v>
      </c>
      <c r="C1" s="22" t="s">
        <v>741</v>
      </c>
      <c r="D1" s="22" t="s">
        <v>643</v>
      </c>
      <c r="E1" s="22" t="s">
        <v>742</v>
      </c>
      <c r="AMH1" s="1"/>
      <c r="AMI1" s="1"/>
      <c r="AMJ1" s="1"/>
    </row>
    <row r="2" customFormat="false" ht="15" hidden="false" customHeight="false" outlineLevel="0" collapsed="false">
      <c r="A2" s="1" t="s">
        <v>688</v>
      </c>
      <c r="B2" s="1" t="s">
        <v>668</v>
      </c>
      <c r="C2" s="1" t="s">
        <v>615</v>
      </c>
      <c r="D2" s="23" t="n">
        <v>1</v>
      </c>
    </row>
    <row r="3" customFormat="false" ht="15" hidden="false" customHeight="false" outlineLevel="0" collapsed="false">
      <c r="A3" s="1" t="s">
        <v>688</v>
      </c>
      <c r="B3" s="1" t="s">
        <v>673</v>
      </c>
      <c r="C3" s="1" t="s">
        <v>628</v>
      </c>
      <c r="E3" s="23" t="n">
        <v>-1</v>
      </c>
    </row>
    <row r="4" customFormat="false" ht="15" hidden="false" customHeight="false" outlineLevel="0" collapsed="false">
      <c r="A4" s="1" t="s">
        <v>688</v>
      </c>
      <c r="B4" s="1" t="s">
        <v>676</v>
      </c>
      <c r="C4" s="1" t="s">
        <v>743</v>
      </c>
      <c r="E4" s="23" t="n">
        <v>-1</v>
      </c>
    </row>
    <row r="5" customFormat="false" ht="15" hidden="false" customHeight="false" outlineLevel="0" collapsed="false">
      <c r="A5" s="1" t="s">
        <v>688</v>
      </c>
      <c r="B5" s="1" t="s">
        <v>684</v>
      </c>
      <c r="C5" s="1" t="s">
        <v>744</v>
      </c>
      <c r="E5" s="23" t="n">
        <v>-1</v>
      </c>
    </row>
    <row r="6" customFormat="false" ht="15" hidden="false" customHeight="false" outlineLevel="0" collapsed="false">
      <c r="A6" s="1" t="s">
        <v>688</v>
      </c>
      <c r="B6" s="1" t="s">
        <v>684</v>
      </c>
      <c r="C6" s="1" t="s">
        <v>745</v>
      </c>
      <c r="E6" s="23" t="n">
        <v>-1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2"/>
  <sheetViews>
    <sheetView showFormulas="false" showGridLines="true" showRowColHeaders="true" showZeros="true" rightToLeft="false" tabSelected="false" showOutlineSymbols="true" defaultGridColor="true" view="normal" topLeftCell="E1" colorId="64" zoomScale="88" zoomScaleNormal="88" zoomScalePageLayoutView="100" workbookViewId="0">
      <pane xSplit="0" ySplit="1" topLeftCell="A2" activePane="bottomLeft" state="frozen"/>
      <selection pane="topLeft" activeCell="E1" activeCellId="0" sqref="E1"/>
      <selection pane="bottomLeft" activeCell="Q1" activeCellId="0" sqref="Q1"/>
    </sheetView>
  </sheetViews>
  <sheetFormatPr defaultColWidth="8.62109375" defaultRowHeight="16" zeroHeight="false" outlineLevelRow="0" outlineLevelCol="0"/>
  <cols>
    <col collapsed="false" customWidth="true" hidden="false" outlineLevel="0" max="1" min="1" style="1" width="33.83"/>
    <col collapsed="false" customWidth="true" hidden="false" outlineLevel="0" max="2" min="2" style="1" width="22.33"/>
    <col collapsed="false" customWidth="true" hidden="false" outlineLevel="0" max="3" min="3" style="1" width="17.33"/>
    <col collapsed="false" customWidth="true" hidden="false" outlineLevel="0" max="4" min="4" style="1" width="13"/>
    <col collapsed="false" customWidth="true" hidden="false" outlineLevel="0" max="5" min="5" style="1" width="30.51"/>
    <col collapsed="false" customWidth="true" hidden="false" outlineLevel="0" max="6" min="6" style="1" width="10.5"/>
    <col collapsed="false" customWidth="true" hidden="false" outlineLevel="0" max="7" min="7" style="1" width="39.17"/>
    <col collapsed="false" customWidth="true" hidden="false" outlineLevel="0" max="8" min="8" style="1" width="20.5"/>
    <col collapsed="false" customWidth="true" hidden="false" outlineLevel="0" max="9" min="9" style="1" width="8.47"/>
    <col collapsed="false" customWidth="true" hidden="false" outlineLevel="0" max="10" min="10" style="1" width="9.67"/>
    <col collapsed="false" customWidth="true" hidden="false" outlineLevel="0" max="11" min="11" style="1" width="11.33"/>
    <col collapsed="false" customWidth="true" hidden="false" outlineLevel="0" max="12" min="12" style="1" width="6.16"/>
    <col collapsed="false" customWidth="true" hidden="false" outlineLevel="0" max="13" min="13" style="1" width="9.33"/>
    <col collapsed="false" customWidth="true" hidden="false" outlineLevel="0" max="14" min="14" style="1" width="7"/>
    <col collapsed="false" customWidth="true" hidden="false" outlineLevel="0" max="15" min="15" style="1" width="9.67"/>
    <col collapsed="false" customWidth="true" hidden="false" outlineLevel="0" max="16" min="16" style="1" width="13"/>
    <col collapsed="false" customWidth="true" hidden="false" outlineLevel="0" max="17" min="17" style="1" width="14.51"/>
    <col collapsed="false" customWidth="true" hidden="false" outlineLevel="0" max="1025" min="18" style="1" width="9.16"/>
  </cols>
  <sheetData>
    <row r="1" s="24" customFormat="true" ht="26.5" hidden="false" customHeight="true" outlineLevel="0" collapsed="false">
      <c r="B1" s="24" t="s">
        <v>746</v>
      </c>
      <c r="C1" s="24" t="s">
        <v>747</v>
      </c>
      <c r="D1" s="24" t="s">
        <v>748</v>
      </c>
      <c r="I1" s="24" t="s">
        <v>749</v>
      </c>
      <c r="J1" s="24" t="s">
        <v>750</v>
      </c>
      <c r="K1" s="24" t="s">
        <v>751</v>
      </c>
      <c r="O1" s="24" t="s">
        <v>752</v>
      </c>
      <c r="P1" s="24" t="s">
        <v>753</v>
      </c>
      <c r="Q1" s="24" t="s">
        <v>754</v>
      </c>
    </row>
    <row r="2" customFormat="false" ht="16" hidden="false" customHeight="false" outlineLevel="0" collapsed="false">
      <c r="B2" s="1" t="s">
        <v>688</v>
      </c>
      <c r="C2" s="1" t="s">
        <v>615</v>
      </c>
      <c r="I2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2" activeCellId="0" sqref="C22"/>
    </sheetView>
  </sheetViews>
  <sheetFormatPr defaultColWidth="8.62109375" defaultRowHeight="16" zeroHeight="false" outlineLevelRow="0" outlineLevelCol="0"/>
  <cols>
    <col collapsed="false" customWidth="true" hidden="false" outlineLevel="0" max="1" min="1" style="1" width="8.33"/>
    <col collapsed="false" customWidth="true" hidden="false" outlineLevel="0" max="2" min="2" style="1" width="26.33"/>
    <col collapsed="false" customWidth="true" hidden="false" outlineLevel="0" max="3" min="3" style="1" width="33.66"/>
    <col collapsed="false" customWidth="true" hidden="true" outlineLevel="0" max="4" min="4" style="1" width="13.67"/>
    <col collapsed="false" customWidth="true" hidden="false" outlineLevel="0" max="5" min="5" style="1" width="38.5"/>
    <col collapsed="false" customWidth="true" hidden="false" outlineLevel="0" max="6" min="6" style="1" width="35.84"/>
    <col collapsed="false" customWidth="true" hidden="false" outlineLevel="0" max="7" min="7" style="1" width="10.16"/>
    <col collapsed="false" customWidth="true" hidden="false" outlineLevel="0" max="8" min="8" style="1" width="9.33"/>
    <col collapsed="false" customWidth="true" hidden="false" outlineLevel="0" max="9" min="9" style="1" width="7.84"/>
    <col collapsed="false" customWidth="true" hidden="false" outlineLevel="0" max="10" min="10" style="1" width="8.84"/>
    <col collapsed="false" customWidth="true" hidden="false" outlineLevel="0" max="1025" min="11" style="1" width="9.16"/>
  </cols>
  <sheetData>
    <row r="1" customFormat="false" ht="29" hidden="false" customHeight="true" outlineLevel="0" collapsed="false">
      <c r="A1" s="1" t="s">
        <v>747</v>
      </c>
      <c r="B1" s="1" t="s">
        <v>666</v>
      </c>
      <c r="C1" s="1" t="s">
        <v>354</v>
      </c>
      <c r="D1" s="1" t="s">
        <v>755</v>
      </c>
      <c r="E1" s="1" t="s">
        <v>756</v>
      </c>
      <c r="F1" s="1" t="s">
        <v>757</v>
      </c>
      <c r="G1" s="1" t="s">
        <v>667</v>
      </c>
      <c r="H1" s="1" t="s">
        <v>758</v>
      </c>
      <c r="I1" s="1" t="s">
        <v>759</v>
      </c>
      <c r="J1" s="1" t="s">
        <v>760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7" activeCellId="0" sqref="E7"/>
    </sheetView>
  </sheetViews>
  <sheetFormatPr defaultColWidth="8.62109375" defaultRowHeight="16" zeroHeight="false" outlineLevelRow="0" outlineLevelCol="0"/>
  <cols>
    <col collapsed="false" customWidth="true" hidden="false" outlineLevel="0" max="1" min="1" style="1" width="37.51"/>
    <col collapsed="false" customWidth="true" hidden="false" outlineLevel="0" max="2" min="2" style="1" width="52.66"/>
    <col collapsed="false" customWidth="true" hidden="false" outlineLevel="0" max="3" min="3" style="1" width="9.16"/>
    <col collapsed="false" customWidth="true" hidden="false" outlineLevel="0" max="4" min="4" style="1" width="33.33"/>
    <col collapsed="false" customWidth="true" hidden="false" outlineLevel="0" max="5" min="5" style="1" width="9.67"/>
    <col collapsed="false" customWidth="true" hidden="false" outlineLevel="0" max="1025" min="6" style="1" width="9.16"/>
  </cols>
  <sheetData>
    <row r="1" customFormat="false" ht="27" hidden="false" customHeight="true" outlineLevel="0" collapsed="false">
      <c r="A1" s="1" t="s">
        <v>690</v>
      </c>
      <c r="B1" s="1" t="s">
        <v>761</v>
      </c>
      <c r="C1" s="1" t="s">
        <v>691</v>
      </c>
      <c r="D1" s="1" t="s">
        <v>692</v>
      </c>
      <c r="E1" s="1" t="s">
        <v>758</v>
      </c>
    </row>
    <row r="2" customFormat="false" ht="16" hidden="false" customHeight="false" outlineLevel="0" collapsed="false">
      <c r="A2" s="1" t="s">
        <v>762</v>
      </c>
      <c r="B2" s="1" t="s">
        <v>763</v>
      </c>
      <c r="C2" s="1" t="s">
        <v>695</v>
      </c>
      <c r="D2" s="1" t="s">
        <v>764</v>
      </c>
      <c r="E2" s="1" t="s">
        <v>7</v>
      </c>
    </row>
    <row r="3" customFormat="false" ht="16" hidden="false" customHeight="false" outlineLevel="0" collapsed="false">
      <c r="A3" s="1" t="s">
        <v>765</v>
      </c>
      <c r="B3" s="1" t="s">
        <v>763</v>
      </c>
      <c r="C3" s="1" t="s">
        <v>695</v>
      </c>
      <c r="D3" s="1" t="s">
        <v>766</v>
      </c>
      <c r="E3" s="1" t="s">
        <v>7</v>
      </c>
    </row>
    <row r="4" customFormat="false" ht="16" hidden="false" customHeight="false" outlineLevel="0" collapsed="false">
      <c r="A4" s="1" t="s">
        <v>767</v>
      </c>
      <c r="B4" s="1" t="s">
        <v>763</v>
      </c>
      <c r="C4" s="1" t="s">
        <v>695</v>
      </c>
      <c r="D4" s="1" t="s">
        <v>768</v>
      </c>
      <c r="E4" s="1" t="s">
        <v>7</v>
      </c>
    </row>
    <row r="5" customFormat="false" ht="16" hidden="false" customHeight="false" outlineLevel="0" collapsed="false">
      <c r="A5" s="1" t="s">
        <v>769</v>
      </c>
      <c r="B5" s="1" t="s">
        <v>763</v>
      </c>
      <c r="C5" s="1" t="s">
        <v>695</v>
      </c>
      <c r="D5" s="1" t="s">
        <v>770</v>
      </c>
      <c r="E5" s="1" t="s">
        <v>7</v>
      </c>
    </row>
    <row r="6" customFormat="false" ht="16" hidden="false" customHeight="false" outlineLevel="0" collapsed="false">
      <c r="A6" s="1" t="s">
        <v>771</v>
      </c>
      <c r="B6" s="1" t="s">
        <v>763</v>
      </c>
      <c r="C6" s="1" t="s">
        <v>695</v>
      </c>
      <c r="D6" s="1" t="s">
        <v>696</v>
      </c>
      <c r="E6" s="1" t="s">
        <v>7</v>
      </c>
    </row>
    <row r="7" customFormat="false" ht="16" hidden="false" customHeight="false" outlineLevel="0" collapsed="false">
      <c r="A7" s="1" t="s">
        <v>772</v>
      </c>
      <c r="B7" s="1" t="s">
        <v>773</v>
      </c>
      <c r="C7" s="1" t="s">
        <v>695</v>
      </c>
      <c r="D7" s="1" t="s">
        <v>764</v>
      </c>
      <c r="E7" s="1" t="s">
        <v>7</v>
      </c>
    </row>
    <row r="8" customFormat="false" ht="16" hidden="false" customHeight="false" outlineLevel="0" collapsed="false">
      <c r="A8" s="1" t="s">
        <v>774</v>
      </c>
      <c r="B8" s="1" t="s">
        <v>773</v>
      </c>
      <c r="C8" s="1" t="s">
        <v>695</v>
      </c>
      <c r="D8" s="1" t="s">
        <v>766</v>
      </c>
      <c r="E8" s="1" t="s">
        <v>7</v>
      </c>
    </row>
    <row r="9" customFormat="false" ht="16" hidden="false" customHeight="false" outlineLevel="0" collapsed="false">
      <c r="A9" s="1" t="s">
        <v>775</v>
      </c>
      <c r="B9" s="1" t="s">
        <v>773</v>
      </c>
      <c r="C9" s="1" t="s">
        <v>695</v>
      </c>
      <c r="D9" s="1" t="s">
        <v>768</v>
      </c>
      <c r="E9" s="1" t="s">
        <v>7</v>
      </c>
    </row>
    <row r="10" customFormat="false" ht="16" hidden="false" customHeight="false" outlineLevel="0" collapsed="false">
      <c r="A10" s="1" t="s">
        <v>776</v>
      </c>
      <c r="B10" s="1" t="s">
        <v>773</v>
      </c>
      <c r="C10" s="1" t="s">
        <v>695</v>
      </c>
      <c r="D10" s="1" t="s">
        <v>770</v>
      </c>
      <c r="E10" s="1" t="s">
        <v>7</v>
      </c>
    </row>
    <row r="11" customFormat="false" ht="16" hidden="false" customHeight="false" outlineLevel="0" collapsed="false">
      <c r="A11" s="1" t="s">
        <v>777</v>
      </c>
      <c r="B11" s="1" t="s">
        <v>773</v>
      </c>
      <c r="C11" s="1" t="s">
        <v>695</v>
      </c>
      <c r="D11" s="1" t="s">
        <v>696</v>
      </c>
      <c r="E11" s="1" t="s">
        <v>7</v>
      </c>
    </row>
    <row r="12" customFormat="false" ht="16" hidden="false" customHeight="false" outlineLevel="0" collapsed="false">
      <c r="A12" s="1" t="s">
        <v>778</v>
      </c>
      <c r="B12" s="1" t="s">
        <v>779</v>
      </c>
      <c r="C12" s="1" t="s">
        <v>695</v>
      </c>
      <c r="D12" s="1" t="s">
        <v>764</v>
      </c>
      <c r="E12" s="1" t="s">
        <v>7</v>
      </c>
    </row>
    <row r="13" customFormat="false" ht="16" hidden="false" customHeight="false" outlineLevel="0" collapsed="false">
      <c r="A13" s="1" t="s">
        <v>780</v>
      </c>
      <c r="B13" s="1" t="s">
        <v>779</v>
      </c>
      <c r="C13" s="1" t="s">
        <v>695</v>
      </c>
      <c r="D13" s="1" t="s">
        <v>766</v>
      </c>
      <c r="E13" s="1" t="s">
        <v>7</v>
      </c>
    </row>
    <row r="14" customFormat="false" ht="16" hidden="false" customHeight="false" outlineLevel="0" collapsed="false">
      <c r="A14" s="1" t="s">
        <v>781</v>
      </c>
      <c r="B14" s="1" t="s">
        <v>779</v>
      </c>
      <c r="C14" s="1" t="s">
        <v>695</v>
      </c>
      <c r="D14" s="1" t="s">
        <v>768</v>
      </c>
      <c r="E14" s="1" t="s">
        <v>7</v>
      </c>
    </row>
    <row r="15" customFormat="false" ht="16" hidden="false" customHeight="false" outlineLevel="0" collapsed="false">
      <c r="A15" s="1" t="s">
        <v>782</v>
      </c>
      <c r="B15" s="1" t="s">
        <v>779</v>
      </c>
      <c r="C15" s="1" t="s">
        <v>695</v>
      </c>
      <c r="D15" s="1" t="s">
        <v>770</v>
      </c>
      <c r="E15" s="1" t="s">
        <v>7</v>
      </c>
    </row>
    <row r="16" customFormat="false" ht="16" hidden="false" customHeight="false" outlineLevel="0" collapsed="false">
      <c r="A16" s="1" t="s">
        <v>783</v>
      </c>
      <c r="B16" s="1" t="s">
        <v>779</v>
      </c>
      <c r="C16" s="1" t="s">
        <v>695</v>
      </c>
      <c r="D16" s="1" t="s">
        <v>696</v>
      </c>
      <c r="E16" s="1" t="s">
        <v>7</v>
      </c>
    </row>
    <row r="17" customFormat="false" ht="16" hidden="false" customHeight="false" outlineLevel="0" collapsed="false">
      <c r="A17" s="1" t="s">
        <v>784</v>
      </c>
      <c r="B17" s="1" t="s">
        <v>785</v>
      </c>
      <c r="C17" s="1" t="s">
        <v>695</v>
      </c>
      <c r="D17" s="1" t="s">
        <v>770</v>
      </c>
      <c r="E17" s="1" t="s">
        <v>7</v>
      </c>
    </row>
    <row r="18" customFormat="false" ht="16" hidden="false" customHeight="false" outlineLevel="0" collapsed="false">
      <c r="A18" s="1" t="s">
        <v>786</v>
      </c>
      <c r="B18" s="1" t="s">
        <v>787</v>
      </c>
      <c r="C18" s="1" t="s">
        <v>695</v>
      </c>
      <c r="D18" s="1" t="s">
        <v>768</v>
      </c>
      <c r="E18" s="1" t="s">
        <v>7</v>
      </c>
    </row>
    <row r="19" customFormat="false" ht="16" hidden="false" customHeight="false" outlineLevel="0" collapsed="false">
      <c r="A19" s="1" t="s">
        <v>788</v>
      </c>
      <c r="B19" s="1" t="s">
        <v>789</v>
      </c>
      <c r="C19" s="1" t="s">
        <v>695</v>
      </c>
      <c r="D19" s="1" t="s">
        <v>768</v>
      </c>
      <c r="E19" s="1" t="s">
        <v>7</v>
      </c>
    </row>
    <row r="20" customFormat="false" ht="16" hidden="false" customHeight="false" outlineLevel="0" collapsed="false">
      <c r="A20" s="1" t="s">
        <v>790</v>
      </c>
      <c r="B20" s="1" t="s">
        <v>791</v>
      </c>
      <c r="C20" s="1" t="s">
        <v>695</v>
      </c>
      <c r="D20" s="1" t="s">
        <v>768</v>
      </c>
      <c r="E20" s="1" t="s">
        <v>7</v>
      </c>
    </row>
    <row r="21" customFormat="false" ht="16" hidden="false" customHeight="false" outlineLevel="0" collapsed="false">
      <c r="A21" s="1" t="s">
        <v>792</v>
      </c>
      <c r="B21" s="1" t="s">
        <v>793</v>
      </c>
      <c r="C21" s="1" t="s">
        <v>695</v>
      </c>
      <c r="D21" s="1" t="s">
        <v>768</v>
      </c>
      <c r="E21" s="1" t="s">
        <v>7</v>
      </c>
    </row>
    <row r="22" customFormat="false" ht="16" hidden="false" customHeight="false" outlineLevel="0" collapsed="false">
      <c r="A22" s="1" t="s">
        <v>794</v>
      </c>
      <c r="B22" s="1" t="s">
        <v>795</v>
      </c>
      <c r="C22" s="1" t="s">
        <v>695</v>
      </c>
      <c r="D22" s="1" t="s">
        <v>764</v>
      </c>
      <c r="E22" s="1" t="s">
        <v>7</v>
      </c>
    </row>
    <row r="23" customFormat="false" ht="16" hidden="false" customHeight="false" outlineLevel="0" collapsed="false">
      <c r="A23" s="1" t="s">
        <v>796</v>
      </c>
      <c r="B23" s="1" t="s">
        <v>795</v>
      </c>
      <c r="C23" s="1" t="s">
        <v>695</v>
      </c>
      <c r="D23" s="1" t="s">
        <v>766</v>
      </c>
      <c r="E23" s="1" t="s">
        <v>7</v>
      </c>
    </row>
    <row r="24" customFormat="false" ht="16" hidden="false" customHeight="false" outlineLevel="0" collapsed="false">
      <c r="A24" s="1" t="s">
        <v>797</v>
      </c>
      <c r="B24" s="1" t="s">
        <v>795</v>
      </c>
      <c r="C24" s="1" t="s">
        <v>695</v>
      </c>
      <c r="D24" s="1" t="s">
        <v>768</v>
      </c>
      <c r="E24" s="1" t="s">
        <v>7</v>
      </c>
    </row>
    <row r="25" customFormat="false" ht="16" hidden="false" customHeight="false" outlineLevel="0" collapsed="false">
      <c r="A25" s="1" t="s">
        <v>798</v>
      </c>
      <c r="B25" s="1" t="s">
        <v>795</v>
      </c>
      <c r="C25" s="1" t="s">
        <v>695</v>
      </c>
      <c r="D25" s="1" t="s">
        <v>770</v>
      </c>
      <c r="E25" s="1" t="s">
        <v>7</v>
      </c>
    </row>
    <row r="26" customFormat="false" ht="16" hidden="false" customHeight="false" outlineLevel="0" collapsed="false">
      <c r="A26" s="1" t="s">
        <v>799</v>
      </c>
      <c r="B26" s="1" t="s">
        <v>795</v>
      </c>
      <c r="C26" s="1" t="s">
        <v>695</v>
      </c>
      <c r="D26" s="1" t="s">
        <v>696</v>
      </c>
      <c r="E26" s="1" t="s">
        <v>7</v>
      </c>
    </row>
    <row r="27" customFormat="false" ht="16" hidden="false" customHeight="false" outlineLevel="0" collapsed="false">
      <c r="A27" s="1" t="s">
        <v>800</v>
      </c>
      <c r="B27" s="1" t="s">
        <v>801</v>
      </c>
      <c r="C27" s="1" t="s">
        <v>695</v>
      </c>
      <c r="D27" s="1" t="s">
        <v>764</v>
      </c>
      <c r="E27" s="1" t="s">
        <v>7</v>
      </c>
    </row>
    <row r="28" customFormat="false" ht="16" hidden="false" customHeight="false" outlineLevel="0" collapsed="false">
      <c r="A28" s="1" t="s">
        <v>802</v>
      </c>
      <c r="B28" s="1" t="s">
        <v>801</v>
      </c>
      <c r="C28" s="1" t="s">
        <v>695</v>
      </c>
      <c r="D28" s="1" t="s">
        <v>766</v>
      </c>
      <c r="E28" s="1" t="s">
        <v>7</v>
      </c>
    </row>
    <row r="29" customFormat="false" ht="16" hidden="false" customHeight="false" outlineLevel="0" collapsed="false">
      <c r="A29" s="1" t="s">
        <v>803</v>
      </c>
      <c r="B29" s="1" t="s">
        <v>801</v>
      </c>
      <c r="C29" s="1" t="s">
        <v>695</v>
      </c>
      <c r="D29" s="1" t="s">
        <v>768</v>
      </c>
      <c r="E29" s="1" t="s">
        <v>7</v>
      </c>
    </row>
    <row r="30" customFormat="false" ht="16" hidden="false" customHeight="false" outlineLevel="0" collapsed="false">
      <c r="A30" s="1" t="s">
        <v>804</v>
      </c>
      <c r="B30" s="1" t="s">
        <v>801</v>
      </c>
      <c r="C30" s="1" t="s">
        <v>695</v>
      </c>
      <c r="D30" s="1" t="s">
        <v>770</v>
      </c>
      <c r="E30" s="1" t="s">
        <v>7</v>
      </c>
    </row>
    <row r="31" customFormat="false" ht="16" hidden="false" customHeight="false" outlineLevel="0" collapsed="false">
      <c r="A31" s="1" t="s">
        <v>805</v>
      </c>
      <c r="B31" s="1" t="s">
        <v>801</v>
      </c>
      <c r="C31" s="1" t="s">
        <v>695</v>
      </c>
      <c r="D31" s="1" t="s">
        <v>696</v>
      </c>
      <c r="E31" s="1" t="s">
        <v>7</v>
      </c>
    </row>
    <row r="32" customFormat="false" ht="16" hidden="false" customHeight="false" outlineLevel="0" collapsed="false">
      <c r="A32" s="1" t="s">
        <v>806</v>
      </c>
      <c r="B32" s="1" t="s">
        <v>807</v>
      </c>
      <c r="C32" s="1" t="s">
        <v>695</v>
      </c>
      <c r="D32" s="1" t="s">
        <v>764</v>
      </c>
      <c r="E32" s="1" t="s">
        <v>7</v>
      </c>
    </row>
    <row r="33" customFormat="false" ht="16" hidden="false" customHeight="false" outlineLevel="0" collapsed="false">
      <c r="A33" s="1" t="s">
        <v>808</v>
      </c>
      <c r="B33" s="1" t="s">
        <v>807</v>
      </c>
      <c r="C33" s="1" t="s">
        <v>695</v>
      </c>
      <c r="D33" s="1" t="s">
        <v>766</v>
      </c>
      <c r="E33" s="1" t="s">
        <v>7</v>
      </c>
    </row>
    <row r="34" customFormat="false" ht="16" hidden="false" customHeight="false" outlineLevel="0" collapsed="false">
      <c r="A34" s="1" t="s">
        <v>809</v>
      </c>
      <c r="B34" s="1" t="s">
        <v>807</v>
      </c>
      <c r="C34" s="1" t="s">
        <v>695</v>
      </c>
      <c r="D34" s="1" t="s">
        <v>768</v>
      </c>
      <c r="E34" s="1" t="s">
        <v>7</v>
      </c>
    </row>
    <row r="35" customFormat="false" ht="16" hidden="false" customHeight="false" outlineLevel="0" collapsed="false">
      <c r="A35" s="1" t="s">
        <v>810</v>
      </c>
      <c r="B35" s="1" t="s">
        <v>807</v>
      </c>
      <c r="C35" s="1" t="s">
        <v>695</v>
      </c>
      <c r="D35" s="1" t="s">
        <v>770</v>
      </c>
      <c r="E35" s="1" t="s">
        <v>7</v>
      </c>
    </row>
    <row r="36" customFormat="false" ht="16" hidden="false" customHeight="false" outlineLevel="0" collapsed="false">
      <c r="A36" s="1" t="s">
        <v>811</v>
      </c>
      <c r="B36" s="1" t="s">
        <v>807</v>
      </c>
      <c r="C36" s="1" t="s">
        <v>695</v>
      </c>
      <c r="D36" s="1" t="s">
        <v>696</v>
      </c>
      <c r="E36" s="1" t="s">
        <v>7</v>
      </c>
    </row>
    <row r="37" customFormat="false" ht="16" hidden="false" customHeight="false" outlineLevel="0" collapsed="false">
      <c r="A37" s="1" t="s">
        <v>812</v>
      </c>
      <c r="B37" s="1" t="s">
        <v>813</v>
      </c>
      <c r="C37" s="1" t="s">
        <v>695</v>
      </c>
      <c r="D37" s="1" t="s">
        <v>764</v>
      </c>
      <c r="E37" s="1" t="s">
        <v>7</v>
      </c>
    </row>
    <row r="38" customFormat="false" ht="16" hidden="false" customHeight="false" outlineLevel="0" collapsed="false">
      <c r="A38" s="1" t="s">
        <v>814</v>
      </c>
      <c r="B38" s="1" t="s">
        <v>813</v>
      </c>
      <c r="C38" s="1" t="s">
        <v>695</v>
      </c>
      <c r="D38" s="1" t="s">
        <v>766</v>
      </c>
      <c r="E38" s="1" t="s">
        <v>7</v>
      </c>
    </row>
    <row r="39" customFormat="false" ht="16" hidden="false" customHeight="false" outlineLevel="0" collapsed="false">
      <c r="A39" s="1" t="s">
        <v>815</v>
      </c>
      <c r="B39" s="1" t="s">
        <v>813</v>
      </c>
      <c r="C39" s="1" t="s">
        <v>695</v>
      </c>
      <c r="D39" s="1" t="s">
        <v>768</v>
      </c>
      <c r="E39" s="1" t="s">
        <v>7</v>
      </c>
    </row>
    <row r="40" customFormat="false" ht="16" hidden="false" customHeight="false" outlineLevel="0" collapsed="false">
      <c r="A40" s="1" t="s">
        <v>816</v>
      </c>
      <c r="B40" s="1" t="s">
        <v>813</v>
      </c>
      <c r="C40" s="1" t="s">
        <v>695</v>
      </c>
      <c r="D40" s="1" t="s">
        <v>770</v>
      </c>
      <c r="E40" s="1" t="s">
        <v>7</v>
      </c>
    </row>
    <row r="41" customFormat="false" ht="16" hidden="false" customHeight="false" outlineLevel="0" collapsed="false">
      <c r="A41" s="1" t="s">
        <v>817</v>
      </c>
      <c r="B41" s="1" t="s">
        <v>813</v>
      </c>
      <c r="C41" s="1" t="s">
        <v>695</v>
      </c>
      <c r="D41" s="1" t="s">
        <v>696</v>
      </c>
      <c r="E41" s="1" t="s">
        <v>7</v>
      </c>
    </row>
    <row r="42" customFormat="false" ht="16" hidden="false" customHeight="false" outlineLevel="0" collapsed="false">
      <c r="A42" s="1" t="s">
        <v>818</v>
      </c>
      <c r="B42" s="1" t="s">
        <v>819</v>
      </c>
      <c r="C42" s="1" t="s">
        <v>695</v>
      </c>
      <c r="D42" s="1" t="s">
        <v>764</v>
      </c>
      <c r="E42" s="1" t="s">
        <v>7</v>
      </c>
    </row>
    <row r="43" customFormat="false" ht="16" hidden="false" customHeight="false" outlineLevel="0" collapsed="false">
      <c r="A43" s="1" t="s">
        <v>820</v>
      </c>
      <c r="B43" s="1" t="s">
        <v>819</v>
      </c>
      <c r="C43" s="1" t="s">
        <v>695</v>
      </c>
      <c r="D43" s="1" t="s">
        <v>766</v>
      </c>
      <c r="E43" s="1" t="s">
        <v>7</v>
      </c>
    </row>
    <row r="44" customFormat="false" ht="16" hidden="false" customHeight="false" outlineLevel="0" collapsed="false">
      <c r="A44" s="1" t="s">
        <v>821</v>
      </c>
      <c r="B44" s="1" t="s">
        <v>819</v>
      </c>
      <c r="C44" s="1" t="s">
        <v>695</v>
      </c>
      <c r="D44" s="1" t="s">
        <v>768</v>
      </c>
      <c r="E44" s="1" t="s">
        <v>7</v>
      </c>
    </row>
    <row r="45" customFormat="false" ht="16" hidden="false" customHeight="false" outlineLevel="0" collapsed="false">
      <c r="A45" s="1" t="s">
        <v>822</v>
      </c>
      <c r="B45" s="1" t="s">
        <v>819</v>
      </c>
      <c r="C45" s="1" t="s">
        <v>695</v>
      </c>
      <c r="D45" s="1" t="s">
        <v>770</v>
      </c>
      <c r="E45" s="1" t="s">
        <v>7</v>
      </c>
    </row>
    <row r="46" customFormat="false" ht="16" hidden="false" customHeight="false" outlineLevel="0" collapsed="false">
      <c r="A46" s="1" t="s">
        <v>823</v>
      </c>
      <c r="B46" s="1" t="s">
        <v>819</v>
      </c>
      <c r="C46" s="1" t="s">
        <v>695</v>
      </c>
      <c r="D46" s="1" t="s">
        <v>696</v>
      </c>
      <c r="E46" s="1" t="s">
        <v>7</v>
      </c>
    </row>
    <row r="47" customFormat="false" ht="16" hidden="false" customHeight="false" outlineLevel="0" collapsed="false">
      <c r="A47" s="1" t="s">
        <v>824</v>
      </c>
      <c r="B47" s="1" t="s">
        <v>825</v>
      </c>
      <c r="C47" s="1" t="s">
        <v>695</v>
      </c>
      <c r="D47" s="1" t="s">
        <v>764</v>
      </c>
      <c r="E47" s="1" t="s">
        <v>7</v>
      </c>
    </row>
    <row r="48" customFormat="false" ht="16" hidden="false" customHeight="false" outlineLevel="0" collapsed="false">
      <c r="A48" s="1" t="s">
        <v>826</v>
      </c>
      <c r="B48" s="1" t="s">
        <v>825</v>
      </c>
      <c r="C48" s="1" t="s">
        <v>695</v>
      </c>
      <c r="D48" s="1" t="s">
        <v>766</v>
      </c>
      <c r="E48" s="1" t="s">
        <v>7</v>
      </c>
    </row>
    <row r="49" customFormat="false" ht="16" hidden="false" customHeight="false" outlineLevel="0" collapsed="false">
      <c r="A49" s="1" t="s">
        <v>827</v>
      </c>
      <c r="B49" s="1" t="s">
        <v>825</v>
      </c>
      <c r="C49" s="1" t="s">
        <v>695</v>
      </c>
      <c r="D49" s="1" t="s">
        <v>768</v>
      </c>
      <c r="E49" s="1" t="s">
        <v>7</v>
      </c>
    </row>
    <row r="50" customFormat="false" ht="16" hidden="false" customHeight="false" outlineLevel="0" collapsed="false">
      <c r="A50" s="1" t="s">
        <v>828</v>
      </c>
      <c r="B50" s="1" t="s">
        <v>825</v>
      </c>
      <c r="C50" s="1" t="s">
        <v>695</v>
      </c>
      <c r="D50" s="1" t="s">
        <v>770</v>
      </c>
      <c r="E50" s="1" t="s">
        <v>7</v>
      </c>
    </row>
    <row r="51" customFormat="false" ht="16" hidden="false" customHeight="false" outlineLevel="0" collapsed="false">
      <c r="A51" s="1" t="s">
        <v>829</v>
      </c>
      <c r="B51" s="1" t="s">
        <v>825</v>
      </c>
      <c r="C51" s="1" t="s">
        <v>695</v>
      </c>
      <c r="D51" s="1" t="s">
        <v>696</v>
      </c>
      <c r="E51" s="1" t="s">
        <v>7</v>
      </c>
    </row>
    <row r="52" customFormat="false" ht="16" hidden="false" customHeight="false" outlineLevel="0" collapsed="false">
      <c r="A52" s="1" t="s">
        <v>830</v>
      </c>
      <c r="B52" s="1" t="s">
        <v>831</v>
      </c>
      <c r="C52" s="1" t="s">
        <v>695</v>
      </c>
      <c r="D52" s="1" t="s">
        <v>764</v>
      </c>
      <c r="E52" s="1" t="s">
        <v>7</v>
      </c>
    </row>
    <row r="53" customFormat="false" ht="16" hidden="false" customHeight="false" outlineLevel="0" collapsed="false">
      <c r="A53" s="1" t="s">
        <v>832</v>
      </c>
      <c r="B53" s="1" t="s">
        <v>831</v>
      </c>
      <c r="C53" s="1" t="s">
        <v>695</v>
      </c>
      <c r="D53" s="1" t="s">
        <v>766</v>
      </c>
      <c r="E53" s="1" t="s">
        <v>7</v>
      </c>
    </row>
    <row r="54" customFormat="false" ht="16" hidden="false" customHeight="false" outlineLevel="0" collapsed="false">
      <c r="A54" s="1" t="s">
        <v>833</v>
      </c>
      <c r="B54" s="1" t="s">
        <v>831</v>
      </c>
      <c r="C54" s="1" t="s">
        <v>695</v>
      </c>
      <c r="D54" s="1" t="s">
        <v>768</v>
      </c>
      <c r="E54" s="1" t="s">
        <v>7</v>
      </c>
    </row>
    <row r="55" customFormat="false" ht="16" hidden="false" customHeight="false" outlineLevel="0" collapsed="false">
      <c r="A55" s="1" t="s">
        <v>834</v>
      </c>
      <c r="B55" s="1" t="s">
        <v>831</v>
      </c>
      <c r="C55" s="1" t="s">
        <v>695</v>
      </c>
      <c r="D55" s="1" t="s">
        <v>770</v>
      </c>
      <c r="E55" s="1" t="s">
        <v>7</v>
      </c>
    </row>
    <row r="56" customFormat="false" ht="16" hidden="false" customHeight="false" outlineLevel="0" collapsed="false">
      <c r="A56" s="1" t="s">
        <v>835</v>
      </c>
      <c r="B56" s="1" t="s">
        <v>831</v>
      </c>
      <c r="C56" s="1" t="s">
        <v>695</v>
      </c>
      <c r="D56" s="1" t="s">
        <v>696</v>
      </c>
      <c r="E56" s="1" t="s">
        <v>7</v>
      </c>
    </row>
    <row r="57" customFormat="false" ht="16" hidden="false" customHeight="false" outlineLevel="0" collapsed="false">
      <c r="A57" s="1" t="s">
        <v>836</v>
      </c>
      <c r="B57" s="1" t="s">
        <v>837</v>
      </c>
      <c r="C57" s="1" t="s">
        <v>695</v>
      </c>
      <c r="D57" s="1" t="s">
        <v>764</v>
      </c>
      <c r="E57" s="1" t="s">
        <v>7</v>
      </c>
    </row>
    <row r="58" customFormat="false" ht="16" hidden="false" customHeight="false" outlineLevel="0" collapsed="false">
      <c r="A58" s="1" t="s">
        <v>838</v>
      </c>
      <c r="B58" s="1" t="s">
        <v>837</v>
      </c>
      <c r="C58" s="1" t="s">
        <v>695</v>
      </c>
      <c r="D58" s="1" t="s">
        <v>766</v>
      </c>
      <c r="E58" s="1" t="s">
        <v>7</v>
      </c>
    </row>
    <row r="59" customFormat="false" ht="16" hidden="false" customHeight="false" outlineLevel="0" collapsed="false">
      <c r="A59" s="1" t="s">
        <v>839</v>
      </c>
      <c r="B59" s="1" t="s">
        <v>837</v>
      </c>
      <c r="C59" s="1" t="s">
        <v>695</v>
      </c>
      <c r="D59" s="1" t="s">
        <v>768</v>
      </c>
      <c r="E59" s="1" t="s">
        <v>7</v>
      </c>
    </row>
    <row r="60" customFormat="false" ht="16" hidden="false" customHeight="false" outlineLevel="0" collapsed="false">
      <c r="A60" s="1" t="s">
        <v>840</v>
      </c>
      <c r="B60" s="1" t="s">
        <v>837</v>
      </c>
      <c r="C60" s="1" t="s">
        <v>695</v>
      </c>
      <c r="D60" s="1" t="s">
        <v>770</v>
      </c>
      <c r="E60" s="1" t="s">
        <v>7</v>
      </c>
    </row>
    <row r="61" customFormat="false" ht="16" hidden="false" customHeight="false" outlineLevel="0" collapsed="false">
      <c r="A61" s="1" t="s">
        <v>841</v>
      </c>
      <c r="B61" s="1" t="s">
        <v>837</v>
      </c>
      <c r="C61" s="1" t="s">
        <v>695</v>
      </c>
      <c r="D61" s="1" t="s">
        <v>696</v>
      </c>
      <c r="E61" s="1" t="s">
        <v>7</v>
      </c>
    </row>
    <row r="62" customFormat="false" ht="16" hidden="false" customHeight="false" outlineLevel="0" collapsed="false">
      <c r="A62" s="1" t="s">
        <v>842</v>
      </c>
      <c r="B62" s="1" t="s">
        <v>843</v>
      </c>
      <c r="C62" s="1" t="s">
        <v>695</v>
      </c>
      <c r="D62" s="1" t="s">
        <v>764</v>
      </c>
      <c r="E62" s="1" t="s">
        <v>7</v>
      </c>
    </row>
    <row r="63" customFormat="false" ht="16" hidden="false" customHeight="false" outlineLevel="0" collapsed="false">
      <c r="A63" s="1" t="s">
        <v>844</v>
      </c>
      <c r="B63" s="1" t="s">
        <v>843</v>
      </c>
      <c r="C63" s="1" t="s">
        <v>695</v>
      </c>
      <c r="D63" s="1" t="s">
        <v>766</v>
      </c>
      <c r="E63" s="1" t="s">
        <v>7</v>
      </c>
    </row>
    <row r="64" customFormat="false" ht="16" hidden="false" customHeight="false" outlineLevel="0" collapsed="false">
      <c r="A64" s="1" t="s">
        <v>845</v>
      </c>
      <c r="B64" s="1" t="s">
        <v>843</v>
      </c>
      <c r="C64" s="1" t="s">
        <v>695</v>
      </c>
      <c r="D64" s="1" t="s">
        <v>768</v>
      </c>
      <c r="E64" s="1" t="s">
        <v>7</v>
      </c>
    </row>
    <row r="65" customFormat="false" ht="16" hidden="false" customHeight="false" outlineLevel="0" collapsed="false">
      <c r="A65" s="1" t="s">
        <v>846</v>
      </c>
      <c r="B65" s="1" t="s">
        <v>843</v>
      </c>
      <c r="C65" s="1" t="s">
        <v>695</v>
      </c>
      <c r="D65" s="1" t="s">
        <v>770</v>
      </c>
      <c r="E65" s="1" t="s">
        <v>7</v>
      </c>
    </row>
    <row r="66" customFormat="false" ht="16" hidden="false" customHeight="false" outlineLevel="0" collapsed="false">
      <c r="A66" s="1" t="s">
        <v>847</v>
      </c>
      <c r="B66" s="1" t="s">
        <v>843</v>
      </c>
      <c r="C66" s="1" t="s">
        <v>695</v>
      </c>
      <c r="D66" s="1" t="s">
        <v>696</v>
      </c>
      <c r="E66" s="1" t="s">
        <v>7</v>
      </c>
    </row>
    <row r="67" customFormat="false" ht="16" hidden="false" customHeight="false" outlineLevel="0" collapsed="false">
      <c r="A67" s="1" t="s">
        <v>848</v>
      </c>
      <c r="B67" s="1" t="s">
        <v>849</v>
      </c>
      <c r="C67" s="1" t="s">
        <v>695</v>
      </c>
      <c r="D67" s="1" t="s">
        <v>770</v>
      </c>
      <c r="E67" s="1" t="s">
        <v>7</v>
      </c>
    </row>
    <row r="68" customFormat="false" ht="16" hidden="false" customHeight="false" outlineLevel="0" collapsed="false">
      <c r="A68" s="1" t="s">
        <v>850</v>
      </c>
      <c r="B68" s="1" t="s">
        <v>851</v>
      </c>
      <c r="C68" s="1" t="s">
        <v>695</v>
      </c>
      <c r="D68" s="1" t="s">
        <v>768</v>
      </c>
      <c r="E68" s="1" t="s">
        <v>7</v>
      </c>
    </row>
    <row r="69" customFormat="false" ht="16" hidden="false" customHeight="false" outlineLevel="0" collapsed="false">
      <c r="A69" s="1" t="s">
        <v>852</v>
      </c>
      <c r="B69" s="1" t="s">
        <v>853</v>
      </c>
      <c r="C69" s="1" t="s">
        <v>695</v>
      </c>
      <c r="D69" s="1" t="s">
        <v>764</v>
      </c>
      <c r="E69" s="1" t="s">
        <v>7</v>
      </c>
    </row>
    <row r="70" customFormat="false" ht="16" hidden="false" customHeight="false" outlineLevel="0" collapsed="false">
      <c r="A70" s="1" t="s">
        <v>854</v>
      </c>
      <c r="B70" s="1" t="s">
        <v>853</v>
      </c>
      <c r="C70" s="1" t="s">
        <v>695</v>
      </c>
      <c r="D70" s="1" t="s">
        <v>766</v>
      </c>
      <c r="E70" s="1" t="s">
        <v>7</v>
      </c>
    </row>
    <row r="71" customFormat="false" ht="16" hidden="false" customHeight="false" outlineLevel="0" collapsed="false">
      <c r="A71" s="1" t="s">
        <v>855</v>
      </c>
      <c r="B71" s="1" t="s">
        <v>853</v>
      </c>
      <c r="C71" s="1" t="s">
        <v>695</v>
      </c>
      <c r="D71" s="1" t="s">
        <v>768</v>
      </c>
      <c r="E71" s="1" t="s">
        <v>7</v>
      </c>
    </row>
    <row r="72" customFormat="false" ht="16" hidden="false" customHeight="false" outlineLevel="0" collapsed="false">
      <c r="A72" s="1" t="s">
        <v>856</v>
      </c>
      <c r="B72" s="1" t="s">
        <v>853</v>
      </c>
      <c r="C72" s="1" t="s">
        <v>695</v>
      </c>
      <c r="D72" s="1" t="s">
        <v>770</v>
      </c>
      <c r="E72" s="1" t="s">
        <v>7</v>
      </c>
    </row>
    <row r="73" customFormat="false" ht="16" hidden="false" customHeight="false" outlineLevel="0" collapsed="false">
      <c r="A73" s="1" t="s">
        <v>857</v>
      </c>
      <c r="B73" s="1" t="s">
        <v>853</v>
      </c>
      <c r="C73" s="1" t="s">
        <v>695</v>
      </c>
      <c r="D73" s="1" t="s">
        <v>696</v>
      </c>
      <c r="E73" s="1" t="s">
        <v>7</v>
      </c>
    </row>
    <row r="74" customFormat="false" ht="16" hidden="false" customHeight="false" outlineLevel="0" collapsed="false">
      <c r="A74" s="1" t="s">
        <v>858</v>
      </c>
      <c r="B74" s="1" t="s">
        <v>859</v>
      </c>
      <c r="C74" s="1" t="s">
        <v>695</v>
      </c>
      <c r="D74" s="1" t="s">
        <v>768</v>
      </c>
      <c r="E74" s="1" t="s">
        <v>7</v>
      </c>
    </row>
    <row r="75" customFormat="false" ht="16" hidden="false" customHeight="false" outlineLevel="0" collapsed="false">
      <c r="A75" s="1" t="s">
        <v>860</v>
      </c>
      <c r="B75" s="1" t="s">
        <v>861</v>
      </c>
      <c r="C75" s="1" t="s">
        <v>695</v>
      </c>
      <c r="D75" s="1" t="s">
        <v>764</v>
      </c>
      <c r="E75" s="1" t="s">
        <v>7</v>
      </c>
    </row>
    <row r="76" customFormat="false" ht="16" hidden="false" customHeight="false" outlineLevel="0" collapsed="false">
      <c r="A76" s="1" t="s">
        <v>862</v>
      </c>
      <c r="B76" s="1" t="s">
        <v>861</v>
      </c>
      <c r="C76" s="1" t="s">
        <v>695</v>
      </c>
      <c r="D76" s="1" t="s">
        <v>766</v>
      </c>
      <c r="E76" s="1" t="s">
        <v>7</v>
      </c>
    </row>
    <row r="77" customFormat="false" ht="16" hidden="false" customHeight="false" outlineLevel="0" collapsed="false">
      <c r="A77" s="1" t="s">
        <v>863</v>
      </c>
      <c r="B77" s="1" t="s">
        <v>861</v>
      </c>
      <c r="C77" s="1" t="s">
        <v>695</v>
      </c>
      <c r="D77" s="1" t="s">
        <v>768</v>
      </c>
      <c r="E77" s="1" t="s">
        <v>7</v>
      </c>
    </row>
    <row r="78" customFormat="false" ht="16" hidden="false" customHeight="false" outlineLevel="0" collapsed="false">
      <c r="A78" s="1" t="s">
        <v>864</v>
      </c>
      <c r="B78" s="1" t="s">
        <v>861</v>
      </c>
      <c r="C78" s="1" t="s">
        <v>695</v>
      </c>
      <c r="D78" s="1" t="s">
        <v>770</v>
      </c>
      <c r="E78" s="1" t="s">
        <v>7</v>
      </c>
    </row>
    <row r="79" customFormat="false" ht="16" hidden="false" customHeight="false" outlineLevel="0" collapsed="false">
      <c r="A79" s="1" t="s">
        <v>865</v>
      </c>
      <c r="B79" s="1" t="s">
        <v>861</v>
      </c>
      <c r="C79" s="1" t="s">
        <v>695</v>
      </c>
      <c r="D79" s="1" t="s">
        <v>696</v>
      </c>
      <c r="E79" s="1" t="s">
        <v>7</v>
      </c>
    </row>
    <row r="80" customFormat="false" ht="16" hidden="false" customHeight="false" outlineLevel="0" collapsed="false">
      <c r="A80" s="1" t="s">
        <v>866</v>
      </c>
      <c r="B80" s="1" t="s">
        <v>867</v>
      </c>
      <c r="C80" s="1" t="s">
        <v>695</v>
      </c>
      <c r="D80" s="1" t="s">
        <v>764</v>
      </c>
      <c r="E80" s="1" t="s">
        <v>7</v>
      </c>
    </row>
    <row r="81" customFormat="false" ht="16" hidden="false" customHeight="false" outlineLevel="0" collapsed="false">
      <c r="A81" s="1" t="s">
        <v>868</v>
      </c>
      <c r="B81" s="1" t="s">
        <v>867</v>
      </c>
      <c r="C81" s="1" t="s">
        <v>695</v>
      </c>
      <c r="D81" s="1" t="s">
        <v>766</v>
      </c>
      <c r="E81" s="1" t="s">
        <v>7</v>
      </c>
    </row>
    <row r="82" customFormat="false" ht="16" hidden="false" customHeight="false" outlineLevel="0" collapsed="false">
      <c r="A82" s="1" t="s">
        <v>869</v>
      </c>
      <c r="B82" s="1" t="s">
        <v>867</v>
      </c>
      <c r="C82" s="1" t="s">
        <v>695</v>
      </c>
      <c r="D82" s="1" t="s">
        <v>768</v>
      </c>
      <c r="E82" s="1" t="s">
        <v>7</v>
      </c>
    </row>
    <row r="83" customFormat="false" ht="16" hidden="false" customHeight="false" outlineLevel="0" collapsed="false">
      <c r="A83" s="1" t="s">
        <v>870</v>
      </c>
      <c r="B83" s="1" t="s">
        <v>867</v>
      </c>
      <c r="C83" s="1" t="s">
        <v>695</v>
      </c>
      <c r="D83" s="1" t="s">
        <v>770</v>
      </c>
      <c r="E83" s="1" t="s">
        <v>7</v>
      </c>
    </row>
    <row r="84" customFormat="false" ht="16" hidden="false" customHeight="false" outlineLevel="0" collapsed="false">
      <c r="A84" s="1" t="s">
        <v>871</v>
      </c>
      <c r="B84" s="1" t="s">
        <v>867</v>
      </c>
      <c r="C84" s="1" t="s">
        <v>695</v>
      </c>
      <c r="D84" s="1" t="s">
        <v>696</v>
      </c>
      <c r="E84" s="1" t="s">
        <v>7</v>
      </c>
    </row>
    <row r="85" customFormat="false" ht="16" hidden="false" customHeight="false" outlineLevel="0" collapsed="false">
      <c r="A85" s="1" t="s">
        <v>872</v>
      </c>
      <c r="B85" s="1" t="s">
        <v>873</v>
      </c>
      <c r="C85" s="1" t="s">
        <v>695</v>
      </c>
      <c r="D85" s="1" t="s">
        <v>764</v>
      </c>
      <c r="E85" s="1" t="s">
        <v>7</v>
      </c>
    </row>
    <row r="86" customFormat="false" ht="16" hidden="false" customHeight="false" outlineLevel="0" collapsed="false">
      <c r="A86" s="1" t="s">
        <v>874</v>
      </c>
      <c r="B86" s="1" t="s">
        <v>873</v>
      </c>
      <c r="C86" s="1" t="s">
        <v>695</v>
      </c>
      <c r="D86" s="1" t="s">
        <v>766</v>
      </c>
      <c r="E86" s="1" t="s">
        <v>7</v>
      </c>
    </row>
    <row r="87" customFormat="false" ht="16" hidden="false" customHeight="false" outlineLevel="0" collapsed="false">
      <c r="A87" s="1" t="s">
        <v>875</v>
      </c>
      <c r="B87" s="1" t="s">
        <v>873</v>
      </c>
      <c r="C87" s="1" t="s">
        <v>695</v>
      </c>
      <c r="D87" s="1" t="s">
        <v>768</v>
      </c>
      <c r="E87" s="1" t="s">
        <v>7</v>
      </c>
    </row>
    <row r="88" customFormat="false" ht="16" hidden="false" customHeight="false" outlineLevel="0" collapsed="false">
      <c r="A88" s="1" t="s">
        <v>876</v>
      </c>
      <c r="B88" s="1" t="s">
        <v>873</v>
      </c>
      <c r="C88" s="1" t="s">
        <v>695</v>
      </c>
      <c r="D88" s="1" t="s">
        <v>770</v>
      </c>
      <c r="E88" s="1" t="s">
        <v>7</v>
      </c>
    </row>
    <row r="89" customFormat="false" ht="16" hidden="false" customHeight="false" outlineLevel="0" collapsed="false">
      <c r="A89" s="1" t="s">
        <v>877</v>
      </c>
      <c r="B89" s="1" t="s">
        <v>873</v>
      </c>
      <c r="C89" s="1" t="s">
        <v>695</v>
      </c>
      <c r="D89" s="1" t="s">
        <v>696</v>
      </c>
      <c r="E89" s="1" t="s">
        <v>7</v>
      </c>
    </row>
    <row r="90" customFormat="false" ht="16" hidden="false" customHeight="false" outlineLevel="0" collapsed="false">
      <c r="A90" s="1" t="s">
        <v>878</v>
      </c>
      <c r="B90" s="1" t="s">
        <v>879</v>
      </c>
      <c r="C90" s="1" t="s">
        <v>695</v>
      </c>
      <c r="D90" s="1" t="s">
        <v>764</v>
      </c>
      <c r="E90" s="1" t="s">
        <v>7</v>
      </c>
    </row>
    <row r="91" customFormat="false" ht="16" hidden="false" customHeight="false" outlineLevel="0" collapsed="false">
      <c r="A91" s="1" t="s">
        <v>880</v>
      </c>
      <c r="B91" s="1" t="s">
        <v>879</v>
      </c>
      <c r="C91" s="1" t="s">
        <v>695</v>
      </c>
      <c r="D91" s="1" t="s">
        <v>766</v>
      </c>
      <c r="E91" s="1" t="s">
        <v>7</v>
      </c>
    </row>
    <row r="92" customFormat="false" ht="16" hidden="false" customHeight="false" outlineLevel="0" collapsed="false">
      <c r="A92" s="1" t="s">
        <v>881</v>
      </c>
      <c r="B92" s="1" t="s">
        <v>879</v>
      </c>
      <c r="C92" s="1" t="s">
        <v>695</v>
      </c>
      <c r="D92" s="1" t="s">
        <v>768</v>
      </c>
      <c r="E92" s="1" t="s">
        <v>7</v>
      </c>
    </row>
    <row r="93" customFormat="false" ht="16" hidden="false" customHeight="false" outlineLevel="0" collapsed="false">
      <c r="A93" s="1" t="s">
        <v>882</v>
      </c>
      <c r="B93" s="1" t="s">
        <v>879</v>
      </c>
      <c r="C93" s="1" t="s">
        <v>695</v>
      </c>
      <c r="D93" s="1" t="s">
        <v>770</v>
      </c>
      <c r="E93" s="1" t="s">
        <v>7</v>
      </c>
    </row>
    <row r="94" customFormat="false" ht="16" hidden="false" customHeight="false" outlineLevel="0" collapsed="false">
      <c r="A94" s="1" t="s">
        <v>883</v>
      </c>
      <c r="B94" s="1" t="s">
        <v>879</v>
      </c>
      <c r="C94" s="1" t="s">
        <v>695</v>
      </c>
      <c r="D94" s="1" t="s">
        <v>696</v>
      </c>
      <c r="E94" s="1" t="s">
        <v>7</v>
      </c>
    </row>
    <row r="95" customFormat="false" ht="16" hidden="false" customHeight="false" outlineLevel="0" collapsed="false">
      <c r="A95" s="1" t="s">
        <v>884</v>
      </c>
      <c r="B95" s="1" t="s">
        <v>885</v>
      </c>
      <c r="C95" s="1" t="s">
        <v>695</v>
      </c>
      <c r="D95" s="1" t="s">
        <v>768</v>
      </c>
      <c r="E95" s="1" t="s">
        <v>7</v>
      </c>
    </row>
    <row r="96" customFormat="false" ht="16" hidden="false" customHeight="false" outlineLevel="0" collapsed="false">
      <c r="A96" s="1" t="s">
        <v>886</v>
      </c>
      <c r="B96" s="1" t="s">
        <v>887</v>
      </c>
      <c r="C96" s="1" t="s">
        <v>695</v>
      </c>
      <c r="D96" s="1" t="s">
        <v>764</v>
      </c>
      <c r="E96" s="1" t="s">
        <v>7</v>
      </c>
    </row>
    <row r="97" customFormat="false" ht="16" hidden="false" customHeight="false" outlineLevel="0" collapsed="false">
      <c r="A97" s="1" t="s">
        <v>888</v>
      </c>
      <c r="B97" s="1" t="s">
        <v>887</v>
      </c>
      <c r="C97" s="1" t="s">
        <v>695</v>
      </c>
      <c r="D97" s="1" t="s">
        <v>766</v>
      </c>
      <c r="E97" s="1" t="s">
        <v>7</v>
      </c>
    </row>
    <row r="98" customFormat="false" ht="16" hidden="false" customHeight="false" outlineLevel="0" collapsed="false">
      <c r="A98" s="1" t="s">
        <v>889</v>
      </c>
      <c r="B98" s="1" t="s">
        <v>887</v>
      </c>
      <c r="C98" s="1" t="s">
        <v>695</v>
      </c>
      <c r="D98" s="1" t="s">
        <v>768</v>
      </c>
      <c r="E98" s="1" t="s">
        <v>7</v>
      </c>
    </row>
    <row r="99" customFormat="false" ht="16" hidden="false" customHeight="false" outlineLevel="0" collapsed="false">
      <c r="A99" s="1" t="s">
        <v>890</v>
      </c>
      <c r="B99" s="1" t="s">
        <v>887</v>
      </c>
      <c r="C99" s="1" t="s">
        <v>695</v>
      </c>
      <c r="D99" s="1" t="s">
        <v>770</v>
      </c>
      <c r="E99" s="1" t="s">
        <v>7</v>
      </c>
    </row>
    <row r="100" customFormat="false" ht="16" hidden="false" customHeight="false" outlineLevel="0" collapsed="false">
      <c r="A100" s="1" t="s">
        <v>891</v>
      </c>
      <c r="B100" s="1" t="s">
        <v>887</v>
      </c>
      <c r="C100" s="1" t="s">
        <v>695</v>
      </c>
      <c r="D100" s="1" t="s">
        <v>696</v>
      </c>
      <c r="E100" s="1" t="s">
        <v>7</v>
      </c>
    </row>
    <row r="101" customFormat="false" ht="16" hidden="false" customHeight="false" outlineLevel="0" collapsed="false">
      <c r="A101" s="1" t="s">
        <v>892</v>
      </c>
      <c r="B101" s="1" t="s">
        <v>893</v>
      </c>
      <c r="C101" s="1" t="s">
        <v>695</v>
      </c>
      <c r="D101" s="1" t="s">
        <v>764</v>
      </c>
      <c r="E101" s="1" t="s">
        <v>7</v>
      </c>
    </row>
    <row r="102" customFormat="false" ht="16" hidden="false" customHeight="false" outlineLevel="0" collapsed="false">
      <c r="A102" s="1" t="s">
        <v>894</v>
      </c>
      <c r="B102" s="1" t="s">
        <v>893</v>
      </c>
      <c r="C102" s="1" t="s">
        <v>695</v>
      </c>
      <c r="D102" s="1" t="s">
        <v>766</v>
      </c>
      <c r="E102" s="1" t="s">
        <v>7</v>
      </c>
    </row>
    <row r="103" customFormat="false" ht="16" hidden="false" customHeight="false" outlineLevel="0" collapsed="false">
      <c r="A103" s="1" t="s">
        <v>895</v>
      </c>
      <c r="B103" s="1" t="s">
        <v>893</v>
      </c>
      <c r="C103" s="1" t="s">
        <v>695</v>
      </c>
      <c r="D103" s="1" t="s">
        <v>768</v>
      </c>
      <c r="E103" s="1" t="s">
        <v>7</v>
      </c>
    </row>
    <row r="104" customFormat="false" ht="16" hidden="false" customHeight="false" outlineLevel="0" collapsed="false">
      <c r="A104" s="1" t="s">
        <v>896</v>
      </c>
      <c r="B104" s="1" t="s">
        <v>893</v>
      </c>
      <c r="C104" s="1" t="s">
        <v>695</v>
      </c>
      <c r="D104" s="1" t="s">
        <v>770</v>
      </c>
      <c r="E104" s="1" t="s">
        <v>7</v>
      </c>
    </row>
    <row r="105" customFormat="false" ht="16" hidden="false" customHeight="false" outlineLevel="0" collapsed="false">
      <c r="A105" s="1" t="s">
        <v>897</v>
      </c>
      <c r="B105" s="1" t="s">
        <v>893</v>
      </c>
      <c r="C105" s="1" t="s">
        <v>695</v>
      </c>
      <c r="D105" s="1" t="s">
        <v>696</v>
      </c>
      <c r="E105" s="1" t="s">
        <v>7</v>
      </c>
    </row>
    <row r="106" customFormat="false" ht="16" hidden="false" customHeight="false" outlineLevel="0" collapsed="false">
      <c r="A106" s="1" t="s">
        <v>898</v>
      </c>
      <c r="B106" s="1" t="s">
        <v>899</v>
      </c>
      <c r="C106" s="1" t="s">
        <v>695</v>
      </c>
      <c r="D106" s="1" t="s">
        <v>764</v>
      </c>
      <c r="E106" s="1" t="s">
        <v>7</v>
      </c>
    </row>
    <row r="107" customFormat="false" ht="16" hidden="false" customHeight="false" outlineLevel="0" collapsed="false">
      <c r="A107" s="1" t="s">
        <v>900</v>
      </c>
      <c r="B107" s="1" t="s">
        <v>899</v>
      </c>
      <c r="C107" s="1" t="s">
        <v>695</v>
      </c>
      <c r="D107" s="1" t="s">
        <v>766</v>
      </c>
      <c r="E107" s="1" t="s">
        <v>7</v>
      </c>
    </row>
    <row r="108" customFormat="false" ht="16" hidden="false" customHeight="false" outlineLevel="0" collapsed="false">
      <c r="A108" s="1" t="s">
        <v>901</v>
      </c>
      <c r="B108" s="1" t="s">
        <v>899</v>
      </c>
      <c r="C108" s="1" t="s">
        <v>695</v>
      </c>
      <c r="D108" s="1" t="s">
        <v>768</v>
      </c>
      <c r="E108" s="1" t="s">
        <v>7</v>
      </c>
    </row>
    <row r="109" customFormat="false" ht="16" hidden="false" customHeight="false" outlineLevel="0" collapsed="false">
      <c r="A109" s="1" t="s">
        <v>902</v>
      </c>
      <c r="B109" s="1" t="s">
        <v>899</v>
      </c>
      <c r="C109" s="1" t="s">
        <v>695</v>
      </c>
      <c r="D109" s="1" t="s">
        <v>770</v>
      </c>
      <c r="E109" s="1" t="s">
        <v>7</v>
      </c>
    </row>
    <row r="110" customFormat="false" ht="16" hidden="false" customHeight="false" outlineLevel="0" collapsed="false">
      <c r="A110" s="1" t="s">
        <v>903</v>
      </c>
      <c r="B110" s="1" t="s">
        <v>899</v>
      </c>
      <c r="C110" s="1" t="s">
        <v>695</v>
      </c>
      <c r="D110" s="1" t="s">
        <v>696</v>
      </c>
      <c r="E110" s="1" t="s">
        <v>7</v>
      </c>
    </row>
    <row r="111" customFormat="false" ht="16" hidden="false" customHeight="false" outlineLevel="0" collapsed="false">
      <c r="A111" s="1" t="s">
        <v>904</v>
      </c>
      <c r="B111" s="1" t="s">
        <v>905</v>
      </c>
      <c r="C111" s="1" t="s">
        <v>695</v>
      </c>
      <c r="D111" s="1" t="s">
        <v>764</v>
      </c>
      <c r="E111" s="1" t="s">
        <v>906</v>
      </c>
    </row>
    <row r="112" customFormat="false" ht="16" hidden="false" customHeight="false" outlineLevel="0" collapsed="false">
      <c r="A112" s="1" t="s">
        <v>907</v>
      </c>
      <c r="B112" s="1" t="s">
        <v>905</v>
      </c>
      <c r="C112" s="1" t="s">
        <v>695</v>
      </c>
      <c r="D112" s="1" t="s">
        <v>766</v>
      </c>
      <c r="E112" s="1" t="s">
        <v>906</v>
      </c>
    </row>
    <row r="113" customFormat="false" ht="16" hidden="false" customHeight="false" outlineLevel="0" collapsed="false">
      <c r="A113" s="1" t="s">
        <v>908</v>
      </c>
      <c r="B113" s="1" t="s">
        <v>905</v>
      </c>
      <c r="C113" s="1" t="s">
        <v>695</v>
      </c>
      <c r="D113" s="1" t="s">
        <v>768</v>
      </c>
      <c r="E113" s="1" t="s">
        <v>906</v>
      </c>
    </row>
    <row r="114" customFormat="false" ht="16" hidden="false" customHeight="false" outlineLevel="0" collapsed="false">
      <c r="A114" s="1" t="s">
        <v>909</v>
      </c>
      <c r="B114" s="1" t="s">
        <v>905</v>
      </c>
      <c r="C114" s="1" t="s">
        <v>695</v>
      </c>
      <c r="D114" s="1" t="s">
        <v>770</v>
      </c>
      <c r="E114" s="1" t="s">
        <v>906</v>
      </c>
    </row>
    <row r="115" customFormat="false" ht="16" hidden="false" customHeight="false" outlineLevel="0" collapsed="false">
      <c r="A115" s="1" t="s">
        <v>910</v>
      </c>
      <c r="B115" s="1" t="s">
        <v>905</v>
      </c>
      <c r="C115" s="1" t="s">
        <v>695</v>
      </c>
      <c r="D115" s="1" t="s">
        <v>696</v>
      </c>
      <c r="E115" s="1" t="s">
        <v>906</v>
      </c>
    </row>
    <row r="116" customFormat="false" ht="16" hidden="false" customHeight="false" outlineLevel="0" collapsed="false">
      <c r="A116" s="1" t="s">
        <v>911</v>
      </c>
      <c r="B116" s="1" t="s">
        <v>912</v>
      </c>
      <c r="C116" s="1" t="s">
        <v>695</v>
      </c>
      <c r="D116" s="1" t="s">
        <v>764</v>
      </c>
      <c r="E116" s="1" t="s">
        <v>906</v>
      </c>
    </row>
    <row r="117" customFormat="false" ht="16" hidden="false" customHeight="false" outlineLevel="0" collapsed="false">
      <c r="A117" s="1" t="s">
        <v>913</v>
      </c>
      <c r="B117" s="1" t="s">
        <v>912</v>
      </c>
      <c r="C117" s="1" t="s">
        <v>695</v>
      </c>
      <c r="D117" s="1" t="s">
        <v>766</v>
      </c>
      <c r="E117" s="1" t="s">
        <v>906</v>
      </c>
    </row>
    <row r="118" customFormat="false" ht="16" hidden="false" customHeight="false" outlineLevel="0" collapsed="false">
      <c r="A118" s="1" t="s">
        <v>914</v>
      </c>
      <c r="B118" s="1" t="s">
        <v>912</v>
      </c>
      <c r="C118" s="1" t="s">
        <v>695</v>
      </c>
      <c r="D118" s="1" t="s">
        <v>768</v>
      </c>
      <c r="E118" s="1" t="s">
        <v>906</v>
      </c>
    </row>
    <row r="119" customFormat="false" ht="16" hidden="false" customHeight="false" outlineLevel="0" collapsed="false">
      <c r="A119" s="1" t="s">
        <v>915</v>
      </c>
      <c r="B119" s="1" t="s">
        <v>912</v>
      </c>
      <c r="C119" s="1" t="s">
        <v>695</v>
      </c>
      <c r="D119" s="1" t="s">
        <v>770</v>
      </c>
      <c r="E119" s="1" t="s">
        <v>906</v>
      </c>
    </row>
    <row r="120" customFormat="false" ht="16" hidden="false" customHeight="false" outlineLevel="0" collapsed="false">
      <c r="A120" s="1" t="s">
        <v>916</v>
      </c>
      <c r="B120" s="1" t="s">
        <v>912</v>
      </c>
      <c r="C120" s="1" t="s">
        <v>695</v>
      </c>
      <c r="D120" s="1" t="s">
        <v>696</v>
      </c>
      <c r="E120" s="1" t="s">
        <v>906</v>
      </c>
    </row>
    <row r="121" customFormat="false" ht="16" hidden="false" customHeight="false" outlineLevel="0" collapsed="false">
      <c r="A121" s="1" t="s">
        <v>917</v>
      </c>
      <c r="B121" s="1" t="s">
        <v>918</v>
      </c>
      <c r="C121" s="1" t="s">
        <v>695</v>
      </c>
      <c r="D121" s="1" t="s">
        <v>768</v>
      </c>
      <c r="E121" s="1" t="s">
        <v>7</v>
      </c>
    </row>
    <row r="122" customFormat="false" ht="16" hidden="false" customHeight="false" outlineLevel="0" collapsed="false">
      <c r="A122" s="1" t="s">
        <v>919</v>
      </c>
      <c r="B122" s="1" t="s">
        <v>920</v>
      </c>
      <c r="C122" s="1" t="s">
        <v>695</v>
      </c>
      <c r="D122" s="1" t="s">
        <v>764</v>
      </c>
      <c r="E122" s="1" t="s">
        <v>7</v>
      </c>
    </row>
    <row r="123" customFormat="false" ht="16" hidden="false" customHeight="false" outlineLevel="0" collapsed="false">
      <c r="A123" s="1" t="s">
        <v>921</v>
      </c>
      <c r="B123" s="1" t="s">
        <v>920</v>
      </c>
      <c r="C123" s="1" t="s">
        <v>695</v>
      </c>
      <c r="D123" s="1" t="s">
        <v>766</v>
      </c>
      <c r="E123" s="1" t="s">
        <v>7</v>
      </c>
    </row>
    <row r="124" customFormat="false" ht="16" hidden="false" customHeight="false" outlineLevel="0" collapsed="false">
      <c r="A124" s="1" t="s">
        <v>922</v>
      </c>
      <c r="B124" s="1" t="s">
        <v>920</v>
      </c>
      <c r="C124" s="1" t="s">
        <v>695</v>
      </c>
      <c r="D124" s="1" t="s">
        <v>768</v>
      </c>
      <c r="E124" s="1" t="s">
        <v>7</v>
      </c>
    </row>
    <row r="125" customFormat="false" ht="16" hidden="false" customHeight="false" outlineLevel="0" collapsed="false">
      <c r="A125" s="1" t="s">
        <v>923</v>
      </c>
      <c r="B125" s="1" t="s">
        <v>920</v>
      </c>
      <c r="C125" s="1" t="s">
        <v>695</v>
      </c>
      <c r="D125" s="1" t="s">
        <v>770</v>
      </c>
      <c r="E125" s="1" t="s">
        <v>7</v>
      </c>
    </row>
    <row r="126" customFormat="false" ht="16" hidden="false" customHeight="false" outlineLevel="0" collapsed="false">
      <c r="A126" s="1" t="s">
        <v>924</v>
      </c>
      <c r="B126" s="1" t="s">
        <v>920</v>
      </c>
      <c r="C126" s="1" t="s">
        <v>695</v>
      </c>
      <c r="D126" s="1" t="s">
        <v>696</v>
      </c>
      <c r="E126" s="1" t="s">
        <v>7</v>
      </c>
    </row>
    <row r="127" customFormat="false" ht="16" hidden="false" customHeight="false" outlineLevel="0" collapsed="false">
      <c r="A127" s="1" t="s">
        <v>925</v>
      </c>
      <c r="B127" s="1" t="s">
        <v>926</v>
      </c>
      <c r="C127" s="1" t="s">
        <v>695</v>
      </c>
      <c r="D127" s="1" t="s">
        <v>764</v>
      </c>
      <c r="E127" s="1" t="s">
        <v>7</v>
      </c>
    </row>
    <row r="128" customFormat="false" ht="16" hidden="false" customHeight="false" outlineLevel="0" collapsed="false">
      <c r="A128" s="1" t="s">
        <v>927</v>
      </c>
      <c r="B128" s="1" t="s">
        <v>926</v>
      </c>
      <c r="C128" s="1" t="s">
        <v>695</v>
      </c>
      <c r="D128" s="1" t="s">
        <v>766</v>
      </c>
      <c r="E128" s="1" t="s">
        <v>7</v>
      </c>
    </row>
    <row r="129" customFormat="false" ht="16" hidden="false" customHeight="false" outlineLevel="0" collapsed="false">
      <c r="A129" s="1" t="s">
        <v>928</v>
      </c>
      <c r="B129" s="1" t="s">
        <v>926</v>
      </c>
      <c r="C129" s="1" t="s">
        <v>695</v>
      </c>
      <c r="D129" s="1" t="s">
        <v>768</v>
      </c>
      <c r="E129" s="1" t="s">
        <v>7</v>
      </c>
    </row>
    <row r="130" customFormat="false" ht="16" hidden="false" customHeight="false" outlineLevel="0" collapsed="false">
      <c r="A130" s="1" t="s">
        <v>929</v>
      </c>
      <c r="B130" s="1" t="s">
        <v>926</v>
      </c>
      <c r="C130" s="1" t="s">
        <v>695</v>
      </c>
      <c r="D130" s="1" t="s">
        <v>770</v>
      </c>
      <c r="E130" s="1" t="s">
        <v>7</v>
      </c>
    </row>
    <row r="131" customFormat="false" ht="16" hidden="false" customHeight="false" outlineLevel="0" collapsed="false">
      <c r="A131" s="1" t="s">
        <v>930</v>
      </c>
      <c r="B131" s="1" t="s">
        <v>926</v>
      </c>
      <c r="C131" s="1" t="s">
        <v>695</v>
      </c>
      <c r="D131" s="1" t="s">
        <v>696</v>
      </c>
      <c r="E131" s="1" t="s">
        <v>7</v>
      </c>
    </row>
    <row r="132" customFormat="false" ht="16" hidden="false" customHeight="false" outlineLevel="0" collapsed="false">
      <c r="A132" s="1" t="s">
        <v>931</v>
      </c>
      <c r="B132" s="1" t="s">
        <v>932</v>
      </c>
      <c r="C132" s="1" t="s">
        <v>695</v>
      </c>
      <c r="D132" s="1" t="s">
        <v>764</v>
      </c>
      <c r="E132" s="1" t="s">
        <v>906</v>
      </c>
    </row>
    <row r="133" customFormat="false" ht="16" hidden="false" customHeight="false" outlineLevel="0" collapsed="false">
      <c r="A133" s="1" t="s">
        <v>933</v>
      </c>
      <c r="B133" s="1" t="s">
        <v>932</v>
      </c>
      <c r="C133" s="1" t="s">
        <v>695</v>
      </c>
      <c r="D133" s="1" t="s">
        <v>766</v>
      </c>
      <c r="E133" s="1" t="s">
        <v>906</v>
      </c>
    </row>
    <row r="134" customFormat="false" ht="16" hidden="false" customHeight="false" outlineLevel="0" collapsed="false">
      <c r="A134" s="1" t="s">
        <v>934</v>
      </c>
      <c r="B134" s="1" t="s">
        <v>932</v>
      </c>
      <c r="C134" s="1" t="s">
        <v>695</v>
      </c>
      <c r="D134" s="1" t="s">
        <v>768</v>
      </c>
      <c r="E134" s="1" t="s">
        <v>906</v>
      </c>
    </row>
    <row r="135" customFormat="false" ht="16" hidden="false" customHeight="false" outlineLevel="0" collapsed="false">
      <c r="A135" s="1" t="s">
        <v>935</v>
      </c>
      <c r="B135" s="1" t="s">
        <v>932</v>
      </c>
      <c r="C135" s="1" t="s">
        <v>695</v>
      </c>
      <c r="D135" s="1" t="s">
        <v>770</v>
      </c>
      <c r="E135" s="1" t="s">
        <v>906</v>
      </c>
    </row>
    <row r="136" customFormat="false" ht="16" hidden="false" customHeight="false" outlineLevel="0" collapsed="false">
      <c r="A136" s="1" t="s">
        <v>936</v>
      </c>
      <c r="B136" s="1" t="s">
        <v>932</v>
      </c>
      <c r="C136" s="1" t="s">
        <v>695</v>
      </c>
      <c r="D136" s="1" t="s">
        <v>696</v>
      </c>
      <c r="E136" s="1" t="s">
        <v>906</v>
      </c>
    </row>
    <row r="137" customFormat="false" ht="16" hidden="false" customHeight="false" outlineLevel="0" collapsed="false">
      <c r="A137" s="1" t="s">
        <v>937</v>
      </c>
      <c r="B137" s="1" t="s">
        <v>938</v>
      </c>
      <c r="C137" s="1" t="s">
        <v>695</v>
      </c>
      <c r="D137" s="1" t="s">
        <v>770</v>
      </c>
      <c r="E137" s="1" t="s">
        <v>7</v>
      </c>
    </row>
    <row r="138" customFormat="false" ht="16" hidden="false" customHeight="false" outlineLevel="0" collapsed="false">
      <c r="A138" s="1" t="s">
        <v>939</v>
      </c>
      <c r="B138" s="1" t="s">
        <v>262</v>
      </c>
      <c r="C138" s="1" t="s">
        <v>695</v>
      </c>
      <c r="D138" s="1" t="s">
        <v>764</v>
      </c>
      <c r="E138" s="1" t="s">
        <v>7</v>
      </c>
    </row>
    <row r="139" customFormat="false" ht="16" hidden="false" customHeight="false" outlineLevel="0" collapsed="false">
      <c r="A139" s="1" t="s">
        <v>940</v>
      </c>
      <c r="B139" s="1" t="s">
        <v>262</v>
      </c>
      <c r="C139" s="1" t="s">
        <v>695</v>
      </c>
      <c r="D139" s="1" t="s">
        <v>766</v>
      </c>
      <c r="E139" s="1" t="s">
        <v>7</v>
      </c>
    </row>
    <row r="140" customFormat="false" ht="16" hidden="false" customHeight="false" outlineLevel="0" collapsed="false">
      <c r="A140" s="1" t="s">
        <v>941</v>
      </c>
      <c r="B140" s="1" t="s">
        <v>262</v>
      </c>
      <c r="C140" s="1" t="s">
        <v>695</v>
      </c>
      <c r="D140" s="1" t="s">
        <v>768</v>
      </c>
      <c r="E140" s="1" t="s">
        <v>7</v>
      </c>
    </row>
    <row r="141" customFormat="false" ht="16" hidden="false" customHeight="false" outlineLevel="0" collapsed="false">
      <c r="A141" s="1" t="s">
        <v>942</v>
      </c>
      <c r="B141" s="1" t="s">
        <v>262</v>
      </c>
      <c r="C141" s="1" t="s">
        <v>695</v>
      </c>
      <c r="D141" s="1" t="s">
        <v>770</v>
      </c>
      <c r="E141" s="1" t="s">
        <v>7</v>
      </c>
    </row>
    <row r="142" customFormat="false" ht="16" hidden="false" customHeight="false" outlineLevel="0" collapsed="false">
      <c r="A142" s="1" t="s">
        <v>699</v>
      </c>
      <c r="B142" s="1" t="s">
        <v>262</v>
      </c>
      <c r="C142" s="1" t="s">
        <v>695</v>
      </c>
      <c r="D142" s="1" t="s">
        <v>696</v>
      </c>
      <c r="E142" s="1" t="s">
        <v>7</v>
      </c>
    </row>
    <row r="143" customFormat="false" ht="16" hidden="false" customHeight="false" outlineLevel="0" collapsed="false">
      <c r="A143" s="1" t="s">
        <v>943</v>
      </c>
      <c r="B143" s="1" t="s">
        <v>944</v>
      </c>
      <c r="C143" s="1" t="s">
        <v>695</v>
      </c>
      <c r="D143" s="1" t="s">
        <v>764</v>
      </c>
      <c r="E143" s="1" t="s">
        <v>7</v>
      </c>
    </row>
    <row r="144" customFormat="false" ht="16" hidden="false" customHeight="false" outlineLevel="0" collapsed="false">
      <c r="A144" s="1" t="s">
        <v>945</v>
      </c>
      <c r="B144" s="1" t="s">
        <v>944</v>
      </c>
      <c r="C144" s="1" t="s">
        <v>695</v>
      </c>
      <c r="D144" s="1" t="s">
        <v>766</v>
      </c>
      <c r="E144" s="1" t="s">
        <v>7</v>
      </c>
    </row>
    <row r="145" customFormat="false" ht="16" hidden="false" customHeight="false" outlineLevel="0" collapsed="false">
      <c r="A145" s="1" t="s">
        <v>946</v>
      </c>
      <c r="B145" s="1" t="s">
        <v>944</v>
      </c>
      <c r="C145" s="1" t="s">
        <v>695</v>
      </c>
      <c r="D145" s="1" t="s">
        <v>768</v>
      </c>
      <c r="E145" s="1" t="s">
        <v>7</v>
      </c>
    </row>
    <row r="146" customFormat="false" ht="16" hidden="false" customHeight="false" outlineLevel="0" collapsed="false">
      <c r="A146" s="1" t="s">
        <v>947</v>
      </c>
      <c r="B146" s="1" t="s">
        <v>944</v>
      </c>
      <c r="C146" s="1" t="s">
        <v>695</v>
      </c>
      <c r="D146" s="1" t="s">
        <v>770</v>
      </c>
      <c r="E146" s="1" t="s">
        <v>7</v>
      </c>
    </row>
    <row r="147" customFormat="false" ht="16" hidden="false" customHeight="false" outlineLevel="0" collapsed="false">
      <c r="A147" s="1" t="s">
        <v>948</v>
      </c>
      <c r="B147" s="1" t="s">
        <v>944</v>
      </c>
      <c r="C147" s="1" t="s">
        <v>695</v>
      </c>
      <c r="D147" s="1" t="s">
        <v>696</v>
      </c>
      <c r="E147" s="1" t="s">
        <v>7</v>
      </c>
    </row>
    <row r="148" customFormat="false" ht="16" hidden="false" customHeight="false" outlineLevel="0" collapsed="false">
      <c r="A148" s="1" t="s">
        <v>949</v>
      </c>
      <c r="B148" s="1" t="s">
        <v>950</v>
      </c>
      <c r="C148" s="1" t="s">
        <v>695</v>
      </c>
      <c r="D148" s="1" t="s">
        <v>764</v>
      </c>
      <c r="E148" s="1" t="s">
        <v>7</v>
      </c>
    </row>
    <row r="149" customFormat="false" ht="16" hidden="false" customHeight="false" outlineLevel="0" collapsed="false">
      <c r="A149" s="1" t="s">
        <v>951</v>
      </c>
      <c r="B149" s="1" t="s">
        <v>950</v>
      </c>
      <c r="C149" s="1" t="s">
        <v>695</v>
      </c>
      <c r="D149" s="1" t="s">
        <v>766</v>
      </c>
      <c r="E149" s="1" t="s">
        <v>7</v>
      </c>
    </row>
    <row r="150" customFormat="false" ht="16" hidden="false" customHeight="false" outlineLevel="0" collapsed="false">
      <c r="A150" s="1" t="s">
        <v>952</v>
      </c>
      <c r="B150" s="1" t="s">
        <v>950</v>
      </c>
      <c r="C150" s="1" t="s">
        <v>695</v>
      </c>
      <c r="D150" s="1" t="s">
        <v>768</v>
      </c>
      <c r="E150" s="1" t="s">
        <v>7</v>
      </c>
    </row>
    <row r="151" customFormat="false" ht="16" hidden="false" customHeight="false" outlineLevel="0" collapsed="false">
      <c r="A151" s="1" t="s">
        <v>953</v>
      </c>
      <c r="B151" s="1" t="s">
        <v>950</v>
      </c>
      <c r="C151" s="1" t="s">
        <v>695</v>
      </c>
      <c r="D151" s="1" t="s">
        <v>770</v>
      </c>
      <c r="E151" s="1" t="s">
        <v>7</v>
      </c>
    </row>
    <row r="152" customFormat="false" ht="16" hidden="false" customHeight="false" outlineLevel="0" collapsed="false">
      <c r="A152" s="1" t="s">
        <v>954</v>
      </c>
      <c r="B152" s="1" t="s">
        <v>950</v>
      </c>
      <c r="C152" s="1" t="s">
        <v>695</v>
      </c>
      <c r="D152" s="1" t="s">
        <v>696</v>
      </c>
      <c r="E152" s="1" t="s">
        <v>7</v>
      </c>
    </row>
    <row r="153" customFormat="false" ht="16" hidden="false" customHeight="false" outlineLevel="0" collapsed="false">
      <c r="A153" s="1" t="s">
        <v>955</v>
      </c>
      <c r="B153" s="1" t="s">
        <v>956</v>
      </c>
      <c r="C153" s="1" t="s">
        <v>695</v>
      </c>
      <c r="D153" s="1" t="s">
        <v>770</v>
      </c>
      <c r="E153" s="1" t="s">
        <v>7</v>
      </c>
    </row>
    <row r="154" customFormat="false" ht="16" hidden="false" customHeight="false" outlineLevel="0" collapsed="false">
      <c r="A154" s="1" t="s">
        <v>957</v>
      </c>
      <c r="B154" s="1" t="s">
        <v>958</v>
      </c>
      <c r="C154" s="1" t="s">
        <v>695</v>
      </c>
      <c r="D154" s="1" t="s">
        <v>764</v>
      </c>
      <c r="E154" s="1" t="s">
        <v>7</v>
      </c>
    </row>
    <row r="155" customFormat="false" ht="16" hidden="false" customHeight="false" outlineLevel="0" collapsed="false">
      <c r="A155" s="1" t="s">
        <v>959</v>
      </c>
      <c r="B155" s="1" t="s">
        <v>958</v>
      </c>
      <c r="C155" s="1" t="s">
        <v>695</v>
      </c>
      <c r="D155" s="1" t="s">
        <v>766</v>
      </c>
      <c r="E155" s="1" t="s">
        <v>7</v>
      </c>
    </row>
    <row r="156" customFormat="false" ht="16" hidden="false" customHeight="false" outlineLevel="0" collapsed="false">
      <c r="A156" s="1" t="s">
        <v>960</v>
      </c>
      <c r="B156" s="1" t="s">
        <v>958</v>
      </c>
      <c r="C156" s="1" t="s">
        <v>695</v>
      </c>
      <c r="D156" s="1" t="s">
        <v>768</v>
      </c>
      <c r="E156" s="1" t="s">
        <v>7</v>
      </c>
    </row>
    <row r="157" customFormat="false" ht="16" hidden="false" customHeight="false" outlineLevel="0" collapsed="false">
      <c r="A157" s="1" t="s">
        <v>961</v>
      </c>
      <c r="B157" s="1" t="s">
        <v>958</v>
      </c>
      <c r="C157" s="1" t="s">
        <v>695</v>
      </c>
      <c r="D157" s="1" t="s">
        <v>770</v>
      </c>
      <c r="E157" s="1" t="s">
        <v>7</v>
      </c>
    </row>
    <row r="158" customFormat="false" ht="16" hidden="false" customHeight="false" outlineLevel="0" collapsed="false">
      <c r="A158" s="1" t="s">
        <v>962</v>
      </c>
      <c r="B158" s="1" t="s">
        <v>958</v>
      </c>
      <c r="C158" s="1" t="s">
        <v>695</v>
      </c>
      <c r="D158" s="1" t="s">
        <v>696</v>
      </c>
      <c r="E158" s="1" t="s">
        <v>7</v>
      </c>
    </row>
    <row r="159" customFormat="false" ht="16" hidden="false" customHeight="false" outlineLevel="0" collapsed="false">
      <c r="A159" s="1" t="s">
        <v>963</v>
      </c>
      <c r="B159" s="1" t="s">
        <v>113</v>
      </c>
      <c r="C159" s="1" t="s">
        <v>695</v>
      </c>
      <c r="D159" s="1" t="s">
        <v>764</v>
      </c>
      <c r="E159" s="1" t="s">
        <v>7</v>
      </c>
    </row>
    <row r="160" customFormat="false" ht="16" hidden="false" customHeight="false" outlineLevel="0" collapsed="false">
      <c r="A160" s="1" t="s">
        <v>964</v>
      </c>
      <c r="B160" s="1" t="s">
        <v>113</v>
      </c>
      <c r="C160" s="1" t="s">
        <v>695</v>
      </c>
      <c r="D160" s="1" t="s">
        <v>766</v>
      </c>
      <c r="E160" s="1" t="s">
        <v>7</v>
      </c>
    </row>
    <row r="161" customFormat="false" ht="16" hidden="false" customHeight="false" outlineLevel="0" collapsed="false">
      <c r="A161" s="1" t="s">
        <v>965</v>
      </c>
      <c r="B161" s="1" t="s">
        <v>113</v>
      </c>
      <c r="C161" s="1" t="s">
        <v>695</v>
      </c>
      <c r="D161" s="1" t="s">
        <v>768</v>
      </c>
      <c r="E161" s="1" t="s">
        <v>7</v>
      </c>
    </row>
    <row r="162" customFormat="false" ht="16" hidden="false" customHeight="false" outlineLevel="0" collapsed="false">
      <c r="A162" s="1" t="s">
        <v>966</v>
      </c>
      <c r="B162" s="1" t="s">
        <v>113</v>
      </c>
      <c r="C162" s="1" t="s">
        <v>695</v>
      </c>
      <c r="D162" s="1" t="s">
        <v>770</v>
      </c>
      <c r="E162" s="1" t="s">
        <v>7</v>
      </c>
    </row>
    <row r="163" customFormat="false" ht="16" hidden="false" customHeight="false" outlineLevel="0" collapsed="false">
      <c r="A163" s="1" t="s">
        <v>967</v>
      </c>
      <c r="B163" s="1" t="s">
        <v>113</v>
      </c>
      <c r="C163" s="1" t="s">
        <v>695</v>
      </c>
      <c r="D163" s="1" t="s">
        <v>696</v>
      </c>
      <c r="E163" s="1" t="s">
        <v>7</v>
      </c>
    </row>
    <row r="164" customFormat="false" ht="16" hidden="false" customHeight="false" outlineLevel="0" collapsed="false">
      <c r="A164" s="1" t="s">
        <v>968</v>
      </c>
      <c r="B164" s="1" t="s">
        <v>969</v>
      </c>
      <c r="C164" s="1" t="s">
        <v>695</v>
      </c>
      <c r="D164" s="1" t="s">
        <v>764</v>
      </c>
      <c r="E164" s="1" t="s">
        <v>906</v>
      </c>
    </row>
    <row r="165" customFormat="false" ht="16" hidden="false" customHeight="false" outlineLevel="0" collapsed="false">
      <c r="A165" s="1" t="s">
        <v>970</v>
      </c>
      <c r="B165" s="1" t="s">
        <v>969</v>
      </c>
      <c r="C165" s="1" t="s">
        <v>695</v>
      </c>
      <c r="D165" s="1" t="s">
        <v>766</v>
      </c>
      <c r="E165" s="1" t="s">
        <v>906</v>
      </c>
    </row>
    <row r="166" customFormat="false" ht="16" hidden="false" customHeight="false" outlineLevel="0" collapsed="false">
      <c r="A166" s="1" t="s">
        <v>971</v>
      </c>
      <c r="B166" s="1" t="s">
        <v>969</v>
      </c>
      <c r="C166" s="1" t="s">
        <v>695</v>
      </c>
      <c r="D166" s="1" t="s">
        <v>768</v>
      </c>
      <c r="E166" s="1" t="s">
        <v>906</v>
      </c>
    </row>
    <row r="167" customFormat="false" ht="16" hidden="false" customHeight="false" outlineLevel="0" collapsed="false">
      <c r="A167" s="1" t="s">
        <v>972</v>
      </c>
      <c r="B167" s="1" t="s">
        <v>969</v>
      </c>
      <c r="C167" s="1" t="s">
        <v>695</v>
      </c>
      <c r="D167" s="1" t="s">
        <v>770</v>
      </c>
      <c r="E167" s="1" t="s">
        <v>906</v>
      </c>
    </row>
    <row r="168" customFormat="false" ht="16" hidden="false" customHeight="false" outlineLevel="0" collapsed="false">
      <c r="A168" s="1" t="s">
        <v>973</v>
      </c>
      <c r="B168" s="1" t="s">
        <v>969</v>
      </c>
      <c r="C168" s="1" t="s">
        <v>695</v>
      </c>
      <c r="D168" s="1" t="s">
        <v>696</v>
      </c>
      <c r="E168" s="1" t="s">
        <v>906</v>
      </c>
    </row>
    <row r="169" customFormat="false" ht="16" hidden="false" customHeight="false" outlineLevel="0" collapsed="false">
      <c r="A169" s="1" t="s">
        <v>974</v>
      </c>
      <c r="B169" s="1" t="s">
        <v>975</v>
      </c>
      <c r="C169" s="1" t="s">
        <v>695</v>
      </c>
      <c r="D169" s="1" t="s">
        <v>764</v>
      </c>
      <c r="E169" s="1" t="s">
        <v>906</v>
      </c>
    </row>
    <row r="170" customFormat="false" ht="16" hidden="false" customHeight="false" outlineLevel="0" collapsed="false">
      <c r="A170" s="1" t="s">
        <v>976</v>
      </c>
      <c r="B170" s="1" t="s">
        <v>975</v>
      </c>
      <c r="C170" s="1" t="s">
        <v>695</v>
      </c>
      <c r="D170" s="1" t="s">
        <v>766</v>
      </c>
      <c r="E170" s="1" t="s">
        <v>906</v>
      </c>
    </row>
    <row r="171" customFormat="false" ht="16" hidden="false" customHeight="false" outlineLevel="0" collapsed="false">
      <c r="A171" s="1" t="s">
        <v>977</v>
      </c>
      <c r="B171" s="1" t="s">
        <v>975</v>
      </c>
      <c r="C171" s="1" t="s">
        <v>695</v>
      </c>
      <c r="D171" s="1" t="s">
        <v>768</v>
      </c>
      <c r="E171" s="1" t="s">
        <v>906</v>
      </c>
    </row>
    <row r="172" customFormat="false" ht="16" hidden="false" customHeight="false" outlineLevel="0" collapsed="false">
      <c r="A172" s="1" t="s">
        <v>978</v>
      </c>
      <c r="B172" s="1" t="s">
        <v>975</v>
      </c>
      <c r="C172" s="1" t="s">
        <v>695</v>
      </c>
      <c r="D172" s="1" t="s">
        <v>770</v>
      </c>
      <c r="E172" s="1" t="s">
        <v>906</v>
      </c>
    </row>
    <row r="173" customFormat="false" ht="16" hidden="false" customHeight="false" outlineLevel="0" collapsed="false">
      <c r="A173" s="1" t="s">
        <v>979</v>
      </c>
      <c r="B173" s="1" t="s">
        <v>975</v>
      </c>
      <c r="C173" s="1" t="s">
        <v>695</v>
      </c>
      <c r="D173" s="1" t="s">
        <v>696</v>
      </c>
      <c r="E173" s="1" t="s">
        <v>906</v>
      </c>
    </row>
    <row r="174" customFormat="false" ht="16" hidden="false" customHeight="false" outlineLevel="0" collapsed="false">
      <c r="A174" s="1" t="s">
        <v>980</v>
      </c>
      <c r="B174" s="1" t="s">
        <v>981</v>
      </c>
      <c r="C174" s="1" t="s">
        <v>695</v>
      </c>
      <c r="D174" s="1" t="s">
        <v>770</v>
      </c>
      <c r="E174" s="1" t="s">
        <v>7</v>
      </c>
    </row>
    <row r="175" customFormat="false" ht="16" hidden="false" customHeight="false" outlineLevel="0" collapsed="false">
      <c r="A175" s="1" t="s">
        <v>982</v>
      </c>
      <c r="B175" s="1" t="s">
        <v>983</v>
      </c>
      <c r="C175" s="1" t="s">
        <v>695</v>
      </c>
      <c r="D175" s="1" t="s">
        <v>764</v>
      </c>
      <c r="E175" s="1" t="s">
        <v>906</v>
      </c>
    </row>
    <row r="176" customFormat="false" ht="16" hidden="false" customHeight="false" outlineLevel="0" collapsed="false">
      <c r="A176" s="1" t="s">
        <v>984</v>
      </c>
      <c r="B176" s="1" t="s">
        <v>983</v>
      </c>
      <c r="C176" s="1" t="s">
        <v>695</v>
      </c>
      <c r="D176" s="1" t="s">
        <v>766</v>
      </c>
      <c r="E176" s="1" t="s">
        <v>906</v>
      </c>
    </row>
    <row r="177" customFormat="false" ht="16" hidden="false" customHeight="false" outlineLevel="0" collapsed="false">
      <c r="A177" s="1" t="s">
        <v>985</v>
      </c>
      <c r="B177" s="1" t="s">
        <v>983</v>
      </c>
      <c r="C177" s="1" t="s">
        <v>695</v>
      </c>
      <c r="D177" s="1" t="s">
        <v>768</v>
      </c>
      <c r="E177" s="1" t="s">
        <v>906</v>
      </c>
    </row>
    <row r="178" customFormat="false" ht="16" hidden="false" customHeight="false" outlineLevel="0" collapsed="false">
      <c r="A178" s="1" t="s">
        <v>986</v>
      </c>
      <c r="B178" s="1" t="s">
        <v>983</v>
      </c>
      <c r="C178" s="1" t="s">
        <v>695</v>
      </c>
      <c r="D178" s="1" t="s">
        <v>770</v>
      </c>
      <c r="E178" s="1" t="s">
        <v>906</v>
      </c>
    </row>
    <row r="179" customFormat="false" ht="16" hidden="false" customHeight="false" outlineLevel="0" collapsed="false">
      <c r="A179" s="1" t="s">
        <v>987</v>
      </c>
      <c r="B179" s="1" t="s">
        <v>983</v>
      </c>
      <c r="C179" s="1" t="s">
        <v>695</v>
      </c>
      <c r="D179" s="1" t="s">
        <v>696</v>
      </c>
      <c r="E179" s="1" t="s">
        <v>906</v>
      </c>
    </row>
    <row r="180" customFormat="false" ht="16" hidden="false" customHeight="false" outlineLevel="0" collapsed="false">
      <c r="A180" s="1" t="s">
        <v>988</v>
      </c>
      <c r="B180" s="1" t="s">
        <v>37</v>
      </c>
      <c r="C180" s="1" t="s">
        <v>695</v>
      </c>
      <c r="D180" s="1" t="s">
        <v>764</v>
      </c>
      <c r="E180" s="1" t="s">
        <v>7</v>
      </c>
    </row>
    <row r="181" customFormat="false" ht="16" hidden="false" customHeight="false" outlineLevel="0" collapsed="false">
      <c r="A181" s="1" t="s">
        <v>989</v>
      </c>
      <c r="B181" s="1" t="s">
        <v>37</v>
      </c>
      <c r="C181" s="1" t="s">
        <v>695</v>
      </c>
      <c r="D181" s="1" t="s">
        <v>766</v>
      </c>
      <c r="E181" s="1" t="s">
        <v>7</v>
      </c>
    </row>
    <row r="182" customFormat="false" ht="16" hidden="false" customHeight="false" outlineLevel="0" collapsed="false">
      <c r="A182" s="1" t="s">
        <v>990</v>
      </c>
      <c r="B182" s="1" t="s">
        <v>37</v>
      </c>
      <c r="C182" s="1" t="s">
        <v>695</v>
      </c>
      <c r="D182" s="1" t="s">
        <v>768</v>
      </c>
      <c r="E182" s="1" t="s">
        <v>7</v>
      </c>
    </row>
    <row r="183" customFormat="false" ht="16" hidden="false" customHeight="false" outlineLevel="0" collapsed="false">
      <c r="A183" s="1" t="s">
        <v>991</v>
      </c>
      <c r="B183" s="1" t="s">
        <v>37</v>
      </c>
      <c r="C183" s="1" t="s">
        <v>695</v>
      </c>
      <c r="D183" s="1" t="s">
        <v>770</v>
      </c>
      <c r="E183" s="1" t="s">
        <v>7</v>
      </c>
    </row>
    <row r="184" customFormat="false" ht="16" hidden="false" customHeight="false" outlineLevel="0" collapsed="false">
      <c r="A184" s="1" t="s">
        <v>992</v>
      </c>
      <c r="B184" s="1" t="s">
        <v>37</v>
      </c>
      <c r="C184" s="1" t="s">
        <v>695</v>
      </c>
      <c r="D184" s="1" t="s">
        <v>696</v>
      </c>
      <c r="E184" s="1" t="s">
        <v>7</v>
      </c>
    </row>
    <row r="185" customFormat="false" ht="16" hidden="false" customHeight="false" outlineLevel="0" collapsed="false">
      <c r="A185" s="1" t="s">
        <v>993</v>
      </c>
      <c r="B185" s="1" t="s">
        <v>994</v>
      </c>
      <c r="C185" s="1" t="s">
        <v>695</v>
      </c>
      <c r="D185" s="1" t="s">
        <v>764</v>
      </c>
      <c r="E185" s="1" t="s">
        <v>7</v>
      </c>
    </row>
    <row r="186" customFormat="false" ht="16" hidden="false" customHeight="false" outlineLevel="0" collapsed="false">
      <c r="A186" s="1" t="s">
        <v>995</v>
      </c>
      <c r="B186" s="1" t="s">
        <v>994</v>
      </c>
      <c r="C186" s="1" t="s">
        <v>695</v>
      </c>
      <c r="D186" s="1" t="s">
        <v>766</v>
      </c>
      <c r="E186" s="1" t="s">
        <v>7</v>
      </c>
    </row>
    <row r="187" customFormat="false" ht="16" hidden="false" customHeight="false" outlineLevel="0" collapsed="false">
      <c r="A187" s="1" t="s">
        <v>996</v>
      </c>
      <c r="B187" s="1" t="s">
        <v>994</v>
      </c>
      <c r="C187" s="1" t="s">
        <v>695</v>
      </c>
      <c r="D187" s="1" t="s">
        <v>768</v>
      </c>
      <c r="E187" s="1" t="s">
        <v>7</v>
      </c>
    </row>
    <row r="188" customFormat="false" ht="16" hidden="false" customHeight="false" outlineLevel="0" collapsed="false">
      <c r="A188" s="1" t="s">
        <v>997</v>
      </c>
      <c r="B188" s="1" t="s">
        <v>994</v>
      </c>
      <c r="C188" s="1" t="s">
        <v>695</v>
      </c>
      <c r="D188" s="1" t="s">
        <v>770</v>
      </c>
      <c r="E188" s="1" t="s">
        <v>7</v>
      </c>
    </row>
    <row r="189" customFormat="false" ht="16" hidden="false" customHeight="false" outlineLevel="0" collapsed="false">
      <c r="A189" s="1" t="s">
        <v>998</v>
      </c>
      <c r="B189" s="1" t="s">
        <v>994</v>
      </c>
      <c r="C189" s="1" t="s">
        <v>695</v>
      </c>
      <c r="D189" s="1" t="s">
        <v>696</v>
      </c>
      <c r="E189" s="1" t="s">
        <v>7</v>
      </c>
    </row>
    <row r="190" customFormat="false" ht="16" hidden="false" customHeight="false" outlineLevel="0" collapsed="false">
      <c r="A190" s="1" t="s">
        <v>999</v>
      </c>
      <c r="B190" s="1" t="s">
        <v>1000</v>
      </c>
      <c r="C190" s="1" t="s">
        <v>695</v>
      </c>
      <c r="D190" s="1" t="s">
        <v>768</v>
      </c>
      <c r="E190" s="1" t="s">
        <v>7</v>
      </c>
    </row>
    <row r="191" customFormat="false" ht="16" hidden="false" customHeight="false" outlineLevel="0" collapsed="false">
      <c r="A191" s="1" t="s">
        <v>1001</v>
      </c>
      <c r="B191" s="1" t="s">
        <v>1002</v>
      </c>
      <c r="C191" s="1" t="s">
        <v>695</v>
      </c>
      <c r="D191" s="1" t="s">
        <v>768</v>
      </c>
      <c r="E191" s="1" t="s">
        <v>7</v>
      </c>
    </row>
    <row r="192" customFormat="false" ht="16" hidden="false" customHeight="false" outlineLevel="0" collapsed="false">
      <c r="A192" s="1" t="s">
        <v>1003</v>
      </c>
      <c r="B192" s="1" t="s">
        <v>123</v>
      </c>
      <c r="C192" s="1" t="s">
        <v>695</v>
      </c>
      <c r="D192" s="1" t="s">
        <v>764</v>
      </c>
      <c r="E192" s="1" t="s">
        <v>7</v>
      </c>
    </row>
    <row r="193" customFormat="false" ht="16" hidden="false" customHeight="false" outlineLevel="0" collapsed="false">
      <c r="A193" s="1" t="s">
        <v>1004</v>
      </c>
      <c r="B193" s="1" t="s">
        <v>123</v>
      </c>
      <c r="C193" s="1" t="s">
        <v>695</v>
      </c>
      <c r="D193" s="1" t="s">
        <v>766</v>
      </c>
      <c r="E193" s="1" t="s">
        <v>7</v>
      </c>
    </row>
    <row r="194" customFormat="false" ht="16" hidden="false" customHeight="false" outlineLevel="0" collapsed="false">
      <c r="A194" s="1" t="s">
        <v>1005</v>
      </c>
      <c r="B194" s="1" t="s">
        <v>123</v>
      </c>
      <c r="C194" s="1" t="s">
        <v>695</v>
      </c>
      <c r="D194" s="1" t="s">
        <v>768</v>
      </c>
      <c r="E194" s="1" t="s">
        <v>7</v>
      </c>
    </row>
    <row r="195" customFormat="false" ht="16" hidden="false" customHeight="false" outlineLevel="0" collapsed="false">
      <c r="A195" s="1" t="s">
        <v>1006</v>
      </c>
      <c r="B195" s="1" t="s">
        <v>123</v>
      </c>
      <c r="C195" s="1" t="s">
        <v>695</v>
      </c>
      <c r="D195" s="1" t="s">
        <v>770</v>
      </c>
      <c r="E195" s="1" t="s">
        <v>7</v>
      </c>
    </row>
    <row r="196" customFormat="false" ht="16" hidden="false" customHeight="false" outlineLevel="0" collapsed="false">
      <c r="A196" s="1" t="s">
        <v>1007</v>
      </c>
      <c r="B196" s="1" t="s">
        <v>123</v>
      </c>
      <c r="C196" s="1" t="s">
        <v>695</v>
      </c>
      <c r="D196" s="1" t="s">
        <v>696</v>
      </c>
      <c r="E196" s="1" t="s">
        <v>7</v>
      </c>
    </row>
    <row r="197" customFormat="false" ht="16" hidden="false" customHeight="false" outlineLevel="0" collapsed="false">
      <c r="A197" s="1" t="s">
        <v>1008</v>
      </c>
      <c r="B197" s="1" t="s">
        <v>1009</v>
      </c>
      <c r="C197" s="1" t="s">
        <v>695</v>
      </c>
      <c r="D197" s="1" t="s">
        <v>764</v>
      </c>
      <c r="E197" s="1" t="s">
        <v>906</v>
      </c>
    </row>
    <row r="198" customFormat="false" ht="16" hidden="false" customHeight="false" outlineLevel="0" collapsed="false">
      <c r="A198" s="1" t="s">
        <v>1010</v>
      </c>
      <c r="B198" s="1" t="s">
        <v>1009</v>
      </c>
      <c r="C198" s="1" t="s">
        <v>695</v>
      </c>
      <c r="D198" s="1" t="s">
        <v>766</v>
      </c>
      <c r="E198" s="1" t="s">
        <v>906</v>
      </c>
    </row>
    <row r="199" customFormat="false" ht="16" hidden="false" customHeight="false" outlineLevel="0" collapsed="false">
      <c r="A199" s="1" t="s">
        <v>1011</v>
      </c>
      <c r="B199" s="1" t="s">
        <v>1009</v>
      </c>
      <c r="C199" s="1" t="s">
        <v>695</v>
      </c>
      <c r="D199" s="1" t="s">
        <v>768</v>
      </c>
      <c r="E199" s="1" t="s">
        <v>906</v>
      </c>
    </row>
    <row r="200" customFormat="false" ht="16" hidden="false" customHeight="false" outlineLevel="0" collapsed="false">
      <c r="A200" s="1" t="s">
        <v>1012</v>
      </c>
      <c r="B200" s="1" t="s">
        <v>1009</v>
      </c>
      <c r="C200" s="1" t="s">
        <v>695</v>
      </c>
      <c r="D200" s="1" t="s">
        <v>770</v>
      </c>
      <c r="E200" s="1" t="s">
        <v>906</v>
      </c>
    </row>
    <row r="201" customFormat="false" ht="16" hidden="false" customHeight="false" outlineLevel="0" collapsed="false">
      <c r="A201" s="1" t="s">
        <v>1013</v>
      </c>
      <c r="B201" s="1" t="s">
        <v>1009</v>
      </c>
      <c r="C201" s="1" t="s">
        <v>695</v>
      </c>
      <c r="D201" s="1" t="s">
        <v>696</v>
      </c>
      <c r="E201" s="1" t="s">
        <v>906</v>
      </c>
    </row>
    <row r="202" customFormat="false" ht="16" hidden="false" customHeight="false" outlineLevel="0" collapsed="false">
      <c r="A202" s="1" t="s">
        <v>1014</v>
      </c>
      <c r="B202" s="1" t="s">
        <v>1015</v>
      </c>
      <c r="C202" s="1" t="s">
        <v>695</v>
      </c>
      <c r="D202" s="1" t="s">
        <v>768</v>
      </c>
      <c r="E202" s="1" t="s">
        <v>7</v>
      </c>
    </row>
    <row r="203" customFormat="false" ht="16" hidden="false" customHeight="false" outlineLevel="0" collapsed="false">
      <c r="A203" s="1" t="s">
        <v>1016</v>
      </c>
      <c r="B203" s="1" t="s">
        <v>1017</v>
      </c>
      <c r="C203" s="1" t="s">
        <v>695</v>
      </c>
      <c r="D203" s="1" t="s">
        <v>770</v>
      </c>
      <c r="E203" s="1" t="s">
        <v>7</v>
      </c>
    </row>
    <row r="204" customFormat="false" ht="16" hidden="false" customHeight="false" outlineLevel="0" collapsed="false">
      <c r="A204" s="1" t="s">
        <v>1018</v>
      </c>
      <c r="B204" s="1" t="s">
        <v>1019</v>
      </c>
      <c r="C204" s="1" t="s">
        <v>695</v>
      </c>
      <c r="D204" s="1" t="s">
        <v>764</v>
      </c>
      <c r="E204" s="1" t="s">
        <v>7</v>
      </c>
    </row>
    <row r="205" customFormat="false" ht="16" hidden="false" customHeight="false" outlineLevel="0" collapsed="false">
      <c r="A205" s="1" t="s">
        <v>1020</v>
      </c>
      <c r="B205" s="1" t="s">
        <v>1019</v>
      </c>
      <c r="C205" s="1" t="s">
        <v>695</v>
      </c>
      <c r="D205" s="1" t="s">
        <v>766</v>
      </c>
      <c r="E205" s="1" t="s">
        <v>7</v>
      </c>
    </row>
    <row r="206" customFormat="false" ht="16" hidden="false" customHeight="false" outlineLevel="0" collapsed="false">
      <c r="A206" s="1" t="s">
        <v>1021</v>
      </c>
      <c r="B206" s="1" t="s">
        <v>1019</v>
      </c>
      <c r="C206" s="1" t="s">
        <v>695</v>
      </c>
      <c r="D206" s="1" t="s">
        <v>768</v>
      </c>
      <c r="E206" s="1" t="s">
        <v>7</v>
      </c>
    </row>
    <row r="207" customFormat="false" ht="16" hidden="false" customHeight="false" outlineLevel="0" collapsed="false">
      <c r="A207" s="1" t="s">
        <v>1022</v>
      </c>
      <c r="B207" s="1" t="s">
        <v>1019</v>
      </c>
      <c r="C207" s="1" t="s">
        <v>695</v>
      </c>
      <c r="D207" s="1" t="s">
        <v>770</v>
      </c>
      <c r="E207" s="1" t="s">
        <v>7</v>
      </c>
    </row>
    <row r="208" customFormat="false" ht="16" hidden="false" customHeight="false" outlineLevel="0" collapsed="false">
      <c r="A208" s="1" t="s">
        <v>1023</v>
      </c>
      <c r="B208" s="1" t="s">
        <v>1019</v>
      </c>
      <c r="C208" s="1" t="s">
        <v>695</v>
      </c>
      <c r="D208" s="1" t="s">
        <v>696</v>
      </c>
      <c r="E208" s="1" t="s">
        <v>7</v>
      </c>
    </row>
    <row r="209" customFormat="false" ht="16" hidden="false" customHeight="false" outlineLevel="0" collapsed="false">
      <c r="A209" s="1" t="s">
        <v>1024</v>
      </c>
      <c r="B209" s="1" t="s">
        <v>1025</v>
      </c>
      <c r="C209" s="1" t="s">
        <v>695</v>
      </c>
      <c r="D209" s="1" t="s">
        <v>764</v>
      </c>
      <c r="E209" s="1" t="s">
        <v>7</v>
      </c>
    </row>
    <row r="210" customFormat="false" ht="16" hidden="false" customHeight="false" outlineLevel="0" collapsed="false">
      <c r="A210" s="1" t="s">
        <v>1026</v>
      </c>
      <c r="B210" s="1" t="s">
        <v>1025</v>
      </c>
      <c r="C210" s="1" t="s">
        <v>695</v>
      </c>
      <c r="D210" s="1" t="s">
        <v>766</v>
      </c>
      <c r="E210" s="1" t="s">
        <v>7</v>
      </c>
    </row>
    <row r="211" customFormat="false" ht="16" hidden="false" customHeight="false" outlineLevel="0" collapsed="false">
      <c r="A211" s="1" t="s">
        <v>1027</v>
      </c>
      <c r="B211" s="1" t="s">
        <v>1025</v>
      </c>
      <c r="C211" s="1" t="s">
        <v>695</v>
      </c>
      <c r="D211" s="1" t="s">
        <v>768</v>
      </c>
      <c r="E211" s="1" t="s">
        <v>7</v>
      </c>
    </row>
    <row r="212" customFormat="false" ht="16" hidden="false" customHeight="false" outlineLevel="0" collapsed="false">
      <c r="A212" s="1" t="s">
        <v>1028</v>
      </c>
      <c r="B212" s="1" t="s">
        <v>1025</v>
      </c>
      <c r="C212" s="1" t="s">
        <v>695</v>
      </c>
      <c r="D212" s="1" t="s">
        <v>770</v>
      </c>
      <c r="E212" s="1" t="s">
        <v>7</v>
      </c>
    </row>
    <row r="213" customFormat="false" ht="16" hidden="false" customHeight="false" outlineLevel="0" collapsed="false">
      <c r="A213" s="1" t="s">
        <v>1029</v>
      </c>
      <c r="B213" s="1" t="s">
        <v>1025</v>
      </c>
      <c r="C213" s="1" t="s">
        <v>695</v>
      </c>
      <c r="D213" s="1" t="s">
        <v>696</v>
      </c>
      <c r="E213" s="1" t="s">
        <v>7</v>
      </c>
    </row>
    <row r="214" customFormat="false" ht="16" hidden="false" customHeight="false" outlineLevel="0" collapsed="false">
      <c r="A214" s="1" t="s">
        <v>1030</v>
      </c>
      <c r="B214" s="1" t="s">
        <v>1031</v>
      </c>
      <c r="C214" s="1" t="s">
        <v>695</v>
      </c>
      <c r="D214" s="1" t="s">
        <v>764</v>
      </c>
      <c r="E214" s="1" t="s">
        <v>7</v>
      </c>
    </row>
    <row r="215" customFormat="false" ht="16" hidden="false" customHeight="false" outlineLevel="0" collapsed="false">
      <c r="A215" s="1" t="s">
        <v>1032</v>
      </c>
      <c r="B215" s="1" t="s">
        <v>1031</v>
      </c>
      <c r="C215" s="1" t="s">
        <v>695</v>
      </c>
      <c r="D215" s="1" t="s">
        <v>766</v>
      </c>
      <c r="E215" s="1" t="s">
        <v>7</v>
      </c>
    </row>
    <row r="216" customFormat="false" ht="16" hidden="false" customHeight="false" outlineLevel="0" collapsed="false">
      <c r="A216" s="1" t="s">
        <v>1033</v>
      </c>
      <c r="B216" s="1" t="s">
        <v>1031</v>
      </c>
      <c r="C216" s="1" t="s">
        <v>695</v>
      </c>
      <c r="D216" s="1" t="s">
        <v>768</v>
      </c>
      <c r="E216" s="1" t="s">
        <v>7</v>
      </c>
    </row>
    <row r="217" customFormat="false" ht="16" hidden="false" customHeight="false" outlineLevel="0" collapsed="false">
      <c r="A217" s="1" t="s">
        <v>1034</v>
      </c>
      <c r="B217" s="1" t="s">
        <v>1031</v>
      </c>
      <c r="C217" s="1" t="s">
        <v>695</v>
      </c>
      <c r="D217" s="1" t="s">
        <v>770</v>
      </c>
      <c r="E217" s="1" t="s">
        <v>7</v>
      </c>
    </row>
    <row r="218" customFormat="false" ht="16" hidden="false" customHeight="false" outlineLevel="0" collapsed="false">
      <c r="A218" s="1" t="s">
        <v>1035</v>
      </c>
      <c r="B218" s="1" t="s">
        <v>1031</v>
      </c>
      <c r="C218" s="1" t="s">
        <v>695</v>
      </c>
      <c r="D218" s="1" t="s">
        <v>696</v>
      </c>
      <c r="E218" s="1" t="s">
        <v>7</v>
      </c>
    </row>
    <row r="219" customFormat="false" ht="16" hidden="false" customHeight="false" outlineLevel="0" collapsed="false">
      <c r="A219" s="1" t="s">
        <v>1036</v>
      </c>
      <c r="B219" s="1" t="s">
        <v>1037</v>
      </c>
      <c r="C219" s="1" t="s">
        <v>695</v>
      </c>
      <c r="D219" s="1" t="s">
        <v>764</v>
      </c>
      <c r="E219" s="1" t="s">
        <v>7</v>
      </c>
    </row>
    <row r="220" customFormat="false" ht="16" hidden="false" customHeight="false" outlineLevel="0" collapsed="false">
      <c r="A220" s="1" t="s">
        <v>1038</v>
      </c>
      <c r="B220" s="1" t="s">
        <v>1037</v>
      </c>
      <c r="C220" s="1" t="s">
        <v>695</v>
      </c>
      <c r="D220" s="1" t="s">
        <v>766</v>
      </c>
      <c r="E220" s="1" t="s">
        <v>7</v>
      </c>
    </row>
    <row r="221" customFormat="false" ht="16" hidden="false" customHeight="false" outlineLevel="0" collapsed="false">
      <c r="A221" s="1" t="s">
        <v>1039</v>
      </c>
      <c r="B221" s="1" t="s">
        <v>1037</v>
      </c>
      <c r="C221" s="1" t="s">
        <v>695</v>
      </c>
      <c r="D221" s="1" t="s">
        <v>768</v>
      </c>
      <c r="E221" s="1" t="s">
        <v>7</v>
      </c>
    </row>
    <row r="222" customFormat="false" ht="16" hidden="false" customHeight="false" outlineLevel="0" collapsed="false">
      <c r="A222" s="1" t="s">
        <v>1040</v>
      </c>
      <c r="B222" s="1" t="s">
        <v>1037</v>
      </c>
      <c r="C222" s="1" t="s">
        <v>695</v>
      </c>
      <c r="D222" s="1" t="s">
        <v>770</v>
      </c>
      <c r="E222" s="1" t="s">
        <v>7</v>
      </c>
    </row>
    <row r="223" customFormat="false" ht="16" hidden="false" customHeight="false" outlineLevel="0" collapsed="false">
      <c r="A223" s="1" t="s">
        <v>1041</v>
      </c>
      <c r="B223" s="1" t="s">
        <v>1037</v>
      </c>
      <c r="C223" s="1" t="s">
        <v>695</v>
      </c>
      <c r="D223" s="1" t="s">
        <v>696</v>
      </c>
      <c r="E223" s="1" t="s">
        <v>7</v>
      </c>
    </row>
    <row r="224" customFormat="false" ht="16" hidden="false" customHeight="false" outlineLevel="0" collapsed="false">
      <c r="A224" s="1" t="s">
        <v>1042</v>
      </c>
      <c r="B224" s="1" t="s">
        <v>1043</v>
      </c>
      <c r="C224" s="1" t="s">
        <v>695</v>
      </c>
      <c r="D224" s="1" t="s">
        <v>764</v>
      </c>
      <c r="E224" s="1" t="s">
        <v>7</v>
      </c>
    </row>
    <row r="225" customFormat="false" ht="16" hidden="false" customHeight="false" outlineLevel="0" collapsed="false">
      <c r="A225" s="1" t="s">
        <v>1044</v>
      </c>
      <c r="B225" s="1" t="s">
        <v>1043</v>
      </c>
      <c r="C225" s="1" t="s">
        <v>695</v>
      </c>
      <c r="D225" s="1" t="s">
        <v>766</v>
      </c>
      <c r="E225" s="1" t="s">
        <v>7</v>
      </c>
    </row>
    <row r="226" customFormat="false" ht="16" hidden="false" customHeight="false" outlineLevel="0" collapsed="false">
      <c r="A226" s="1" t="s">
        <v>1045</v>
      </c>
      <c r="B226" s="1" t="s">
        <v>1043</v>
      </c>
      <c r="C226" s="1" t="s">
        <v>695</v>
      </c>
      <c r="D226" s="1" t="s">
        <v>768</v>
      </c>
      <c r="E226" s="1" t="s">
        <v>7</v>
      </c>
    </row>
    <row r="227" customFormat="false" ht="16" hidden="false" customHeight="false" outlineLevel="0" collapsed="false">
      <c r="A227" s="1" t="s">
        <v>1046</v>
      </c>
      <c r="B227" s="1" t="s">
        <v>1043</v>
      </c>
      <c r="C227" s="1" t="s">
        <v>695</v>
      </c>
      <c r="D227" s="1" t="s">
        <v>770</v>
      </c>
      <c r="E227" s="1" t="s">
        <v>7</v>
      </c>
    </row>
    <row r="228" customFormat="false" ht="16" hidden="false" customHeight="false" outlineLevel="0" collapsed="false">
      <c r="A228" s="1" t="s">
        <v>1047</v>
      </c>
      <c r="B228" s="1" t="s">
        <v>1043</v>
      </c>
      <c r="C228" s="1" t="s">
        <v>695</v>
      </c>
      <c r="D228" s="1" t="s">
        <v>696</v>
      </c>
      <c r="E228" s="1" t="s">
        <v>7</v>
      </c>
    </row>
    <row r="229" customFormat="false" ht="16" hidden="false" customHeight="false" outlineLevel="0" collapsed="false">
      <c r="A229" s="1" t="s">
        <v>1048</v>
      </c>
      <c r="B229" s="1" t="s">
        <v>1049</v>
      </c>
      <c r="C229" s="1" t="s">
        <v>695</v>
      </c>
      <c r="D229" s="1" t="s">
        <v>764</v>
      </c>
      <c r="E229" s="1" t="s">
        <v>7</v>
      </c>
    </row>
    <row r="230" customFormat="false" ht="16" hidden="false" customHeight="false" outlineLevel="0" collapsed="false">
      <c r="A230" s="1" t="s">
        <v>1050</v>
      </c>
      <c r="B230" s="1" t="s">
        <v>1049</v>
      </c>
      <c r="C230" s="1" t="s">
        <v>695</v>
      </c>
      <c r="D230" s="1" t="s">
        <v>766</v>
      </c>
      <c r="E230" s="1" t="s">
        <v>7</v>
      </c>
    </row>
    <row r="231" customFormat="false" ht="16" hidden="false" customHeight="false" outlineLevel="0" collapsed="false">
      <c r="A231" s="1" t="s">
        <v>1051</v>
      </c>
      <c r="B231" s="1" t="s">
        <v>1049</v>
      </c>
      <c r="C231" s="1" t="s">
        <v>695</v>
      </c>
      <c r="D231" s="1" t="s">
        <v>768</v>
      </c>
      <c r="E231" s="1" t="s">
        <v>7</v>
      </c>
    </row>
    <row r="232" customFormat="false" ht="16" hidden="false" customHeight="false" outlineLevel="0" collapsed="false">
      <c r="A232" s="1" t="s">
        <v>1052</v>
      </c>
      <c r="B232" s="1" t="s">
        <v>1049</v>
      </c>
      <c r="C232" s="1" t="s">
        <v>695</v>
      </c>
      <c r="D232" s="1" t="s">
        <v>770</v>
      </c>
      <c r="E232" s="1" t="s">
        <v>7</v>
      </c>
    </row>
    <row r="233" customFormat="false" ht="16" hidden="false" customHeight="false" outlineLevel="0" collapsed="false">
      <c r="A233" s="1" t="s">
        <v>1053</v>
      </c>
      <c r="B233" s="1" t="s">
        <v>1049</v>
      </c>
      <c r="C233" s="1" t="s">
        <v>695</v>
      </c>
      <c r="D233" s="1" t="s">
        <v>696</v>
      </c>
      <c r="E233" s="1" t="s">
        <v>7</v>
      </c>
    </row>
    <row r="234" customFormat="false" ht="16" hidden="false" customHeight="false" outlineLevel="0" collapsed="false">
      <c r="A234" s="1" t="s">
        <v>1054</v>
      </c>
      <c r="B234" s="1" t="s">
        <v>1055</v>
      </c>
      <c r="C234" s="1" t="s">
        <v>695</v>
      </c>
      <c r="D234" s="1" t="s">
        <v>764</v>
      </c>
      <c r="E234" s="1" t="s">
        <v>7</v>
      </c>
    </row>
    <row r="235" customFormat="false" ht="16" hidden="false" customHeight="false" outlineLevel="0" collapsed="false">
      <c r="A235" s="1" t="s">
        <v>1056</v>
      </c>
      <c r="B235" s="1" t="s">
        <v>1055</v>
      </c>
      <c r="C235" s="1" t="s">
        <v>695</v>
      </c>
      <c r="D235" s="1" t="s">
        <v>766</v>
      </c>
      <c r="E235" s="1" t="s">
        <v>7</v>
      </c>
    </row>
    <row r="236" customFormat="false" ht="16" hidden="false" customHeight="false" outlineLevel="0" collapsed="false">
      <c r="A236" s="1" t="s">
        <v>1057</v>
      </c>
      <c r="B236" s="1" t="s">
        <v>1055</v>
      </c>
      <c r="C236" s="1" t="s">
        <v>695</v>
      </c>
      <c r="D236" s="1" t="s">
        <v>768</v>
      </c>
      <c r="E236" s="1" t="s">
        <v>7</v>
      </c>
    </row>
    <row r="237" customFormat="false" ht="16" hidden="false" customHeight="false" outlineLevel="0" collapsed="false">
      <c r="A237" s="1" t="s">
        <v>1058</v>
      </c>
      <c r="B237" s="1" t="s">
        <v>1055</v>
      </c>
      <c r="C237" s="1" t="s">
        <v>695</v>
      </c>
      <c r="D237" s="1" t="s">
        <v>770</v>
      </c>
      <c r="E237" s="1" t="s">
        <v>7</v>
      </c>
    </row>
    <row r="238" customFormat="false" ht="16" hidden="false" customHeight="false" outlineLevel="0" collapsed="false">
      <c r="A238" s="1" t="s">
        <v>1059</v>
      </c>
      <c r="B238" s="1" t="s">
        <v>1055</v>
      </c>
      <c r="C238" s="1" t="s">
        <v>695</v>
      </c>
      <c r="D238" s="1" t="s">
        <v>696</v>
      </c>
      <c r="E238" s="1" t="s">
        <v>7</v>
      </c>
    </row>
    <row r="239" customFormat="false" ht="16" hidden="false" customHeight="false" outlineLevel="0" collapsed="false">
      <c r="A239" s="1" t="s">
        <v>1060</v>
      </c>
      <c r="B239" s="1" t="s">
        <v>1061</v>
      </c>
      <c r="C239" s="1" t="s">
        <v>695</v>
      </c>
      <c r="D239" s="1" t="s">
        <v>764</v>
      </c>
      <c r="E239" s="1" t="s">
        <v>7</v>
      </c>
    </row>
    <row r="240" customFormat="false" ht="16" hidden="false" customHeight="false" outlineLevel="0" collapsed="false">
      <c r="A240" s="1" t="s">
        <v>1062</v>
      </c>
      <c r="B240" s="1" t="s">
        <v>1061</v>
      </c>
      <c r="C240" s="1" t="s">
        <v>695</v>
      </c>
      <c r="D240" s="1" t="s">
        <v>766</v>
      </c>
      <c r="E240" s="1" t="s">
        <v>7</v>
      </c>
    </row>
    <row r="241" customFormat="false" ht="16" hidden="false" customHeight="false" outlineLevel="0" collapsed="false">
      <c r="A241" s="1" t="s">
        <v>1063</v>
      </c>
      <c r="B241" s="1" t="s">
        <v>1061</v>
      </c>
      <c r="C241" s="1" t="s">
        <v>695</v>
      </c>
      <c r="D241" s="1" t="s">
        <v>768</v>
      </c>
      <c r="E241" s="1" t="s">
        <v>7</v>
      </c>
    </row>
    <row r="242" customFormat="false" ht="16" hidden="false" customHeight="false" outlineLevel="0" collapsed="false">
      <c r="A242" s="1" t="s">
        <v>1064</v>
      </c>
      <c r="B242" s="1" t="s">
        <v>1061</v>
      </c>
      <c r="C242" s="1" t="s">
        <v>695</v>
      </c>
      <c r="D242" s="1" t="s">
        <v>770</v>
      </c>
      <c r="E242" s="1" t="s">
        <v>7</v>
      </c>
    </row>
    <row r="243" customFormat="false" ht="16" hidden="false" customHeight="false" outlineLevel="0" collapsed="false">
      <c r="A243" s="1" t="s">
        <v>1065</v>
      </c>
      <c r="B243" s="1" t="s">
        <v>1061</v>
      </c>
      <c r="C243" s="1" t="s">
        <v>695</v>
      </c>
      <c r="D243" s="1" t="s">
        <v>696</v>
      </c>
      <c r="E243" s="1" t="s">
        <v>7</v>
      </c>
    </row>
    <row r="244" customFormat="false" ht="16" hidden="false" customHeight="false" outlineLevel="0" collapsed="false">
      <c r="A244" s="1" t="s">
        <v>1066</v>
      </c>
      <c r="B244" s="1" t="s">
        <v>1067</v>
      </c>
      <c r="C244" s="1" t="s">
        <v>695</v>
      </c>
      <c r="D244" s="1" t="s">
        <v>770</v>
      </c>
      <c r="E244" s="1" t="s">
        <v>7</v>
      </c>
    </row>
    <row r="245" customFormat="false" ht="16" hidden="false" customHeight="false" outlineLevel="0" collapsed="false">
      <c r="A245" s="1" t="s">
        <v>1068</v>
      </c>
      <c r="B245" s="1" t="s">
        <v>1069</v>
      </c>
      <c r="C245" s="1" t="s">
        <v>695</v>
      </c>
      <c r="D245" s="1" t="s">
        <v>770</v>
      </c>
      <c r="E245" s="1" t="s">
        <v>7</v>
      </c>
    </row>
    <row r="246" customFormat="false" ht="16" hidden="false" customHeight="false" outlineLevel="0" collapsed="false">
      <c r="A246" s="1" t="s">
        <v>1070</v>
      </c>
      <c r="B246" s="1" t="s">
        <v>1071</v>
      </c>
      <c r="C246" s="1" t="s">
        <v>695</v>
      </c>
      <c r="D246" s="1" t="s">
        <v>770</v>
      </c>
      <c r="E246" s="1" t="s">
        <v>7</v>
      </c>
    </row>
    <row r="247" customFormat="false" ht="16" hidden="false" customHeight="false" outlineLevel="0" collapsed="false">
      <c r="A247" s="1" t="s">
        <v>1072</v>
      </c>
      <c r="B247" s="1" t="s">
        <v>67</v>
      </c>
      <c r="C247" s="1" t="s">
        <v>695</v>
      </c>
      <c r="D247" s="1" t="s">
        <v>764</v>
      </c>
      <c r="E247" s="1" t="s">
        <v>7</v>
      </c>
    </row>
    <row r="248" customFormat="false" ht="16" hidden="false" customHeight="false" outlineLevel="0" collapsed="false">
      <c r="A248" s="1" t="s">
        <v>1073</v>
      </c>
      <c r="B248" s="1" t="s">
        <v>67</v>
      </c>
      <c r="C248" s="1" t="s">
        <v>695</v>
      </c>
      <c r="D248" s="1" t="s">
        <v>766</v>
      </c>
      <c r="E248" s="1" t="s">
        <v>7</v>
      </c>
    </row>
    <row r="249" customFormat="false" ht="16" hidden="false" customHeight="false" outlineLevel="0" collapsed="false">
      <c r="A249" s="1" t="s">
        <v>1074</v>
      </c>
      <c r="B249" s="1" t="s">
        <v>67</v>
      </c>
      <c r="C249" s="1" t="s">
        <v>695</v>
      </c>
      <c r="D249" s="1" t="s">
        <v>768</v>
      </c>
      <c r="E249" s="1" t="s">
        <v>7</v>
      </c>
    </row>
    <row r="250" customFormat="false" ht="16" hidden="false" customHeight="false" outlineLevel="0" collapsed="false">
      <c r="A250" s="1" t="s">
        <v>1075</v>
      </c>
      <c r="B250" s="1" t="s">
        <v>67</v>
      </c>
      <c r="C250" s="1" t="s">
        <v>695</v>
      </c>
      <c r="D250" s="1" t="s">
        <v>770</v>
      </c>
      <c r="E250" s="1" t="s">
        <v>7</v>
      </c>
    </row>
    <row r="251" customFormat="false" ht="16" hidden="false" customHeight="false" outlineLevel="0" collapsed="false">
      <c r="A251" s="1" t="s">
        <v>1076</v>
      </c>
      <c r="B251" s="1" t="s">
        <v>67</v>
      </c>
      <c r="C251" s="1" t="s">
        <v>695</v>
      </c>
      <c r="D251" s="1" t="s">
        <v>696</v>
      </c>
      <c r="E251" s="1" t="s">
        <v>7</v>
      </c>
    </row>
    <row r="252" customFormat="false" ht="16" hidden="false" customHeight="false" outlineLevel="0" collapsed="false">
      <c r="A252" s="1" t="s">
        <v>1077</v>
      </c>
      <c r="B252" s="1" t="s">
        <v>1078</v>
      </c>
      <c r="C252" s="1" t="s">
        <v>695</v>
      </c>
      <c r="D252" s="1" t="s">
        <v>764</v>
      </c>
      <c r="E252" s="1" t="s">
        <v>7</v>
      </c>
    </row>
    <row r="253" customFormat="false" ht="16" hidden="false" customHeight="false" outlineLevel="0" collapsed="false">
      <c r="A253" s="1" t="s">
        <v>1079</v>
      </c>
      <c r="B253" s="1" t="s">
        <v>1078</v>
      </c>
      <c r="C253" s="1" t="s">
        <v>695</v>
      </c>
      <c r="D253" s="1" t="s">
        <v>766</v>
      </c>
      <c r="E253" s="1" t="s">
        <v>7</v>
      </c>
    </row>
    <row r="254" customFormat="false" ht="16" hidden="false" customHeight="false" outlineLevel="0" collapsed="false">
      <c r="A254" s="1" t="s">
        <v>1080</v>
      </c>
      <c r="B254" s="1" t="s">
        <v>1078</v>
      </c>
      <c r="C254" s="1" t="s">
        <v>695</v>
      </c>
      <c r="D254" s="1" t="s">
        <v>768</v>
      </c>
      <c r="E254" s="1" t="s">
        <v>7</v>
      </c>
    </row>
    <row r="255" customFormat="false" ht="16" hidden="false" customHeight="false" outlineLevel="0" collapsed="false">
      <c r="A255" s="1" t="s">
        <v>1081</v>
      </c>
      <c r="B255" s="1" t="s">
        <v>1078</v>
      </c>
      <c r="C255" s="1" t="s">
        <v>695</v>
      </c>
      <c r="D255" s="1" t="s">
        <v>770</v>
      </c>
      <c r="E255" s="1" t="s">
        <v>7</v>
      </c>
    </row>
    <row r="256" customFormat="false" ht="16" hidden="false" customHeight="false" outlineLevel="0" collapsed="false">
      <c r="A256" s="1" t="s">
        <v>1082</v>
      </c>
      <c r="B256" s="1" t="s">
        <v>1078</v>
      </c>
      <c r="C256" s="1" t="s">
        <v>695</v>
      </c>
      <c r="D256" s="1" t="s">
        <v>696</v>
      </c>
      <c r="E256" s="1" t="s">
        <v>7</v>
      </c>
    </row>
    <row r="257" customFormat="false" ht="16" hidden="false" customHeight="false" outlineLevel="0" collapsed="false">
      <c r="A257" s="1" t="s">
        <v>1083</v>
      </c>
      <c r="B257" s="1" t="s">
        <v>69</v>
      </c>
      <c r="C257" s="1" t="s">
        <v>695</v>
      </c>
      <c r="D257" s="1" t="s">
        <v>764</v>
      </c>
      <c r="E257" s="1" t="s">
        <v>7</v>
      </c>
    </row>
    <row r="258" customFormat="false" ht="16" hidden="false" customHeight="false" outlineLevel="0" collapsed="false">
      <c r="A258" s="1" t="s">
        <v>1084</v>
      </c>
      <c r="B258" s="1" t="s">
        <v>69</v>
      </c>
      <c r="C258" s="1" t="s">
        <v>695</v>
      </c>
      <c r="D258" s="1" t="s">
        <v>766</v>
      </c>
      <c r="E258" s="1" t="s">
        <v>7</v>
      </c>
    </row>
    <row r="259" customFormat="false" ht="16" hidden="false" customHeight="false" outlineLevel="0" collapsed="false">
      <c r="A259" s="1" t="s">
        <v>1085</v>
      </c>
      <c r="B259" s="1" t="s">
        <v>69</v>
      </c>
      <c r="C259" s="1" t="s">
        <v>695</v>
      </c>
      <c r="D259" s="1" t="s">
        <v>768</v>
      </c>
      <c r="E259" s="1" t="s">
        <v>7</v>
      </c>
    </row>
    <row r="260" customFormat="false" ht="16" hidden="false" customHeight="false" outlineLevel="0" collapsed="false">
      <c r="A260" s="1" t="s">
        <v>1086</v>
      </c>
      <c r="B260" s="1" t="s">
        <v>69</v>
      </c>
      <c r="C260" s="1" t="s">
        <v>695</v>
      </c>
      <c r="D260" s="1" t="s">
        <v>770</v>
      </c>
      <c r="E260" s="1" t="s">
        <v>7</v>
      </c>
    </row>
    <row r="261" customFormat="false" ht="16" hidden="false" customHeight="false" outlineLevel="0" collapsed="false">
      <c r="A261" s="1" t="s">
        <v>1087</v>
      </c>
      <c r="B261" s="1" t="s">
        <v>69</v>
      </c>
      <c r="C261" s="1" t="s">
        <v>695</v>
      </c>
      <c r="D261" s="1" t="s">
        <v>696</v>
      </c>
      <c r="E261" s="1" t="s">
        <v>7</v>
      </c>
    </row>
    <row r="262" customFormat="false" ht="16" hidden="false" customHeight="false" outlineLevel="0" collapsed="false">
      <c r="A262" s="1" t="s">
        <v>1088</v>
      </c>
      <c r="B262" s="1" t="s">
        <v>1089</v>
      </c>
      <c r="C262" s="1" t="s">
        <v>695</v>
      </c>
      <c r="D262" s="1" t="s">
        <v>764</v>
      </c>
      <c r="E262" s="1" t="s">
        <v>7</v>
      </c>
    </row>
    <row r="263" customFormat="false" ht="16" hidden="false" customHeight="false" outlineLevel="0" collapsed="false">
      <c r="A263" s="1" t="s">
        <v>1090</v>
      </c>
      <c r="B263" s="1" t="s">
        <v>1089</v>
      </c>
      <c r="C263" s="1" t="s">
        <v>695</v>
      </c>
      <c r="D263" s="1" t="s">
        <v>766</v>
      </c>
      <c r="E263" s="1" t="s">
        <v>7</v>
      </c>
    </row>
    <row r="264" customFormat="false" ht="16" hidden="false" customHeight="false" outlineLevel="0" collapsed="false">
      <c r="A264" s="1" t="s">
        <v>1091</v>
      </c>
      <c r="B264" s="1" t="s">
        <v>1089</v>
      </c>
      <c r="C264" s="1" t="s">
        <v>695</v>
      </c>
      <c r="D264" s="1" t="s">
        <v>768</v>
      </c>
      <c r="E264" s="1" t="s">
        <v>7</v>
      </c>
    </row>
    <row r="265" customFormat="false" ht="16" hidden="false" customHeight="false" outlineLevel="0" collapsed="false">
      <c r="A265" s="1" t="s">
        <v>1092</v>
      </c>
      <c r="B265" s="1" t="s">
        <v>1089</v>
      </c>
      <c r="C265" s="1" t="s">
        <v>695</v>
      </c>
      <c r="D265" s="1" t="s">
        <v>770</v>
      </c>
      <c r="E265" s="1" t="s">
        <v>7</v>
      </c>
    </row>
    <row r="266" customFormat="false" ht="16" hidden="false" customHeight="false" outlineLevel="0" collapsed="false">
      <c r="A266" s="1" t="s">
        <v>1093</v>
      </c>
      <c r="B266" s="1" t="s">
        <v>1089</v>
      </c>
      <c r="C266" s="1" t="s">
        <v>695</v>
      </c>
      <c r="D266" s="1" t="s">
        <v>696</v>
      </c>
      <c r="E266" s="1" t="s">
        <v>7</v>
      </c>
    </row>
    <row r="267" customFormat="false" ht="16" hidden="false" customHeight="false" outlineLevel="0" collapsed="false">
      <c r="A267" s="1" t="s">
        <v>1094</v>
      </c>
      <c r="B267" s="1" t="s">
        <v>1095</v>
      </c>
      <c r="C267" s="1" t="s">
        <v>695</v>
      </c>
      <c r="D267" s="1" t="s">
        <v>764</v>
      </c>
      <c r="E267" s="1" t="s">
        <v>7</v>
      </c>
    </row>
    <row r="268" customFormat="false" ht="16" hidden="false" customHeight="false" outlineLevel="0" collapsed="false">
      <c r="A268" s="1" t="s">
        <v>1096</v>
      </c>
      <c r="B268" s="1" t="s">
        <v>1095</v>
      </c>
      <c r="C268" s="1" t="s">
        <v>695</v>
      </c>
      <c r="D268" s="1" t="s">
        <v>766</v>
      </c>
      <c r="E268" s="1" t="s">
        <v>7</v>
      </c>
    </row>
    <row r="269" customFormat="false" ht="16" hidden="false" customHeight="false" outlineLevel="0" collapsed="false">
      <c r="A269" s="1" t="s">
        <v>1097</v>
      </c>
      <c r="B269" s="1" t="s">
        <v>1095</v>
      </c>
      <c r="C269" s="1" t="s">
        <v>695</v>
      </c>
      <c r="D269" s="1" t="s">
        <v>768</v>
      </c>
      <c r="E269" s="1" t="s">
        <v>7</v>
      </c>
    </row>
    <row r="270" customFormat="false" ht="16" hidden="false" customHeight="false" outlineLevel="0" collapsed="false">
      <c r="A270" s="1" t="s">
        <v>1098</v>
      </c>
      <c r="B270" s="1" t="s">
        <v>1095</v>
      </c>
      <c r="C270" s="1" t="s">
        <v>695</v>
      </c>
      <c r="D270" s="1" t="s">
        <v>770</v>
      </c>
      <c r="E270" s="1" t="s">
        <v>7</v>
      </c>
    </row>
    <row r="271" customFormat="false" ht="16" hidden="false" customHeight="false" outlineLevel="0" collapsed="false">
      <c r="A271" s="1" t="s">
        <v>1099</v>
      </c>
      <c r="B271" s="1" t="s">
        <v>1095</v>
      </c>
      <c r="C271" s="1" t="s">
        <v>695</v>
      </c>
      <c r="D271" s="1" t="s">
        <v>696</v>
      </c>
      <c r="E271" s="1" t="s">
        <v>7</v>
      </c>
    </row>
    <row r="272" customFormat="false" ht="16" hidden="false" customHeight="false" outlineLevel="0" collapsed="false">
      <c r="A272" s="1" t="s">
        <v>1100</v>
      </c>
      <c r="B272" s="1" t="s">
        <v>87</v>
      </c>
      <c r="C272" s="1" t="s">
        <v>695</v>
      </c>
      <c r="D272" s="1" t="s">
        <v>764</v>
      </c>
      <c r="E272" s="1" t="s">
        <v>7</v>
      </c>
    </row>
    <row r="273" customFormat="false" ht="16" hidden="false" customHeight="false" outlineLevel="0" collapsed="false">
      <c r="A273" s="1" t="s">
        <v>1101</v>
      </c>
      <c r="B273" s="1" t="s">
        <v>87</v>
      </c>
      <c r="C273" s="1" t="s">
        <v>695</v>
      </c>
      <c r="D273" s="1" t="s">
        <v>766</v>
      </c>
      <c r="E273" s="1" t="s">
        <v>7</v>
      </c>
    </row>
    <row r="274" customFormat="false" ht="16" hidden="false" customHeight="false" outlineLevel="0" collapsed="false">
      <c r="A274" s="1" t="s">
        <v>1102</v>
      </c>
      <c r="B274" s="1" t="s">
        <v>87</v>
      </c>
      <c r="C274" s="1" t="s">
        <v>695</v>
      </c>
      <c r="D274" s="1" t="s">
        <v>768</v>
      </c>
      <c r="E274" s="1" t="s">
        <v>7</v>
      </c>
    </row>
    <row r="275" customFormat="false" ht="16" hidden="false" customHeight="false" outlineLevel="0" collapsed="false">
      <c r="A275" s="1" t="s">
        <v>1103</v>
      </c>
      <c r="B275" s="1" t="s">
        <v>87</v>
      </c>
      <c r="C275" s="1" t="s">
        <v>695</v>
      </c>
      <c r="D275" s="1" t="s">
        <v>770</v>
      </c>
      <c r="E275" s="1" t="s">
        <v>7</v>
      </c>
    </row>
    <row r="276" customFormat="false" ht="16" hidden="false" customHeight="false" outlineLevel="0" collapsed="false">
      <c r="A276" s="1" t="s">
        <v>1104</v>
      </c>
      <c r="B276" s="1" t="s">
        <v>87</v>
      </c>
      <c r="C276" s="1" t="s">
        <v>695</v>
      </c>
      <c r="D276" s="1" t="s">
        <v>696</v>
      </c>
      <c r="E276" s="1" t="s">
        <v>7</v>
      </c>
    </row>
    <row r="277" customFormat="false" ht="16" hidden="false" customHeight="false" outlineLevel="0" collapsed="false">
      <c r="A277" s="1" t="s">
        <v>1105</v>
      </c>
      <c r="B277" s="1" t="s">
        <v>1106</v>
      </c>
      <c r="C277" s="1" t="s">
        <v>695</v>
      </c>
      <c r="D277" s="1" t="s">
        <v>770</v>
      </c>
      <c r="E277" s="1" t="s">
        <v>7</v>
      </c>
    </row>
    <row r="278" customFormat="false" ht="16" hidden="false" customHeight="false" outlineLevel="0" collapsed="false">
      <c r="A278" s="1" t="s">
        <v>1107</v>
      </c>
      <c r="B278" s="1" t="s">
        <v>1108</v>
      </c>
      <c r="C278" s="1" t="s">
        <v>695</v>
      </c>
      <c r="D278" s="1" t="s">
        <v>768</v>
      </c>
      <c r="E278" s="1" t="s">
        <v>7</v>
      </c>
    </row>
    <row r="279" customFormat="false" ht="16" hidden="false" customHeight="false" outlineLevel="0" collapsed="false">
      <c r="A279" s="1" t="s">
        <v>1109</v>
      </c>
      <c r="B279" s="1" t="s">
        <v>1110</v>
      </c>
      <c r="C279" s="1" t="s">
        <v>695</v>
      </c>
      <c r="D279" s="1" t="s">
        <v>764</v>
      </c>
      <c r="E279" s="1" t="s">
        <v>7</v>
      </c>
    </row>
    <row r="280" customFormat="false" ht="16" hidden="false" customHeight="false" outlineLevel="0" collapsed="false">
      <c r="A280" s="1" t="s">
        <v>1111</v>
      </c>
      <c r="B280" s="1" t="s">
        <v>1110</v>
      </c>
      <c r="C280" s="1" t="s">
        <v>695</v>
      </c>
      <c r="D280" s="1" t="s">
        <v>766</v>
      </c>
      <c r="E280" s="1" t="s">
        <v>7</v>
      </c>
    </row>
    <row r="281" customFormat="false" ht="16" hidden="false" customHeight="false" outlineLevel="0" collapsed="false">
      <c r="A281" s="1" t="s">
        <v>1112</v>
      </c>
      <c r="B281" s="1" t="s">
        <v>1110</v>
      </c>
      <c r="C281" s="1" t="s">
        <v>695</v>
      </c>
      <c r="D281" s="1" t="s">
        <v>768</v>
      </c>
      <c r="E281" s="1" t="s">
        <v>7</v>
      </c>
    </row>
    <row r="282" customFormat="false" ht="16" hidden="false" customHeight="false" outlineLevel="0" collapsed="false">
      <c r="A282" s="1" t="s">
        <v>1113</v>
      </c>
      <c r="B282" s="1" t="s">
        <v>1110</v>
      </c>
      <c r="C282" s="1" t="s">
        <v>695</v>
      </c>
      <c r="D282" s="1" t="s">
        <v>770</v>
      </c>
      <c r="E282" s="1" t="s">
        <v>7</v>
      </c>
    </row>
    <row r="283" customFormat="false" ht="16" hidden="false" customHeight="false" outlineLevel="0" collapsed="false">
      <c r="A283" s="1" t="s">
        <v>1114</v>
      </c>
      <c r="B283" s="1" t="s">
        <v>1110</v>
      </c>
      <c r="C283" s="1" t="s">
        <v>695</v>
      </c>
      <c r="D283" s="1" t="s">
        <v>696</v>
      </c>
      <c r="E283" s="1" t="s">
        <v>7</v>
      </c>
    </row>
    <row r="284" customFormat="false" ht="16" hidden="false" customHeight="false" outlineLevel="0" collapsed="false">
      <c r="A284" s="1" t="s">
        <v>1115</v>
      </c>
      <c r="B284" s="1" t="s">
        <v>1116</v>
      </c>
      <c r="C284" s="1" t="s">
        <v>695</v>
      </c>
      <c r="D284" s="1" t="s">
        <v>764</v>
      </c>
      <c r="E284" s="1" t="s">
        <v>7</v>
      </c>
    </row>
    <row r="285" customFormat="false" ht="16" hidden="false" customHeight="false" outlineLevel="0" collapsed="false">
      <c r="A285" s="1" t="s">
        <v>1117</v>
      </c>
      <c r="B285" s="1" t="s">
        <v>1116</v>
      </c>
      <c r="C285" s="1" t="s">
        <v>695</v>
      </c>
      <c r="D285" s="1" t="s">
        <v>766</v>
      </c>
      <c r="E285" s="1" t="s">
        <v>7</v>
      </c>
    </row>
    <row r="286" customFormat="false" ht="16" hidden="false" customHeight="false" outlineLevel="0" collapsed="false">
      <c r="A286" s="1" t="s">
        <v>1118</v>
      </c>
      <c r="B286" s="1" t="s">
        <v>1116</v>
      </c>
      <c r="C286" s="1" t="s">
        <v>695</v>
      </c>
      <c r="D286" s="1" t="s">
        <v>768</v>
      </c>
      <c r="E286" s="1" t="s">
        <v>7</v>
      </c>
    </row>
    <row r="287" customFormat="false" ht="16" hidden="false" customHeight="false" outlineLevel="0" collapsed="false">
      <c r="A287" s="1" t="s">
        <v>1119</v>
      </c>
      <c r="B287" s="1" t="s">
        <v>1116</v>
      </c>
      <c r="C287" s="1" t="s">
        <v>695</v>
      </c>
      <c r="D287" s="1" t="s">
        <v>770</v>
      </c>
      <c r="E287" s="1" t="s">
        <v>7</v>
      </c>
    </row>
    <row r="288" customFormat="false" ht="16" hidden="false" customHeight="false" outlineLevel="0" collapsed="false">
      <c r="A288" s="1" t="s">
        <v>1120</v>
      </c>
      <c r="B288" s="1" t="s">
        <v>1116</v>
      </c>
      <c r="C288" s="1" t="s">
        <v>695</v>
      </c>
      <c r="D288" s="1" t="s">
        <v>696</v>
      </c>
      <c r="E288" s="1" t="s">
        <v>7</v>
      </c>
    </row>
    <row r="289" customFormat="false" ht="16" hidden="false" customHeight="false" outlineLevel="0" collapsed="false">
      <c r="A289" s="1" t="s">
        <v>1121</v>
      </c>
      <c r="B289" s="1" t="s">
        <v>1122</v>
      </c>
      <c r="C289" s="1" t="s">
        <v>695</v>
      </c>
      <c r="D289" s="1" t="s">
        <v>764</v>
      </c>
      <c r="E289" s="1" t="s">
        <v>7</v>
      </c>
    </row>
    <row r="290" customFormat="false" ht="16" hidden="false" customHeight="false" outlineLevel="0" collapsed="false">
      <c r="A290" s="1" t="s">
        <v>1123</v>
      </c>
      <c r="B290" s="1" t="s">
        <v>1122</v>
      </c>
      <c r="C290" s="1" t="s">
        <v>695</v>
      </c>
      <c r="D290" s="1" t="s">
        <v>766</v>
      </c>
      <c r="E290" s="1" t="s">
        <v>7</v>
      </c>
    </row>
    <row r="291" customFormat="false" ht="16" hidden="false" customHeight="false" outlineLevel="0" collapsed="false">
      <c r="A291" s="1" t="s">
        <v>1124</v>
      </c>
      <c r="B291" s="1" t="s">
        <v>1122</v>
      </c>
      <c r="C291" s="1" t="s">
        <v>695</v>
      </c>
      <c r="D291" s="1" t="s">
        <v>768</v>
      </c>
      <c r="E291" s="1" t="s">
        <v>7</v>
      </c>
    </row>
    <row r="292" customFormat="false" ht="16" hidden="false" customHeight="false" outlineLevel="0" collapsed="false">
      <c r="A292" s="1" t="s">
        <v>1125</v>
      </c>
      <c r="B292" s="1" t="s">
        <v>1122</v>
      </c>
      <c r="C292" s="1" t="s">
        <v>695</v>
      </c>
      <c r="D292" s="1" t="s">
        <v>770</v>
      </c>
      <c r="E292" s="1" t="s">
        <v>7</v>
      </c>
    </row>
    <row r="293" customFormat="false" ht="16" hidden="false" customHeight="false" outlineLevel="0" collapsed="false">
      <c r="A293" s="1" t="s">
        <v>1126</v>
      </c>
      <c r="B293" s="1" t="s">
        <v>1122</v>
      </c>
      <c r="C293" s="1" t="s">
        <v>695</v>
      </c>
      <c r="D293" s="1" t="s">
        <v>696</v>
      </c>
      <c r="E293" s="1" t="s">
        <v>7</v>
      </c>
    </row>
    <row r="294" customFormat="false" ht="16" hidden="false" customHeight="false" outlineLevel="0" collapsed="false">
      <c r="A294" s="1" t="s">
        <v>1127</v>
      </c>
      <c r="B294" s="1" t="s">
        <v>1128</v>
      </c>
      <c r="C294" s="1" t="s">
        <v>695</v>
      </c>
      <c r="D294" s="1" t="s">
        <v>764</v>
      </c>
      <c r="E294" s="1" t="s">
        <v>7</v>
      </c>
    </row>
    <row r="295" customFormat="false" ht="16" hidden="false" customHeight="false" outlineLevel="0" collapsed="false">
      <c r="A295" s="1" t="s">
        <v>1129</v>
      </c>
      <c r="B295" s="1" t="s">
        <v>1128</v>
      </c>
      <c r="C295" s="1" t="s">
        <v>695</v>
      </c>
      <c r="D295" s="1" t="s">
        <v>766</v>
      </c>
      <c r="E295" s="1" t="s">
        <v>7</v>
      </c>
    </row>
    <row r="296" customFormat="false" ht="16" hidden="false" customHeight="false" outlineLevel="0" collapsed="false">
      <c r="A296" s="1" t="s">
        <v>1130</v>
      </c>
      <c r="B296" s="1" t="s">
        <v>1128</v>
      </c>
      <c r="C296" s="1" t="s">
        <v>695</v>
      </c>
      <c r="D296" s="1" t="s">
        <v>768</v>
      </c>
      <c r="E296" s="1" t="s">
        <v>7</v>
      </c>
    </row>
    <row r="297" customFormat="false" ht="16" hidden="false" customHeight="false" outlineLevel="0" collapsed="false">
      <c r="A297" s="1" t="s">
        <v>1131</v>
      </c>
      <c r="B297" s="1" t="s">
        <v>1128</v>
      </c>
      <c r="C297" s="1" t="s">
        <v>695</v>
      </c>
      <c r="D297" s="1" t="s">
        <v>770</v>
      </c>
      <c r="E297" s="1" t="s">
        <v>7</v>
      </c>
    </row>
    <row r="298" customFormat="false" ht="16" hidden="false" customHeight="false" outlineLevel="0" collapsed="false">
      <c r="A298" s="1" t="s">
        <v>1132</v>
      </c>
      <c r="B298" s="1" t="s">
        <v>1128</v>
      </c>
      <c r="C298" s="1" t="s">
        <v>695</v>
      </c>
      <c r="D298" s="1" t="s">
        <v>696</v>
      </c>
      <c r="E298" s="1" t="s">
        <v>7</v>
      </c>
    </row>
    <row r="299" customFormat="false" ht="16" hidden="false" customHeight="false" outlineLevel="0" collapsed="false">
      <c r="A299" s="1" t="s">
        <v>1133</v>
      </c>
      <c r="B299" s="1" t="s">
        <v>1134</v>
      </c>
      <c r="C299" s="1" t="s">
        <v>695</v>
      </c>
      <c r="D299" s="1" t="s">
        <v>764</v>
      </c>
      <c r="E299" s="1" t="s">
        <v>7</v>
      </c>
    </row>
    <row r="300" customFormat="false" ht="16" hidden="false" customHeight="false" outlineLevel="0" collapsed="false">
      <c r="A300" s="1" t="s">
        <v>1135</v>
      </c>
      <c r="B300" s="1" t="s">
        <v>1134</v>
      </c>
      <c r="C300" s="1" t="s">
        <v>695</v>
      </c>
      <c r="D300" s="1" t="s">
        <v>766</v>
      </c>
      <c r="E300" s="1" t="s">
        <v>7</v>
      </c>
    </row>
    <row r="301" customFormat="false" ht="16" hidden="false" customHeight="false" outlineLevel="0" collapsed="false">
      <c r="A301" s="1" t="s">
        <v>1136</v>
      </c>
      <c r="B301" s="1" t="s">
        <v>1134</v>
      </c>
      <c r="C301" s="1" t="s">
        <v>695</v>
      </c>
      <c r="D301" s="1" t="s">
        <v>768</v>
      </c>
      <c r="E301" s="1" t="s">
        <v>7</v>
      </c>
    </row>
    <row r="302" customFormat="false" ht="16" hidden="false" customHeight="false" outlineLevel="0" collapsed="false">
      <c r="A302" s="1" t="s">
        <v>1137</v>
      </c>
      <c r="B302" s="1" t="s">
        <v>1134</v>
      </c>
      <c r="C302" s="1" t="s">
        <v>695</v>
      </c>
      <c r="D302" s="1" t="s">
        <v>770</v>
      </c>
      <c r="E302" s="1" t="s">
        <v>7</v>
      </c>
    </row>
    <row r="303" customFormat="false" ht="16" hidden="false" customHeight="false" outlineLevel="0" collapsed="false">
      <c r="A303" s="1" t="s">
        <v>1138</v>
      </c>
      <c r="B303" s="1" t="s">
        <v>1134</v>
      </c>
      <c r="C303" s="1" t="s">
        <v>695</v>
      </c>
      <c r="D303" s="1" t="s">
        <v>696</v>
      </c>
      <c r="E303" s="1" t="s">
        <v>7</v>
      </c>
    </row>
    <row r="304" customFormat="false" ht="16" hidden="false" customHeight="false" outlineLevel="0" collapsed="false">
      <c r="A304" s="1" t="s">
        <v>1139</v>
      </c>
      <c r="B304" s="1" t="s">
        <v>1140</v>
      </c>
      <c r="C304" s="1" t="s">
        <v>695</v>
      </c>
      <c r="D304" s="1" t="s">
        <v>768</v>
      </c>
      <c r="E304" s="1" t="s">
        <v>7</v>
      </c>
    </row>
    <row r="305" customFormat="false" ht="16" hidden="false" customHeight="false" outlineLevel="0" collapsed="false">
      <c r="A305" s="1" t="s">
        <v>1141</v>
      </c>
      <c r="B305" s="1" t="s">
        <v>1142</v>
      </c>
      <c r="C305" s="1" t="s">
        <v>695</v>
      </c>
      <c r="D305" s="1" t="s">
        <v>764</v>
      </c>
      <c r="E305" s="1" t="s">
        <v>7</v>
      </c>
    </row>
    <row r="306" customFormat="false" ht="16" hidden="false" customHeight="false" outlineLevel="0" collapsed="false">
      <c r="A306" s="1" t="s">
        <v>1143</v>
      </c>
      <c r="B306" s="1" t="s">
        <v>1142</v>
      </c>
      <c r="C306" s="1" t="s">
        <v>695</v>
      </c>
      <c r="D306" s="1" t="s">
        <v>766</v>
      </c>
      <c r="E306" s="1" t="s">
        <v>7</v>
      </c>
    </row>
    <row r="307" customFormat="false" ht="16" hidden="false" customHeight="false" outlineLevel="0" collapsed="false">
      <c r="A307" s="1" t="s">
        <v>1144</v>
      </c>
      <c r="B307" s="1" t="s">
        <v>1142</v>
      </c>
      <c r="C307" s="1" t="s">
        <v>695</v>
      </c>
      <c r="D307" s="1" t="s">
        <v>768</v>
      </c>
      <c r="E307" s="1" t="s">
        <v>7</v>
      </c>
    </row>
    <row r="308" customFormat="false" ht="16" hidden="false" customHeight="false" outlineLevel="0" collapsed="false">
      <c r="A308" s="1" t="s">
        <v>1145</v>
      </c>
      <c r="B308" s="1" t="s">
        <v>1142</v>
      </c>
      <c r="C308" s="1" t="s">
        <v>695</v>
      </c>
      <c r="D308" s="1" t="s">
        <v>770</v>
      </c>
      <c r="E308" s="1" t="s">
        <v>7</v>
      </c>
    </row>
    <row r="309" customFormat="false" ht="16" hidden="false" customHeight="false" outlineLevel="0" collapsed="false">
      <c r="A309" s="1" t="s">
        <v>1146</v>
      </c>
      <c r="B309" s="1" t="s">
        <v>1142</v>
      </c>
      <c r="C309" s="1" t="s">
        <v>695</v>
      </c>
      <c r="D309" s="1" t="s">
        <v>696</v>
      </c>
      <c r="E309" s="1" t="s">
        <v>7</v>
      </c>
    </row>
    <row r="310" customFormat="false" ht="16" hidden="false" customHeight="false" outlineLevel="0" collapsed="false">
      <c r="A310" s="1" t="s">
        <v>1147</v>
      </c>
      <c r="B310" s="1" t="s">
        <v>39</v>
      </c>
      <c r="C310" s="1" t="s">
        <v>695</v>
      </c>
      <c r="D310" s="1" t="s">
        <v>764</v>
      </c>
      <c r="E310" s="1" t="s">
        <v>7</v>
      </c>
    </row>
    <row r="311" customFormat="false" ht="16" hidden="false" customHeight="false" outlineLevel="0" collapsed="false">
      <c r="A311" s="1" t="s">
        <v>1148</v>
      </c>
      <c r="B311" s="1" t="s">
        <v>39</v>
      </c>
      <c r="C311" s="1" t="s">
        <v>695</v>
      </c>
      <c r="D311" s="1" t="s">
        <v>766</v>
      </c>
      <c r="E311" s="1" t="s">
        <v>7</v>
      </c>
    </row>
    <row r="312" customFormat="false" ht="16" hidden="false" customHeight="false" outlineLevel="0" collapsed="false">
      <c r="A312" s="1" t="s">
        <v>1149</v>
      </c>
      <c r="B312" s="1" t="s">
        <v>39</v>
      </c>
      <c r="C312" s="1" t="s">
        <v>695</v>
      </c>
      <c r="D312" s="1" t="s">
        <v>768</v>
      </c>
      <c r="E312" s="1" t="s">
        <v>7</v>
      </c>
    </row>
    <row r="313" customFormat="false" ht="16" hidden="false" customHeight="false" outlineLevel="0" collapsed="false">
      <c r="A313" s="1" t="s">
        <v>1150</v>
      </c>
      <c r="B313" s="1" t="s">
        <v>39</v>
      </c>
      <c r="C313" s="1" t="s">
        <v>695</v>
      </c>
      <c r="D313" s="1" t="s">
        <v>770</v>
      </c>
      <c r="E313" s="1" t="s">
        <v>7</v>
      </c>
    </row>
    <row r="314" customFormat="false" ht="16" hidden="false" customHeight="false" outlineLevel="0" collapsed="false">
      <c r="A314" s="1" t="s">
        <v>1151</v>
      </c>
      <c r="B314" s="1" t="s">
        <v>39</v>
      </c>
      <c r="C314" s="1" t="s">
        <v>695</v>
      </c>
      <c r="D314" s="1" t="s">
        <v>696</v>
      </c>
      <c r="E314" s="1" t="s">
        <v>7</v>
      </c>
    </row>
    <row r="315" customFormat="false" ht="16" hidden="false" customHeight="false" outlineLevel="0" collapsed="false">
      <c r="A315" s="1" t="s">
        <v>1152</v>
      </c>
      <c r="B315" s="1" t="s">
        <v>11</v>
      </c>
      <c r="C315" s="1" t="s">
        <v>695</v>
      </c>
      <c r="D315" s="1" t="s">
        <v>764</v>
      </c>
      <c r="E315" s="1" t="s">
        <v>7</v>
      </c>
    </row>
    <row r="316" customFormat="false" ht="16" hidden="false" customHeight="false" outlineLevel="0" collapsed="false">
      <c r="A316" s="1" t="s">
        <v>1153</v>
      </c>
      <c r="B316" s="1" t="s">
        <v>11</v>
      </c>
      <c r="C316" s="1" t="s">
        <v>695</v>
      </c>
      <c r="D316" s="1" t="s">
        <v>766</v>
      </c>
      <c r="E316" s="1" t="s">
        <v>7</v>
      </c>
    </row>
    <row r="317" customFormat="false" ht="16" hidden="false" customHeight="false" outlineLevel="0" collapsed="false">
      <c r="A317" s="1" t="s">
        <v>1154</v>
      </c>
      <c r="B317" s="1" t="s">
        <v>11</v>
      </c>
      <c r="C317" s="1" t="s">
        <v>695</v>
      </c>
      <c r="D317" s="1" t="s">
        <v>768</v>
      </c>
      <c r="E317" s="1" t="s">
        <v>7</v>
      </c>
    </row>
    <row r="318" customFormat="false" ht="16" hidden="false" customHeight="false" outlineLevel="0" collapsed="false">
      <c r="A318" s="1" t="s">
        <v>1155</v>
      </c>
      <c r="B318" s="1" t="s">
        <v>11</v>
      </c>
      <c r="C318" s="1" t="s">
        <v>695</v>
      </c>
      <c r="D318" s="1" t="s">
        <v>770</v>
      </c>
      <c r="E318" s="1" t="s">
        <v>7</v>
      </c>
    </row>
    <row r="319" customFormat="false" ht="16" hidden="false" customHeight="false" outlineLevel="0" collapsed="false">
      <c r="A319" s="1" t="s">
        <v>1156</v>
      </c>
      <c r="B319" s="1" t="s">
        <v>11</v>
      </c>
      <c r="C319" s="1" t="s">
        <v>695</v>
      </c>
      <c r="D319" s="1" t="s">
        <v>696</v>
      </c>
      <c r="E319" s="1" t="s">
        <v>7</v>
      </c>
    </row>
    <row r="320" customFormat="false" ht="16" hidden="false" customHeight="false" outlineLevel="0" collapsed="false">
      <c r="A320" s="1" t="s">
        <v>1157</v>
      </c>
      <c r="B320" s="1" t="s">
        <v>1158</v>
      </c>
      <c r="C320" s="1" t="s">
        <v>695</v>
      </c>
      <c r="D320" s="1" t="s">
        <v>764</v>
      </c>
      <c r="E320" s="1" t="s">
        <v>7</v>
      </c>
    </row>
    <row r="321" customFormat="false" ht="16" hidden="false" customHeight="false" outlineLevel="0" collapsed="false">
      <c r="A321" s="1" t="s">
        <v>1159</v>
      </c>
      <c r="B321" s="1" t="s">
        <v>1158</v>
      </c>
      <c r="C321" s="1" t="s">
        <v>695</v>
      </c>
      <c r="D321" s="1" t="s">
        <v>766</v>
      </c>
      <c r="E321" s="1" t="s">
        <v>7</v>
      </c>
    </row>
    <row r="322" customFormat="false" ht="16" hidden="false" customHeight="false" outlineLevel="0" collapsed="false">
      <c r="A322" s="1" t="s">
        <v>1160</v>
      </c>
      <c r="B322" s="1" t="s">
        <v>1158</v>
      </c>
      <c r="C322" s="1" t="s">
        <v>695</v>
      </c>
      <c r="D322" s="1" t="s">
        <v>768</v>
      </c>
      <c r="E322" s="1" t="s">
        <v>7</v>
      </c>
    </row>
    <row r="323" customFormat="false" ht="16" hidden="false" customHeight="false" outlineLevel="0" collapsed="false">
      <c r="A323" s="1" t="s">
        <v>1161</v>
      </c>
      <c r="B323" s="1" t="s">
        <v>1158</v>
      </c>
      <c r="C323" s="1" t="s">
        <v>695</v>
      </c>
      <c r="D323" s="1" t="s">
        <v>770</v>
      </c>
      <c r="E323" s="1" t="s">
        <v>7</v>
      </c>
    </row>
    <row r="324" customFormat="false" ht="16" hidden="false" customHeight="false" outlineLevel="0" collapsed="false">
      <c r="A324" s="1" t="s">
        <v>1162</v>
      </c>
      <c r="B324" s="1" t="s">
        <v>1158</v>
      </c>
      <c r="C324" s="1" t="s">
        <v>695</v>
      </c>
      <c r="D324" s="1" t="s">
        <v>696</v>
      </c>
      <c r="E324" s="1" t="s">
        <v>7</v>
      </c>
    </row>
    <row r="325" customFormat="false" ht="16" hidden="false" customHeight="false" outlineLevel="0" collapsed="false">
      <c r="A325" s="1" t="s">
        <v>1163</v>
      </c>
      <c r="B325" s="1" t="s">
        <v>1164</v>
      </c>
      <c r="C325" s="1" t="s">
        <v>695</v>
      </c>
      <c r="D325" s="1" t="s">
        <v>768</v>
      </c>
      <c r="E325" s="1" t="s">
        <v>7</v>
      </c>
    </row>
    <row r="326" customFormat="false" ht="16" hidden="false" customHeight="false" outlineLevel="0" collapsed="false">
      <c r="A326" s="1" t="s">
        <v>1165</v>
      </c>
      <c r="B326" s="1" t="s">
        <v>1166</v>
      </c>
      <c r="C326" s="1" t="s">
        <v>695</v>
      </c>
      <c r="D326" s="1" t="s">
        <v>764</v>
      </c>
      <c r="E326" s="1" t="s">
        <v>7</v>
      </c>
    </row>
    <row r="327" customFormat="false" ht="16" hidden="false" customHeight="false" outlineLevel="0" collapsed="false">
      <c r="A327" s="1" t="s">
        <v>1167</v>
      </c>
      <c r="B327" s="1" t="s">
        <v>1166</v>
      </c>
      <c r="C327" s="1" t="s">
        <v>695</v>
      </c>
      <c r="D327" s="1" t="s">
        <v>766</v>
      </c>
      <c r="E327" s="1" t="s">
        <v>7</v>
      </c>
    </row>
    <row r="328" customFormat="false" ht="16" hidden="false" customHeight="false" outlineLevel="0" collapsed="false">
      <c r="A328" s="1" t="s">
        <v>1168</v>
      </c>
      <c r="B328" s="1" t="s">
        <v>1166</v>
      </c>
      <c r="C328" s="1" t="s">
        <v>695</v>
      </c>
      <c r="D328" s="1" t="s">
        <v>768</v>
      </c>
      <c r="E328" s="1" t="s">
        <v>7</v>
      </c>
    </row>
    <row r="329" customFormat="false" ht="16" hidden="false" customHeight="false" outlineLevel="0" collapsed="false">
      <c r="A329" s="1" t="s">
        <v>1169</v>
      </c>
      <c r="B329" s="1" t="s">
        <v>1166</v>
      </c>
      <c r="C329" s="1" t="s">
        <v>695</v>
      </c>
      <c r="D329" s="1" t="s">
        <v>770</v>
      </c>
      <c r="E329" s="1" t="s">
        <v>7</v>
      </c>
    </row>
    <row r="330" customFormat="false" ht="16" hidden="false" customHeight="false" outlineLevel="0" collapsed="false">
      <c r="A330" s="1" t="s">
        <v>1170</v>
      </c>
      <c r="B330" s="1" t="s">
        <v>1166</v>
      </c>
      <c r="C330" s="1" t="s">
        <v>695</v>
      </c>
      <c r="D330" s="1" t="s">
        <v>696</v>
      </c>
      <c r="E330" s="1" t="s">
        <v>7</v>
      </c>
    </row>
    <row r="331" customFormat="false" ht="16" hidden="false" customHeight="false" outlineLevel="0" collapsed="false">
      <c r="A331" s="1" t="s">
        <v>1171</v>
      </c>
      <c r="B331" s="1" t="s">
        <v>1172</v>
      </c>
      <c r="C331" s="1" t="s">
        <v>695</v>
      </c>
      <c r="D331" s="1" t="s">
        <v>1173</v>
      </c>
      <c r="E331" s="1" t="s">
        <v>7</v>
      </c>
    </row>
    <row r="332" customFormat="false" ht="16" hidden="false" customHeight="false" outlineLevel="0" collapsed="false">
      <c r="A332" s="1" t="s">
        <v>1174</v>
      </c>
      <c r="B332" s="1" t="s">
        <v>1172</v>
      </c>
      <c r="C332" s="1" t="s">
        <v>695</v>
      </c>
      <c r="D332" s="1" t="s">
        <v>764</v>
      </c>
      <c r="E332" s="1" t="s">
        <v>7</v>
      </c>
    </row>
    <row r="333" customFormat="false" ht="16" hidden="false" customHeight="false" outlineLevel="0" collapsed="false">
      <c r="A333" s="1" t="s">
        <v>1175</v>
      </c>
      <c r="B333" s="1" t="s">
        <v>1172</v>
      </c>
      <c r="C333" s="1" t="s">
        <v>695</v>
      </c>
      <c r="D333" s="1" t="s">
        <v>766</v>
      </c>
      <c r="E333" s="1" t="s">
        <v>7</v>
      </c>
    </row>
    <row r="334" customFormat="false" ht="16" hidden="false" customHeight="false" outlineLevel="0" collapsed="false">
      <c r="A334" s="1" t="s">
        <v>1176</v>
      </c>
      <c r="B334" s="1" t="s">
        <v>1172</v>
      </c>
      <c r="C334" s="1" t="s">
        <v>695</v>
      </c>
      <c r="D334" s="1" t="s">
        <v>768</v>
      </c>
      <c r="E334" s="1" t="s">
        <v>7</v>
      </c>
    </row>
    <row r="335" customFormat="false" ht="16" hidden="false" customHeight="false" outlineLevel="0" collapsed="false">
      <c r="A335" s="1" t="s">
        <v>1177</v>
      </c>
      <c r="B335" s="1" t="s">
        <v>1172</v>
      </c>
      <c r="C335" s="1" t="s">
        <v>695</v>
      </c>
      <c r="D335" s="1" t="s">
        <v>770</v>
      </c>
      <c r="E335" s="1" t="s">
        <v>7</v>
      </c>
    </row>
    <row r="336" customFormat="false" ht="16" hidden="false" customHeight="false" outlineLevel="0" collapsed="false">
      <c r="A336" s="1" t="s">
        <v>1178</v>
      </c>
      <c r="B336" s="1" t="s">
        <v>1172</v>
      </c>
      <c r="C336" s="1" t="s">
        <v>695</v>
      </c>
      <c r="D336" s="1" t="s">
        <v>696</v>
      </c>
      <c r="E336" s="1" t="s">
        <v>7</v>
      </c>
    </row>
    <row r="337" s="25" customFormat="true" ht="16" hidden="false" customHeight="false" outlineLevel="0" collapsed="false">
      <c r="A337" s="25" t="s">
        <v>1179</v>
      </c>
      <c r="B337" s="25" t="s">
        <v>694</v>
      </c>
      <c r="C337" s="25" t="s">
        <v>695</v>
      </c>
      <c r="D337" s="25" t="s">
        <v>764</v>
      </c>
      <c r="E337" s="25" t="s">
        <v>7</v>
      </c>
    </row>
    <row r="338" s="25" customFormat="true" ht="16" hidden="false" customHeight="false" outlineLevel="0" collapsed="false">
      <c r="A338" s="25" t="s">
        <v>1180</v>
      </c>
      <c r="B338" s="25" t="s">
        <v>694</v>
      </c>
      <c r="C338" s="25" t="s">
        <v>695</v>
      </c>
      <c r="D338" s="25" t="s">
        <v>766</v>
      </c>
      <c r="E338" s="25" t="s">
        <v>7</v>
      </c>
    </row>
    <row r="339" s="25" customFormat="true" ht="16" hidden="false" customHeight="false" outlineLevel="0" collapsed="false">
      <c r="A339" s="25" t="s">
        <v>1181</v>
      </c>
      <c r="B339" s="25" t="s">
        <v>694</v>
      </c>
      <c r="C339" s="25" t="s">
        <v>695</v>
      </c>
      <c r="D339" s="25" t="s">
        <v>768</v>
      </c>
      <c r="E339" s="25" t="s">
        <v>7</v>
      </c>
    </row>
    <row r="340" s="13" customFormat="true" ht="16" hidden="false" customHeight="false" outlineLevel="0" collapsed="false">
      <c r="A340" s="13" t="s">
        <v>1182</v>
      </c>
      <c r="B340" s="13" t="s">
        <v>694</v>
      </c>
      <c r="C340" s="13" t="s">
        <v>695</v>
      </c>
      <c r="D340" s="13" t="s">
        <v>770</v>
      </c>
      <c r="E340" s="13" t="s">
        <v>7</v>
      </c>
    </row>
    <row r="341" s="13" customFormat="true" ht="16" hidden="false" customHeight="false" outlineLevel="0" collapsed="false">
      <c r="A341" s="13" t="s">
        <v>693</v>
      </c>
      <c r="B341" s="13" t="s">
        <v>694</v>
      </c>
      <c r="C341" s="13" t="s">
        <v>695</v>
      </c>
      <c r="D341" s="13" t="s">
        <v>696</v>
      </c>
      <c r="E341" s="13" t="s">
        <v>7</v>
      </c>
    </row>
    <row r="342" customFormat="false" ht="16" hidden="false" customHeight="false" outlineLevel="0" collapsed="false">
      <c r="A342" s="1" t="s">
        <v>1183</v>
      </c>
      <c r="B342" s="1" t="s">
        <v>1184</v>
      </c>
      <c r="C342" s="1" t="s">
        <v>695</v>
      </c>
      <c r="D342" s="1" t="s">
        <v>764</v>
      </c>
      <c r="E342" s="1" t="s">
        <v>7</v>
      </c>
    </row>
    <row r="343" customFormat="false" ht="16" hidden="false" customHeight="false" outlineLevel="0" collapsed="false">
      <c r="A343" s="1" t="s">
        <v>1185</v>
      </c>
      <c r="B343" s="1" t="s">
        <v>1184</v>
      </c>
      <c r="C343" s="1" t="s">
        <v>695</v>
      </c>
      <c r="D343" s="1" t="s">
        <v>766</v>
      </c>
      <c r="E343" s="1" t="s">
        <v>7</v>
      </c>
    </row>
    <row r="344" customFormat="false" ht="16" hidden="false" customHeight="false" outlineLevel="0" collapsed="false">
      <c r="A344" s="1" t="s">
        <v>1186</v>
      </c>
      <c r="B344" s="1" t="s">
        <v>1184</v>
      </c>
      <c r="C344" s="1" t="s">
        <v>695</v>
      </c>
      <c r="D344" s="1" t="s">
        <v>768</v>
      </c>
      <c r="E344" s="1" t="s">
        <v>7</v>
      </c>
    </row>
    <row r="345" customFormat="false" ht="16" hidden="false" customHeight="false" outlineLevel="0" collapsed="false">
      <c r="A345" s="1" t="s">
        <v>1187</v>
      </c>
      <c r="B345" s="1" t="s">
        <v>1184</v>
      </c>
      <c r="C345" s="1" t="s">
        <v>695</v>
      </c>
      <c r="D345" s="1" t="s">
        <v>770</v>
      </c>
      <c r="E345" s="1" t="s">
        <v>7</v>
      </c>
    </row>
    <row r="346" customFormat="false" ht="16" hidden="false" customHeight="false" outlineLevel="0" collapsed="false">
      <c r="A346" s="1" t="s">
        <v>1188</v>
      </c>
      <c r="B346" s="1" t="s">
        <v>1184</v>
      </c>
      <c r="C346" s="1" t="s">
        <v>695</v>
      </c>
      <c r="D346" s="1" t="s">
        <v>696</v>
      </c>
      <c r="E346" s="1" t="s">
        <v>7</v>
      </c>
    </row>
    <row r="347" customFormat="false" ht="16" hidden="false" customHeight="false" outlineLevel="0" collapsed="false">
      <c r="A347" s="1" t="s">
        <v>1189</v>
      </c>
      <c r="B347" s="1" t="s">
        <v>1190</v>
      </c>
      <c r="C347" s="1" t="s">
        <v>695</v>
      </c>
      <c r="D347" s="1" t="s">
        <v>764</v>
      </c>
      <c r="E347" s="1" t="s">
        <v>7</v>
      </c>
    </row>
    <row r="348" customFormat="false" ht="16" hidden="false" customHeight="false" outlineLevel="0" collapsed="false">
      <c r="A348" s="1" t="s">
        <v>1191</v>
      </c>
      <c r="B348" s="1" t="s">
        <v>1190</v>
      </c>
      <c r="C348" s="1" t="s">
        <v>695</v>
      </c>
      <c r="D348" s="1" t="s">
        <v>766</v>
      </c>
      <c r="E348" s="1" t="s">
        <v>7</v>
      </c>
    </row>
    <row r="349" customFormat="false" ht="16" hidden="false" customHeight="false" outlineLevel="0" collapsed="false">
      <c r="A349" s="1" t="s">
        <v>1192</v>
      </c>
      <c r="B349" s="1" t="s">
        <v>1190</v>
      </c>
      <c r="C349" s="1" t="s">
        <v>695</v>
      </c>
      <c r="D349" s="1" t="s">
        <v>768</v>
      </c>
      <c r="E349" s="1" t="s">
        <v>7</v>
      </c>
    </row>
    <row r="350" customFormat="false" ht="16" hidden="false" customHeight="false" outlineLevel="0" collapsed="false">
      <c r="A350" s="1" t="s">
        <v>1193</v>
      </c>
      <c r="B350" s="1" t="s">
        <v>1190</v>
      </c>
      <c r="C350" s="1" t="s">
        <v>695</v>
      </c>
      <c r="D350" s="1" t="s">
        <v>770</v>
      </c>
      <c r="E350" s="1" t="s">
        <v>7</v>
      </c>
    </row>
    <row r="351" customFormat="false" ht="16" hidden="false" customHeight="false" outlineLevel="0" collapsed="false">
      <c r="A351" s="1" t="s">
        <v>1194</v>
      </c>
      <c r="B351" s="1" t="s">
        <v>1190</v>
      </c>
      <c r="C351" s="1" t="s">
        <v>695</v>
      </c>
      <c r="D351" s="1" t="s">
        <v>696</v>
      </c>
      <c r="E351" s="1" t="s">
        <v>7</v>
      </c>
    </row>
    <row r="352" customFormat="false" ht="16" hidden="false" customHeight="false" outlineLevel="0" collapsed="false">
      <c r="A352" s="1" t="s">
        <v>1195</v>
      </c>
      <c r="B352" s="1" t="s">
        <v>1196</v>
      </c>
      <c r="C352" s="1" t="s">
        <v>695</v>
      </c>
      <c r="D352" s="1" t="s">
        <v>1173</v>
      </c>
      <c r="E352" s="1" t="s">
        <v>7</v>
      </c>
    </row>
    <row r="353" customFormat="false" ht="16" hidden="false" customHeight="false" outlineLevel="0" collapsed="false">
      <c r="A353" s="1" t="s">
        <v>1197</v>
      </c>
      <c r="B353" s="1" t="s">
        <v>1196</v>
      </c>
      <c r="C353" s="1" t="s">
        <v>695</v>
      </c>
      <c r="D353" s="1" t="s">
        <v>764</v>
      </c>
      <c r="E353" s="1" t="s">
        <v>7</v>
      </c>
    </row>
    <row r="354" customFormat="false" ht="16" hidden="false" customHeight="false" outlineLevel="0" collapsed="false">
      <c r="A354" s="1" t="s">
        <v>1198</v>
      </c>
      <c r="B354" s="1" t="s">
        <v>1196</v>
      </c>
      <c r="C354" s="1" t="s">
        <v>695</v>
      </c>
      <c r="D354" s="1" t="s">
        <v>766</v>
      </c>
      <c r="E354" s="1" t="s">
        <v>7</v>
      </c>
    </row>
    <row r="355" customFormat="false" ht="16" hidden="false" customHeight="false" outlineLevel="0" collapsed="false">
      <c r="A355" s="1" t="s">
        <v>1199</v>
      </c>
      <c r="B355" s="1" t="s">
        <v>1196</v>
      </c>
      <c r="C355" s="1" t="s">
        <v>695</v>
      </c>
      <c r="D355" s="1" t="s">
        <v>768</v>
      </c>
      <c r="E355" s="1" t="s">
        <v>7</v>
      </c>
    </row>
    <row r="356" customFormat="false" ht="16" hidden="false" customHeight="false" outlineLevel="0" collapsed="false">
      <c r="A356" s="1" t="s">
        <v>1200</v>
      </c>
      <c r="B356" s="1" t="s">
        <v>1196</v>
      </c>
      <c r="C356" s="1" t="s">
        <v>695</v>
      </c>
      <c r="D356" s="1" t="s">
        <v>770</v>
      </c>
      <c r="E356" s="1" t="s">
        <v>7</v>
      </c>
    </row>
    <row r="357" customFormat="false" ht="16" hidden="false" customHeight="false" outlineLevel="0" collapsed="false">
      <c r="A357" s="1" t="s">
        <v>1201</v>
      </c>
      <c r="B357" s="1" t="s">
        <v>1196</v>
      </c>
      <c r="C357" s="1" t="s">
        <v>695</v>
      </c>
      <c r="D357" s="1" t="s">
        <v>696</v>
      </c>
      <c r="E357" s="1" t="s">
        <v>7</v>
      </c>
    </row>
    <row r="358" customFormat="false" ht="16" hidden="false" customHeight="false" outlineLevel="0" collapsed="false">
      <c r="A358" s="1" t="s">
        <v>1202</v>
      </c>
      <c r="B358" s="1" t="s">
        <v>1203</v>
      </c>
      <c r="C358" s="1" t="s">
        <v>695</v>
      </c>
      <c r="D358" s="1" t="s">
        <v>764</v>
      </c>
      <c r="E358" s="1" t="s">
        <v>7</v>
      </c>
    </row>
    <row r="359" customFormat="false" ht="16" hidden="false" customHeight="false" outlineLevel="0" collapsed="false">
      <c r="A359" s="1" t="s">
        <v>1204</v>
      </c>
      <c r="B359" s="1" t="s">
        <v>1203</v>
      </c>
      <c r="C359" s="1" t="s">
        <v>695</v>
      </c>
      <c r="D359" s="1" t="s">
        <v>766</v>
      </c>
      <c r="E359" s="1" t="s">
        <v>7</v>
      </c>
    </row>
    <row r="360" customFormat="false" ht="16" hidden="false" customHeight="false" outlineLevel="0" collapsed="false">
      <c r="A360" s="1" t="s">
        <v>1205</v>
      </c>
      <c r="B360" s="1" t="s">
        <v>1203</v>
      </c>
      <c r="C360" s="1" t="s">
        <v>695</v>
      </c>
      <c r="D360" s="1" t="s">
        <v>768</v>
      </c>
      <c r="E360" s="1" t="s">
        <v>7</v>
      </c>
    </row>
    <row r="361" customFormat="false" ht="16" hidden="false" customHeight="false" outlineLevel="0" collapsed="false">
      <c r="A361" s="1" t="s">
        <v>1206</v>
      </c>
      <c r="B361" s="1" t="s">
        <v>1203</v>
      </c>
      <c r="C361" s="1" t="s">
        <v>695</v>
      </c>
      <c r="D361" s="1" t="s">
        <v>770</v>
      </c>
      <c r="E361" s="1" t="s">
        <v>7</v>
      </c>
    </row>
    <row r="362" customFormat="false" ht="16" hidden="false" customHeight="false" outlineLevel="0" collapsed="false">
      <c r="A362" s="1" t="s">
        <v>1207</v>
      </c>
      <c r="B362" s="1" t="s">
        <v>1203</v>
      </c>
      <c r="C362" s="1" t="s">
        <v>695</v>
      </c>
      <c r="D362" s="1" t="s">
        <v>696</v>
      </c>
      <c r="E362" s="1" t="s">
        <v>7</v>
      </c>
    </row>
    <row r="363" customFormat="false" ht="16" hidden="false" customHeight="false" outlineLevel="0" collapsed="false">
      <c r="A363" s="1" t="s">
        <v>1208</v>
      </c>
      <c r="B363" s="1" t="s">
        <v>1209</v>
      </c>
      <c r="C363" s="1" t="s">
        <v>695</v>
      </c>
      <c r="D363" s="1" t="s">
        <v>764</v>
      </c>
      <c r="E363" s="1" t="s">
        <v>906</v>
      </c>
    </row>
    <row r="364" customFormat="false" ht="16" hidden="false" customHeight="false" outlineLevel="0" collapsed="false">
      <c r="A364" s="1" t="s">
        <v>1210</v>
      </c>
      <c r="B364" s="1" t="s">
        <v>1209</v>
      </c>
      <c r="C364" s="1" t="s">
        <v>695</v>
      </c>
      <c r="D364" s="1" t="s">
        <v>766</v>
      </c>
      <c r="E364" s="1" t="s">
        <v>906</v>
      </c>
    </row>
    <row r="365" customFormat="false" ht="16" hidden="false" customHeight="false" outlineLevel="0" collapsed="false">
      <c r="A365" s="1" t="s">
        <v>1211</v>
      </c>
      <c r="B365" s="1" t="s">
        <v>1209</v>
      </c>
      <c r="C365" s="1" t="s">
        <v>695</v>
      </c>
      <c r="D365" s="1" t="s">
        <v>768</v>
      </c>
      <c r="E365" s="1" t="s">
        <v>906</v>
      </c>
    </row>
    <row r="366" customFormat="false" ht="16" hidden="false" customHeight="false" outlineLevel="0" collapsed="false">
      <c r="A366" s="1" t="s">
        <v>1212</v>
      </c>
      <c r="B366" s="1" t="s">
        <v>1209</v>
      </c>
      <c r="C366" s="1" t="s">
        <v>695</v>
      </c>
      <c r="D366" s="1" t="s">
        <v>770</v>
      </c>
      <c r="E366" s="1" t="s">
        <v>906</v>
      </c>
    </row>
    <row r="367" customFormat="false" ht="16" hidden="false" customHeight="false" outlineLevel="0" collapsed="false">
      <c r="A367" s="1" t="s">
        <v>1213</v>
      </c>
      <c r="B367" s="1" t="s">
        <v>1209</v>
      </c>
      <c r="C367" s="1" t="s">
        <v>695</v>
      </c>
      <c r="D367" s="1" t="s">
        <v>696</v>
      </c>
      <c r="E367" s="1" t="s">
        <v>906</v>
      </c>
    </row>
    <row r="368" customFormat="false" ht="16" hidden="false" customHeight="false" outlineLevel="0" collapsed="false">
      <c r="A368" s="1" t="s">
        <v>1214</v>
      </c>
      <c r="B368" s="1" t="s">
        <v>1215</v>
      </c>
      <c r="C368" s="1" t="s">
        <v>695</v>
      </c>
      <c r="D368" s="1" t="s">
        <v>770</v>
      </c>
      <c r="E368" s="1" t="s">
        <v>7</v>
      </c>
    </row>
    <row r="369" customFormat="false" ht="16" hidden="false" customHeight="false" outlineLevel="0" collapsed="false">
      <c r="A369" s="1" t="s">
        <v>1216</v>
      </c>
      <c r="B369" s="1" t="s">
        <v>1217</v>
      </c>
      <c r="C369" s="1" t="s">
        <v>695</v>
      </c>
      <c r="D369" s="1" t="s">
        <v>768</v>
      </c>
      <c r="E369" s="1" t="s">
        <v>7</v>
      </c>
    </row>
    <row r="370" customFormat="false" ht="16" hidden="false" customHeight="false" outlineLevel="0" collapsed="false">
      <c r="A370" s="1" t="s">
        <v>1218</v>
      </c>
      <c r="B370" s="1" t="s">
        <v>1219</v>
      </c>
      <c r="C370" s="1" t="s">
        <v>695</v>
      </c>
      <c r="D370" s="1" t="s">
        <v>764</v>
      </c>
      <c r="E370" s="1" t="s">
        <v>906</v>
      </c>
    </row>
    <row r="371" customFormat="false" ht="16" hidden="false" customHeight="false" outlineLevel="0" collapsed="false">
      <c r="A371" s="1" t="s">
        <v>1220</v>
      </c>
      <c r="B371" s="1" t="s">
        <v>1219</v>
      </c>
      <c r="C371" s="1" t="s">
        <v>695</v>
      </c>
      <c r="D371" s="1" t="s">
        <v>766</v>
      </c>
      <c r="E371" s="1" t="s">
        <v>906</v>
      </c>
    </row>
    <row r="372" customFormat="false" ht="16" hidden="false" customHeight="false" outlineLevel="0" collapsed="false">
      <c r="A372" s="1" t="s">
        <v>1221</v>
      </c>
      <c r="B372" s="1" t="s">
        <v>1219</v>
      </c>
      <c r="C372" s="1" t="s">
        <v>695</v>
      </c>
      <c r="D372" s="1" t="s">
        <v>768</v>
      </c>
      <c r="E372" s="1" t="s">
        <v>906</v>
      </c>
    </row>
    <row r="373" customFormat="false" ht="16" hidden="false" customHeight="false" outlineLevel="0" collapsed="false">
      <c r="A373" s="1" t="s">
        <v>1222</v>
      </c>
      <c r="B373" s="1" t="s">
        <v>1219</v>
      </c>
      <c r="C373" s="1" t="s">
        <v>695</v>
      </c>
      <c r="D373" s="1" t="s">
        <v>770</v>
      </c>
      <c r="E373" s="1" t="s">
        <v>906</v>
      </c>
    </row>
    <row r="374" customFormat="false" ht="16" hidden="false" customHeight="false" outlineLevel="0" collapsed="false">
      <c r="A374" s="1" t="s">
        <v>1223</v>
      </c>
      <c r="B374" s="1" t="s">
        <v>1219</v>
      </c>
      <c r="C374" s="1" t="s">
        <v>695</v>
      </c>
      <c r="D374" s="1" t="s">
        <v>696</v>
      </c>
      <c r="E374" s="1" t="s">
        <v>906</v>
      </c>
    </row>
    <row r="375" customFormat="false" ht="16" hidden="false" customHeight="false" outlineLevel="0" collapsed="false">
      <c r="A375" s="1" t="s">
        <v>1224</v>
      </c>
      <c r="B375" s="1" t="s">
        <v>1225</v>
      </c>
      <c r="C375" s="1" t="s">
        <v>695</v>
      </c>
      <c r="D375" s="1" t="s">
        <v>764</v>
      </c>
      <c r="E375" s="1" t="s">
        <v>906</v>
      </c>
    </row>
    <row r="376" customFormat="false" ht="16" hidden="false" customHeight="false" outlineLevel="0" collapsed="false">
      <c r="A376" s="1" t="s">
        <v>1226</v>
      </c>
      <c r="B376" s="1" t="s">
        <v>1225</v>
      </c>
      <c r="C376" s="1" t="s">
        <v>695</v>
      </c>
      <c r="D376" s="1" t="s">
        <v>766</v>
      </c>
      <c r="E376" s="1" t="s">
        <v>906</v>
      </c>
    </row>
    <row r="377" customFormat="false" ht="16" hidden="false" customHeight="false" outlineLevel="0" collapsed="false">
      <c r="A377" s="1" t="s">
        <v>1227</v>
      </c>
      <c r="B377" s="1" t="s">
        <v>1225</v>
      </c>
      <c r="C377" s="1" t="s">
        <v>695</v>
      </c>
      <c r="D377" s="1" t="s">
        <v>768</v>
      </c>
      <c r="E377" s="1" t="s">
        <v>906</v>
      </c>
    </row>
    <row r="378" customFormat="false" ht="16" hidden="false" customHeight="false" outlineLevel="0" collapsed="false">
      <c r="A378" s="1" t="s">
        <v>1228</v>
      </c>
      <c r="B378" s="1" t="s">
        <v>1225</v>
      </c>
      <c r="C378" s="1" t="s">
        <v>695</v>
      </c>
      <c r="D378" s="1" t="s">
        <v>770</v>
      </c>
      <c r="E378" s="1" t="s">
        <v>906</v>
      </c>
    </row>
    <row r="379" customFormat="false" ht="16" hidden="false" customHeight="false" outlineLevel="0" collapsed="false">
      <c r="A379" s="1" t="s">
        <v>1229</v>
      </c>
      <c r="B379" s="1" t="s">
        <v>1225</v>
      </c>
      <c r="C379" s="1" t="s">
        <v>695</v>
      </c>
      <c r="D379" s="1" t="s">
        <v>696</v>
      </c>
      <c r="E379" s="1" t="s">
        <v>906</v>
      </c>
    </row>
    <row r="380" customFormat="false" ht="16" hidden="false" customHeight="false" outlineLevel="0" collapsed="false">
      <c r="A380" s="1" t="s">
        <v>1230</v>
      </c>
      <c r="B380" s="1" t="s">
        <v>1231</v>
      </c>
      <c r="C380" s="1" t="s">
        <v>695</v>
      </c>
      <c r="D380" s="1" t="s">
        <v>764</v>
      </c>
      <c r="E380" s="1" t="s">
        <v>906</v>
      </c>
    </row>
    <row r="381" customFormat="false" ht="16" hidden="false" customHeight="false" outlineLevel="0" collapsed="false">
      <c r="A381" s="1" t="s">
        <v>1232</v>
      </c>
      <c r="B381" s="1" t="s">
        <v>1231</v>
      </c>
      <c r="C381" s="1" t="s">
        <v>695</v>
      </c>
      <c r="D381" s="1" t="s">
        <v>766</v>
      </c>
      <c r="E381" s="1" t="s">
        <v>906</v>
      </c>
    </row>
    <row r="382" customFormat="false" ht="16" hidden="false" customHeight="false" outlineLevel="0" collapsed="false">
      <c r="A382" s="1" t="s">
        <v>1233</v>
      </c>
      <c r="B382" s="1" t="s">
        <v>1231</v>
      </c>
      <c r="C382" s="1" t="s">
        <v>695</v>
      </c>
      <c r="D382" s="1" t="s">
        <v>768</v>
      </c>
      <c r="E382" s="1" t="s">
        <v>906</v>
      </c>
    </row>
    <row r="383" customFormat="false" ht="16" hidden="false" customHeight="false" outlineLevel="0" collapsed="false">
      <c r="A383" s="1" t="s">
        <v>1234</v>
      </c>
      <c r="B383" s="1" t="s">
        <v>1231</v>
      </c>
      <c r="C383" s="1" t="s">
        <v>695</v>
      </c>
      <c r="D383" s="1" t="s">
        <v>770</v>
      </c>
      <c r="E383" s="1" t="s">
        <v>906</v>
      </c>
    </row>
    <row r="384" customFormat="false" ht="16" hidden="false" customHeight="false" outlineLevel="0" collapsed="false">
      <c r="A384" s="1" t="s">
        <v>1235</v>
      </c>
      <c r="B384" s="1" t="s">
        <v>1231</v>
      </c>
      <c r="C384" s="1" t="s">
        <v>695</v>
      </c>
      <c r="D384" s="1" t="s">
        <v>696</v>
      </c>
      <c r="E384" s="1" t="s">
        <v>906</v>
      </c>
    </row>
    <row r="385" customFormat="false" ht="16" hidden="false" customHeight="false" outlineLevel="0" collapsed="false">
      <c r="A385" s="1" t="s">
        <v>1236</v>
      </c>
      <c r="B385" s="1" t="s">
        <v>1237</v>
      </c>
      <c r="C385" s="1" t="s">
        <v>695</v>
      </c>
      <c r="D385" s="1" t="s">
        <v>764</v>
      </c>
      <c r="E385" s="1" t="s">
        <v>906</v>
      </c>
    </row>
    <row r="386" customFormat="false" ht="16" hidden="false" customHeight="false" outlineLevel="0" collapsed="false">
      <c r="A386" s="1" t="s">
        <v>1238</v>
      </c>
      <c r="B386" s="1" t="s">
        <v>1237</v>
      </c>
      <c r="C386" s="1" t="s">
        <v>695</v>
      </c>
      <c r="D386" s="1" t="s">
        <v>766</v>
      </c>
      <c r="E386" s="1" t="s">
        <v>906</v>
      </c>
    </row>
    <row r="387" customFormat="false" ht="16" hidden="false" customHeight="false" outlineLevel="0" collapsed="false">
      <c r="A387" s="1" t="s">
        <v>1239</v>
      </c>
      <c r="B387" s="1" t="s">
        <v>1237</v>
      </c>
      <c r="C387" s="1" t="s">
        <v>695</v>
      </c>
      <c r="D387" s="1" t="s">
        <v>768</v>
      </c>
      <c r="E387" s="1" t="s">
        <v>906</v>
      </c>
    </row>
    <row r="388" customFormat="false" ht="16" hidden="false" customHeight="false" outlineLevel="0" collapsed="false">
      <c r="A388" s="1" t="s">
        <v>1240</v>
      </c>
      <c r="B388" s="1" t="s">
        <v>1237</v>
      </c>
      <c r="C388" s="1" t="s">
        <v>695</v>
      </c>
      <c r="D388" s="1" t="s">
        <v>770</v>
      </c>
      <c r="E388" s="1" t="s">
        <v>906</v>
      </c>
    </row>
    <row r="389" customFormat="false" ht="16" hidden="false" customHeight="false" outlineLevel="0" collapsed="false">
      <c r="A389" s="1" t="s">
        <v>1241</v>
      </c>
      <c r="B389" s="1" t="s">
        <v>1237</v>
      </c>
      <c r="C389" s="1" t="s">
        <v>695</v>
      </c>
      <c r="D389" s="1" t="s">
        <v>696</v>
      </c>
      <c r="E389" s="1" t="s">
        <v>906</v>
      </c>
    </row>
    <row r="390" customFormat="false" ht="16" hidden="false" customHeight="false" outlineLevel="0" collapsed="false">
      <c r="A390" s="1" t="s">
        <v>1242</v>
      </c>
      <c r="B390" s="1" t="s">
        <v>1243</v>
      </c>
      <c r="C390" s="1" t="s">
        <v>695</v>
      </c>
      <c r="D390" s="1" t="s">
        <v>764</v>
      </c>
      <c r="E390" s="1" t="s">
        <v>7</v>
      </c>
    </row>
    <row r="391" customFormat="false" ht="16" hidden="false" customHeight="false" outlineLevel="0" collapsed="false">
      <c r="A391" s="1" t="s">
        <v>1244</v>
      </c>
      <c r="B391" s="1" t="s">
        <v>1243</v>
      </c>
      <c r="C391" s="1" t="s">
        <v>695</v>
      </c>
      <c r="D391" s="1" t="s">
        <v>766</v>
      </c>
      <c r="E391" s="1" t="s">
        <v>7</v>
      </c>
    </row>
    <row r="392" customFormat="false" ht="16" hidden="false" customHeight="false" outlineLevel="0" collapsed="false">
      <c r="A392" s="1" t="s">
        <v>1245</v>
      </c>
      <c r="B392" s="1" t="s">
        <v>1243</v>
      </c>
      <c r="C392" s="1" t="s">
        <v>695</v>
      </c>
      <c r="D392" s="1" t="s">
        <v>768</v>
      </c>
      <c r="E392" s="1" t="s">
        <v>7</v>
      </c>
    </row>
    <row r="393" customFormat="false" ht="16" hidden="false" customHeight="false" outlineLevel="0" collapsed="false">
      <c r="A393" s="1" t="s">
        <v>1246</v>
      </c>
      <c r="B393" s="1" t="s">
        <v>1243</v>
      </c>
      <c r="C393" s="1" t="s">
        <v>695</v>
      </c>
      <c r="D393" s="1" t="s">
        <v>770</v>
      </c>
      <c r="E393" s="1" t="s">
        <v>7</v>
      </c>
    </row>
    <row r="394" customFormat="false" ht="16" hidden="false" customHeight="false" outlineLevel="0" collapsed="false">
      <c r="A394" s="1" t="s">
        <v>1247</v>
      </c>
      <c r="B394" s="1" t="s">
        <v>1243</v>
      </c>
      <c r="C394" s="1" t="s">
        <v>695</v>
      </c>
      <c r="D394" s="1" t="s">
        <v>696</v>
      </c>
      <c r="E394" s="1" t="s">
        <v>7</v>
      </c>
    </row>
    <row r="395" customFormat="false" ht="16" hidden="false" customHeight="false" outlineLevel="0" collapsed="false">
      <c r="A395" s="1" t="s">
        <v>1248</v>
      </c>
      <c r="B395" s="1" t="s">
        <v>1249</v>
      </c>
      <c r="C395" s="1" t="s">
        <v>695</v>
      </c>
      <c r="D395" s="1" t="s">
        <v>768</v>
      </c>
      <c r="E395" s="1" t="s">
        <v>7</v>
      </c>
    </row>
    <row r="396" customFormat="false" ht="16" hidden="false" customHeight="false" outlineLevel="0" collapsed="false">
      <c r="A396" s="1" t="s">
        <v>1250</v>
      </c>
      <c r="B396" s="1" t="s">
        <v>1251</v>
      </c>
      <c r="C396" s="1" t="s">
        <v>695</v>
      </c>
      <c r="D396" s="1" t="s">
        <v>768</v>
      </c>
      <c r="E396" s="1" t="s">
        <v>7</v>
      </c>
    </row>
    <row r="397" customFormat="false" ht="16" hidden="false" customHeight="false" outlineLevel="0" collapsed="false">
      <c r="A397" s="1" t="s">
        <v>1252</v>
      </c>
      <c r="B397" s="1" t="s">
        <v>13</v>
      </c>
      <c r="C397" s="1" t="s">
        <v>695</v>
      </c>
      <c r="D397" s="1" t="s">
        <v>764</v>
      </c>
      <c r="E397" s="1" t="s">
        <v>7</v>
      </c>
    </row>
    <row r="398" customFormat="false" ht="16" hidden="false" customHeight="false" outlineLevel="0" collapsed="false">
      <c r="A398" s="1" t="s">
        <v>1253</v>
      </c>
      <c r="B398" s="1" t="s">
        <v>13</v>
      </c>
      <c r="C398" s="1" t="s">
        <v>695</v>
      </c>
      <c r="D398" s="1" t="s">
        <v>766</v>
      </c>
      <c r="E398" s="1" t="s">
        <v>7</v>
      </c>
    </row>
    <row r="399" customFormat="false" ht="16" hidden="false" customHeight="false" outlineLevel="0" collapsed="false">
      <c r="A399" s="1" t="s">
        <v>1254</v>
      </c>
      <c r="B399" s="1" t="s">
        <v>13</v>
      </c>
      <c r="C399" s="1" t="s">
        <v>695</v>
      </c>
      <c r="D399" s="1" t="s">
        <v>768</v>
      </c>
      <c r="E399" s="1" t="s">
        <v>7</v>
      </c>
    </row>
    <row r="400" customFormat="false" ht="16" hidden="false" customHeight="false" outlineLevel="0" collapsed="false">
      <c r="A400" s="1" t="s">
        <v>1255</v>
      </c>
      <c r="B400" s="1" t="s">
        <v>13</v>
      </c>
      <c r="C400" s="1" t="s">
        <v>695</v>
      </c>
      <c r="D400" s="1" t="s">
        <v>770</v>
      </c>
      <c r="E400" s="1" t="s">
        <v>7</v>
      </c>
    </row>
    <row r="401" customFormat="false" ht="16" hidden="false" customHeight="false" outlineLevel="0" collapsed="false">
      <c r="A401" s="1" t="s">
        <v>1256</v>
      </c>
      <c r="B401" s="1" t="s">
        <v>13</v>
      </c>
      <c r="C401" s="1" t="s">
        <v>695</v>
      </c>
      <c r="D401" s="1" t="s">
        <v>696</v>
      </c>
      <c r="E401" s="1" t="s">
        <v>7</v>
      </c>
    </row>
    <row r="402" customFormat="false" ht="16" hidden="false" customHeight="false" outlineLevel="0" collapsed="false">
      <c r="A402" s="1" t="s">
        <v>1257</v>
      </c>
      <c r="B402" s="1" t="s">
        <v>1258</v>
      </c>
      <c r="C402" s="1" t="s">
        <v>695</v>
      </c>
      <c r="D402" s="1" t="s">
        <v>764</v>
      </c>
      <c r="E402" s="1" t="s">
        <v>7</v>
      </c>
    </row>
    <row r="403" customFormat="false" ht="16" hidden="false" customHeight="false" outlineLevel="0" collapsed="false">
      <c r="A403" s="1" t="s">
        <v>1259</v>
      </c>
      <c r="B403" s="1" t="s">
        <v>1258</v>
      </c>
      <c r="C403" s="1" t="s">
        <v>695</v>
      </c>
      <c r="D403" s="1" t="s">
        <v>766</v>
      </c>
      <c r="E403" s="1" t="s">
        <v>7</v>
      </c>
    </row>
    <row r="404" customFormat="false" ht="16" hidden="false" customHeight="false" outlineLevel="0" collapsed="false">
      <c r="A404" s="1" t="s">
        <v>1260</v>
      </c>
      <c r="B404" s="1" t="s">
        <v>1258</v>
      </c>
      <c r="C404" s="1" t="s">
        <v>695</v>
      </c>
      <c r="D404" s="1" t="s">
        <v>768</v>
      </c>
      <c r="E404" s="1" t="s">
        <v>7</v>
      </c>
    </row>
    <row r="405" customFormat="false" ht="16" hidden="false" customHeight="false" outlineLevel="0" collapsed="false">
      <c r="A405" s="1" t="s">
        <v>1261</v>
      </c>
      <c r="B405" s="1" t="s">
        <v>1258</v>
      </c>
      <c r="C405" s="1" t="s">
        <v>695</v>
      </c>
      <c r="D405" s="1" t="s">
        <v>770</v>
      </c>
      <c r="E405" s="1" t="s">
        <v>7</v>
      </c>
    </row>
    <row r="406" customFormat="false" ht="16" hidden="false" customHeight="false" outlineLevel="0" collapsed="false">
      <c r="A406" s="1" t="s">
        <v>1262</v>
      </c>
      <c r="B406" s="1" t="s">
        <v>1258</v>
      </c>
      <c r="C406" s="1" t="s">
        <v>695</v>
      </c>
      <c r="D406" s="1" t="s">
        <v>696</v>
      </c>
      <c r="E406" s="1" t="s">
        <v>7</v>
      </c>
    </row>
    <row r="407" customFormat="false" ht="16" hidden="false" customHeight="false" outlineLevel="0" collapsed="false">
      <c r="A407" s="1" t="s">
        <v>1263</v>
      </c>
      <c r="B407" s="1" t="s">
        <v>1264</v>
      </c>
      <c r="C407" s="1" t="s">
        <v>695</v>
      </c>
      <c r="D407" s="1" t="s">
        <v>764</v>
      </c>
      <c r="E407" s="1" t="s">
        <v>7</v>
      </c>
    </row>
    <row r="408" customFormat="false" ht="16" hidden="false" customHeight="false" outlineLevel="0" collapsed="false">
      <c r="A408" s="1" t="s">
        <v>1265</v>
      </c>
      <c r="B408" s="1" t="s">
        <v>1264</v>
      </c>
      <c r="C408" s="1" t="s">
        <v>695</v>
      </c>
      <c r="D408" s="1" t="s">
        <v>766</v>
      </c>
      <c r="E408" s="1" t="s">
        <v>7</v>
      </c>
    </row>
    <row r="409" customFormat="false" ht="16" hidden="false" customHeight="false" outlineLevel="0" collapsed="false">
      <c r="A409" s="1" t="s">
        <v>1266</v>
      </c>
      <c r="B409" s="1" t="s">
        <v>1264</v>
      </c>
      <c r="C409" s="1" t="s">
        <v>695</v>
      </c>
      <c r="D409" s="1" t="s">
        <v>768</v>
      </c>
      <c r="E409" s="1" t="s">
        <v>7</v>
      </c>
    </row>
    <row r="410" customFormat="false" ht="16" hidden="false" customHeight="false" outlineLevel="0" collapsed="false">
      <c r="A410" s="1" t="s">
        <v>1267</v>
      </c>
      <c r="B410" s="1" t="s">
        <v>1264</v>
      </c>
      <c r="C410" s="1" t="s">
        <v>695</v>
      </c>
      <c r="D410" s="1" t="s">
        <v>770</v>
      </c>
      <c r="E410" s="1" t="s">
        <v>7</v>
      </c>
    </row>
    <row r="411" customFormat="false" ht="16" hidden="false" customHeight="false" outlineLevel="0" collapsed="false">
      <c r="A411" s="1" t="s">
        <v>1268</v>
      </c>
      <c r="B411" s="1" t="s">
        <v>1264</v>
      </c>
      <c r="C411" s="1" t="s">
        <v>695</v>
      </c>
      <c r="D411" s="1" t="s">
        <v>696</v>
      </c>
      <c r="E411" s="1" t="s">
        <v>7</v>
      </c>
    </row>
    <row r="412" customFormat="false" ht="16" hidden="false" customHeight="false" outlineLevel="0" collapsed="false">
      <c r="A412" s="1" t="s">
        <v>1269</v>
      </c>
      <c r="B412" s="1" t="s">
        <v>1270</v>
      </c>
      <c r="C412" s="1" t="s">
        <v>695</v>
      </c>
      <c r="D412" s="1" t="s">
        <v>764</v>
      </c>
      <c r="E412" s="1" t="s">
        <v>7</v>
      </c>
    </row>
    <row r="413" customFormat="false" ht="16" hidden="false" customHeight="false" outlineLevel="0" collapsed="false">
      <c r="A413" s="1" t="s">
        <v>1271</v>
      </c>
      <c r="B413" s="1" t="s">
        <v>1270</v>
      </c>
      <c r="C413" s="1" t="s">
        <v>695</v>
      </c>
      <c r="D413" s="1" t="s">
        <v>766</v>
      </c>
      <c r="E413" s="1" t="s">
        <v>7</v>
      </c>
    </row>
    <row r="414" customFormat="false" ht="16" hidden="false" customHeight="false" outlineLevel="0" collapsed="false">
      <c r="A414" s="1" t="s">
        <v>1272</v>
      </c>
      <c r="B414" s="1" t="s">
        <v>1270</v>
      </c>
      <c r="C414" s="1" t="s">
        <v>695</v>
      </c>
      <c r="D414" s="1" t="s">
        <v>768</v>
      </c>
      <c r="E414" s="1" t="s">
        <v>7</v>
      </c>
    </row>
    <row r="415" customFormat="false" ht="16" hidden="false" customHeight="false" outlineLevel="0" collapsed="false">
      <c r="A415" s="1" t="s">
        <v>1273</v>
      </c>
      <c r="B415" s="1" t="s">
        <v>1270</v>
      </c>
      <c r="C415" s="1" t="s">
        <v>695</v>
      </c>
      <c r="D415" s="1" t="s">
        <v>770</v>
      </c>
      <c r="E415" s="1" t="s">
        <v>7</v>
      </c>
    </row>
    <row r="416" customFormat="false" ht="16" hidden="false" customHeight="false" outlineLevel="0" collapsed="false">
      <c r="A416" s="1" t="s">
        <v>1274</v>
      </c>
      <c r="B416" s="1" t="s">
        <v>1270</v>
      </c>
      <c r="C416" s="1" t="s">
        <v>695</v>
      </c>
      <c r="D416" s="1" t="s">
        <v>696</v>
      </c>
      <c r="E416" s="1" t="s">
        <v>7</v>
      </c>
    </row>
    <row r="417" customFormat="false" ht="16" hidden="false" customHeight="false" outlineLevel="0" collapsed="false">
      <c r="A417" s="1" t="s">
        <v>1275</v>
      </c>
      <c r="B417" s="1" t="s">
        <v>1276</v>
      </c>
      <c r="C417" s="1" t="s">
        <v>695</v>
      </c>
      <c r="D417" s="1" t="s">
        <v>764</v>
      </c>
      <c r="E417" s="1" t="s">
        <v>7</v>
      </c>
    </row>
    <row r="418" customFormat="false" ht="16" hidden="false" customHeight="false" outlineLevel="0" collapsed="false">
      <c r="A418" s="1" t="s">
        <v>1277</v>
      </c>
      <c r="B418" s="1" t="s">
        <v>1276</v>
      </c>
      <c r="C418" s="1" t="s">
        <v>695</v>
      </c>
      <c r="D418" s="1" t="s">
        <v>766</v>
      </c>
      <c r="E418" s="1" t="s">
        <v>7</v>
      </c>
    </row>
    <row r="419" customFormat="false" ht="16" hidden="false" customHeight="false" outlineLevel="0" collapsed="false">
      <c r="A419" s="1" t="s">
        <v>1278</v>
      </c>
      <c r="B419" s="1" t="s">
        <v>1276</v>
      </c>
      <c r="C419" s="1" t="s">
        <v>695</v>
      </c>
      <c r="D419" s="1" t="s">
        <v>768</v>
      </c>
      <c r="E419" s="1" t="s">
        <v>7</v>
      </c>
    </row>
    <row r="420" customFormat="false" ht="16" hidden="false" customHeight="false" outlineLevel="0" collapsed="false">
      <c r="A420" s="1" t="s">
        <v>1279</v>
      </c>
      <c r="B420" s="1" t="s">
        <v>1276</v>
      </c>
      <c r="C420" s="1" t="s">
        <v>695</v>
      </c>
      <c r="D420" s="1" t="s">
        <v>770</v>
      </c>
      <c r="E420" s="1" t="s">
        <v>7</v>
      </c>
    </row>
    <row r="421" customFormat="false" ht="16" hidden="false" customHeight="false" outlineLevel="0" collapsed="false">
      <c r="A421" s="1" t="s">
        <v>1280</v>
      </c>
      <c r="B421" s="1" t="s">
        <v>1276</v>
      </c>
      <c r="C421" s="1" t="s">
        <v>695</v>
      </c>
      <c r="D421" s="1" t="s">
        <v>696</v>
      </c>
      <c r="E421" s="1" t="s">
        <v>7</v>
      </c>
    </row>
    <row r="422" customFormat="false" ht="16" hidden="false" customHeight="false" outlineLevel="0" collapsed="false">
      <c r="A422" s="1" t="s">
        <v>1281</v>
      </c>
      <c r="B422" s="1" t="s">
        <v>1282</v>
      </c>
      <c r="C422" s="1" t="s">
        <v>695</v>
      </c>
      <c r="D422" s="1" t="s">
        <v>768</v>
      </c>
      <c r="E422" s="1" t="s">
        <v>7</v>
      </c>
    </row>
    <row r="423" customFormat="false" ht="16" hidden="false" customHeight="false" outlineLevel="0" collapsed="false">
      <c r="A423" s="1" t="s">
        <v>1283</v>
      </c>
      <c r="B423" s="1" t="s">
        <v>43</v>
      </c>
      <c r="C423" s="1" t="s">
        <v>695</v>
      </c>
      <c r="D423" s="1" t="s">
        <v>764</v>
      </c>
      <c r="E423" s="1" t="s">
        <v>7</v>
      </c>
    </row>
    <row r="424" customFormat="false" ht="16" hidden="false" customHeight="false" outlineLevel="0" collapsed="false">
      <c r="A424" s="1" t="s">
        <v>1284</v>
      </c>
      <c r="B424" s="1" t="s">
        <v>43</v>
      </c>
      <c r="C424" s="1" t="s">
        <v>695</v>
      </c>
      <c r="D424" s="1" t="s">
        <v>766</v>
      </c>
      <c r="E424" s="1" t="s">
        <v>7</v>
      </c>
    </row>
    <row r="425" customFormat="false" ht="16" hidden="false" customHeight="false" outlineLevel="0" collapsed="false">
      <c r="A425" s="1" t="s">
        <v>1285</v>
      </c>
      <c r="B425" s="1" t="s">
        <v>43</v>
      </c>
      <c r="C425" s="1" t="s">
        <v>695</v>
      </c>
      <c r="D425" s="1" t="s">
        <v>768</v>
      </c>
      <c r="E425" s="1" t="s">
        <v>7</v>
      </c>
    </row>
    <row r="426" customFormat="false" ht="16" hidden="false" customHeight="false" outlineLevel="0" collapsed="false">
      <c r="A426" s="1" t="s">
        <v>1286</v>
      </c>
      <c r="B426" s="1" t="s">
        <v>43</v>
      </c>
      <c r="C426" s="1" t="s">
        <v>695</v>
      </c>
      <c r="D426" s="1" t="s">
        <v>770</v>
      </c>
      <c r="E426" s="1" t="s">
        <v>7</v>
      </c>
    </row>
    <row r="427" customFormat="false" ht="16" hidden="false" customHeight="false" outlineLevel="0" collapsed="false">
      <c r="A427" s="1" t="s">
        <v>1287</v>
      </c>
      <c r="B427" s="1" t="s">
        <v>43</v>
      </c>
      <c r="C427" s="1" t="s">
        <v>695</v>
      </c>
      <c r="D427" s="1" t="s">
        <v>696</v>
      </c>
      <c r="E427" s="1" t="s">
        <v>7</v>
      </c>
    </row>
    <row r="428" customFormat="false" ht="16" hidden="false" customHeight="false" outlineLevel="0" collapsed="false">
      <c r="A428" s="1" t="s">
        <v>1288</v>
      </c>
      <c r="B428" s="1" t="s">
        <v>1289</v>
      </c>
      <c r="C428" s="1" t="s">
        <v>695</v>
      </c>
      <c r="D428" s="1" t="s">
        <v>696</v>
      </c>
      <c r="E428" s="1" t="s">
        <v>7</v>
      </c>
    </row>
    <row r="429" customFormat="false" ht="16" hidden="false" customHeight="false" outlineLevel="0" collapsed="false">
      <c r="A429" s="1" t="s">
        <v>1290</v>
      </c>
      <c r="B429" s="1" t="s">
        <v>1291</v>
      </c>
      <c r="C429" s="1" t="s">
        <v>695</v>
      </c>
      <c r="D429" s="1" t="s">
        <v>764</v>
      </c>
      <c r="E429" s="1" t="s">
        <v>7</v>
      </c>
    </row>
    <row r="430" customFormat="false" ht="16" hidden="false" customHeight="false" outlineLevel="0" collapsed="false">
      <c r="A430" s="1" t="s">
        <v>1292</v>
      </c>
      <c r="B430" s="1" t="s">
        <v>1291</v>
      </c>
      <c r="C430" s="1" t="s">
        <v>695</v>
      </c>
      <c r="D430" s="1" t="s">
        <v>766</v>
      </c>
      <c r="E430" s="1" t="s">
        <v>7</v>
      </c>
    </row>
    <row r="431" customFormat="false" ht="16" hidden="false" customHeight="false" outlineLevel="0" collapsed="false">
      <c r="A431" s="1" t="s">
        <v>1293</v>
      </c>
      <c r="B431" s="1" t="s">
        <v>1291</v>
      </c>
      <c r="C431" s="1" t="s">
        <v>695</v>
      </c>
      <c r="D431" s="1" t="s">
        <v>768</v>
      </c>
      <c r="E431" s="1" t="s">
        <v>7</v>
      </c>
    </row>
    <row r="432" customFormat="false" ht="16" hidden="false" customHeight="false" outlineLevel="0" collapsed="false">
      <c r="A432" s="1" t="s">
        <v>1294</v>
      </c>
      <c r="B432" s="1" t="s">
        <v>1291</v>
      </c>
      <c r="C432" s="1" t="s">
        <v>695</v>
      </c>
      <c r="D432" s="1" t="s">
        <v>770</v>
      </c>
      <c r="E432" s="1" t="s">
        <v>7</v>
      </c>
    </row>
    <row r="433" customFormat="false" ht="16" hidden="false" customHeight="false" outlineLevel="0" collapsed="false">
      <c r="A433" s="1" t="s">
        <v>1295</v>
      </c>
      <c r="B433" s="1" t="s">
        <v>1291</v>
      </c>
      <c r="C433" s="1" t="s">
        <v>695</v>
      </c>
      <c r="D433" s="1" t="s">
        <v>696</v>
      </c>
      <c r="E433" s="1" t="s">
        <v>7</v>
      </c>
    </row>
    <row r="434" customFormat="false" ht="16" hidden="false" customHeight="false" outlineLevel="0" collapsed="false">
      <c r="A434" s="1" t="s">
        <v>1296</v>
      </c>
      <c r="B434" s="1" t="s">
        <v>1297</v>
      </c>
      <c r="C434" s="1" t="s">
        <v>695</v>
      </c>
      <c r="D434" s="1" t="s">
        <v>764</v>
      </c>
      <c r="E434" s="1" t="s">
        <v>906</v>
      </c>
    </row>
    <row r="435" customFormat="false" ht="16" hidden="false" customHeight="false" outlineLevel="0" collapsed="false">
      <c r="A435" s="1" t="s">
        <v>1298</v>
      </c>
      <c r="B435" s="1" t="s">
        <v>1297</v>
      </c>
      <c r="C435" s="1" t="s">
        <v>695</v>
      </c>
      <c r="D435" s="1" t="s">
        <v>766</v>
      </c>
      <c r="E435" s="1" t="s">
        <v>906</v>
      </c>
    </row>
    <row r="436" customFormat="false" ht="16" hidden="false" customHeight="false" outlineLevel="0" collapsed="false">
      <c r="A436" s="1" t="s">
        <v>1299</v>
      </c>
      <c r="B436" s="1" t="s">
        <v>1297</v>
      </c>
      <c r="C436" s="1" t="s">
        <v>695</v>
      </c>
      <c r="D436" s="1" t="s">
        <v>768</v>
      </c>
      <c r="E436" s="1" t="s">
        <v>906</v>
      </c>
    </row>
    <row r="437" customFormat="false" ht="16" hidden="false" customHeight="false" outlineLevel="0" collapsed="false">
      <c r="A437" s="1" t="s">
        <v>1300</v>
      </c>
      <c r="B437" s="1" t="s">
        <v>1297</v>
      </c>
      <c r="C437" s="1" t="s">
        <v>695</v>
      </c>
      <c r="D437" s="1" t="s">
        <v>770</v>
      </c>
      <c r="E437" s="1" t="s">
        <v>906</v>
      </c>
    </row>
    <row r="438" customFormat="false" ht="16" hidden="false" customHeight="false" outlineLevel="0" collapsed="false">
      <c r="A438" s="1" t="s">
        <v>1301</v>
      </c>
      <c r="B438" s="1" t="s">
        <v>1297</v>
      </c>
      <c r="C438" s="1" t="s">
        <v>695</v>
      </c>
      <c r="D438" s="1" t="s">
        <v>696</v>
      </c>
      <c r="E438" s="1" t="s">
        <v>906</v>
      </c>
    </row>
    <row r="439" customFormat="false" ht="16" hidden="false" customHeight="false" outlineLevel="0" collapsed="false">
      <c r="A439" s="1" t="s">
        <v>1302</v>
      </c>
      <c r="B439" s="1" t="s">
        <v>1303</v>
      </c>
      <c r="C439" s="1" t="s">
        <v>695</v>
      </c>
      <c r="D439" s="1" t="s">
        <v>770</v>
      </c>
      <c r="E439" s="1" t="s">
        <v>7</v>
      </c>
    </row>
    <row r="440" customFormat="false" ht="16" hidden="false" customHeight="false" outlineLevel="0" collapsed="false">
      <c r="A440" s="1" t="s">
        <v>1304</v>
      </c>
      <c r="B440" s="1" t="s">
        <v>1305</v>
      </c>
      <c r="C440" s="1" t="s">
        <v>695</v>
      </c>
      <c r="D440" s="1" t="s">
        <v>768</v>
      </c>
      <c r="E440" s="1" t="s">
        <v>7</v>
      </c>
    </row>
    <row r="441" customFormat="false" ht="16" hidden="false" customHeight="false" outlineLevel="0" collapsed="false">
      <c r="A441" s="1" t="s">
        <v>1306</v>
      </c>
      <c r="B441" s="1" t="s">
        <v>1307</v>
      </c>
      <c r="C441" s="1" t="s">
        <v>695</v>
      </c>
      <c r="D441" s="1" t="s">
        <v>768</v>
      </c>
      <c r="E441" s="1" t="s">
        <v>7</v>
      </c>
    </row>
    <row r="442" customFormat="false" ht="16" hidden="false" customHeight="false" outlineLevel="0" collapsed="false">
      <c r="A442" s="1" t="s">
        <v>1308</v>
      </c>
      <c r="B442" s="1" t="s">
        <v>41</v>
      </c>
      <c r="C442" s="1" t="s">
        <v>695</v>
      </c>
      <c r="D442" s="1" t="s">
        <v>764</v>
      </c>
      <c r="E442" s="1" t="s">
        <v>7</v>
      </c>
    </row>
    <row r="443" customFormat="false" ht="16" hidden="false" customHeight="false" outlineLevel="0" collapsed="false">
      <c r="A443" s="1" t="s">
        <v>1309</v>
      </c>
      <c r="B443" s="1" t="s">
        <v>41</v>
      </c>
      <c r="C443" s="1" t="s">
        <v>695</v>
      </c>
      <c r="D443" s="1" t="s">
        <v>766</v>
      </c>
      <c r="E443" s="1" t="s">
        <v>7</v>
      </c>
    </row>
    <row r="444" customFormat="false" ht="16" hidden="false" customHeight="false" outlineLevel="0" collapsed="false">
      <c r="A444" s="1" t="s">
        <v>1310</v>
      </c>
      <c r="B444" s="1" t="s">
        <v>41</v>
      </c>
      <c r="C444" s="1" t="s">
        <v>695</v>
      </c>
      <c r="D444" s="1" t="s">
        <v>768</v>
      </c>
      <c r="E444" s="1" t="s">
        <v>7</v>
      </c>
    </row>
    <row r="445" customFormat="false" ht="16" hidden="false" customHeight="false" outlineLevel="0" collapsed="false">
      <c r="A445" s="1" t="s">
        <v>1311</v>
      </c>
      <c r="B445" s="1" t="s">
        <v>41</v>
      </c>
      <c r="C445" s="1" t="s">
        <v>695</v>
      </c>
      <c r="D445" s="1" t="s">
        <v>770</v>
      </c>
      <c r="E445" s="1" t="s">
        <v>7</v>
      </c>
    </row>
    <row r="446" customFormat="false" ht="16" hidden="false" customHeight="false" outlineLevel="0" collapsed="false">
      <c r="A446" s="1" t="s">
        <v>1312</v>
      </c>
      <c r="B446" s="1" t="s">
        <v>41</v>
      </c>
      <c r="C446" s="1" t="s">
        <v>695</v>
      </c>
      <c r="D446" s="1" t="s">
        <v>696</v>
      </c>
      <c r="E446" s="1" t="s">
        <v>7</v>
      </c>
    </row>
    <row r="447" customFormat="false" ht="16" hidden="false" customHeight="false" outlineLevel="0" collapsed="false">
      <c r="A447" s="1" t="s">
        <v>1313</v>
      </c>
      <c r="B447" s="1" t="s">
        <v>1314</v>
      </c>
      <c r="C447" s="1" t="s">
        <v>695</v>
      </c>
      <c r="D447" s="1" t="s">
        <v>764</v>
      </c>
      <c r="E447" s="1" t="s">
        <v>906</v>
      </c>
    </row>
    <row r="448" customFormat="false" ht="16" hidden="false" customHeight="false" outlineLevel="0" collapsed="false">
      <c r="A448" s="1" t="s">
        <v>1315</v>
      </c>
      <c r="B448" s="1" t="s">
        <v>1314</v>
      </c>
      <c r="C448" s="1" t="s">
        <v>695</v>
      </c>
      <c r="D448" s="1" t="s">
        <v>766</v>
      </c>
      <c r="E448" s="1" t="s">
        <v>906</v>
      </c>
    </row>
    <row r="449" customFormat="false" ht="16" hidden="false" customHeight="false" outlineLevel="0" collapsed="false">
      <c r="A449" s="1" t="s">
        <v>1316</v>
      </c>
      <c r="B449" s="1" t="s">
        <v>1314</v>
      </c>
      <c r="C449" s="1" t="s">
        <v>695</v>
      </c>
      <c r="D449" s="1" t="s">
        <v>768</v>
      </c>
      <c r="E449" s="1" t="s">
        <v>906</v>
      </c>
    </row>
    <row r="450" customFormat="false" ht="16" hidden="false" customHeight="false" outlineLevel="0" collapsed="false">
      <c r="A450" s="1" t="s">
        <v>1317</v>
      </c>
      <c r="B450" s="1" t="s">
        <v>1314</v>
      </c>
      <c r="C450" s="1" t="s">
        <v>695</v>
      </c>
      <c r="D450" s="1" t="s">
        <v>770</v>
      </c>
      <c r="E450" s="1" t="s">
        <v>906</v>
      </c>
    </row>
    <row r="451" customFormat="false" ht="16" hidden="false" customHeight="false" outlineLevel="0" collapsed="false">
      <c r="A451" s="1" t="s">
        <v>1318</v>
      </c>
      <c r="B451" s="1" t="s">
        <v>1314</v>
      </c>
      <c r="C451" s="1" t="s">
        <v>695</v>
      </c>
      <c r="D451" s="1" t="s">
        <v>696</v>
      </c>
      <c r="E451" s="1" t="s">
        <v>906</v>
      </c>
    </row>
    <row r="452" customFormat="false" ht="16" hidden="false" customHeight="false" outlineLevel="0" collapsed="false">
      <c r="A452" s="1" t="s">
        <v>1319</v>
      </c>
      <c r="B452" s="1" t="s">
        <v>1320</v>
      </c>
      <c r="C452" s="1" t="s">
        <v>695</v>
      </c>
      <c r="D452" s="1" t="s">
        <v>764</v>
      </c>
      <c r="E452" s="1" t="s">
        <v>906</v>
      </c>
    </row>
    <row r="453" customFormat="false" ht="16" hidden="false" customHeight="false" outlineLevel="0" collapsed="false">
      <c r="A453" s="1" t="s">
        <v>1321</v>
      </c>
      <c r="B453" s="1" t="s">
        <v>1320</v>
      </c>
      <c r="C453" s="1" t="s">
        <v>695</v>
      </c>
      <c r="D453" s="1" t="s">
        <v>766</v>
      </c>
      <c r="E453" s="1" t="s">
        <v>906</v>
      </c>
    </row>
    <row r="454" customFormat="false" ht="16" hidden="false" customHeight="false" outlineLevel="0" collapsed="false">
      <c r="A454" s="1" t="s">
        <v>1322</v>
      </c>
      <c r="B454" s="1" t="s">
        <v>1320</v>
      </c>
      <c r="C454" s="1" t="s">
        <v>695</v>
      </c>
      <c r="D454" s="1" t="s">
        <v>768</v>
      </c>
      <c r="E454" s="1" t="s">
        <v>906</v>
      </c>
    </row>
    <row r="455" customFormat="false" ht="16" hidden="false" customHeight="false" outlineLevel="0" collapsed="false">
      <c r="A455" s="1" t="s">
        <v>1323</v>
      </c>
      <c r="B455" s="1" t="s">
        <v>1320</v>
      </c>
      <c r="C455" s="1" t="s">
        <v>695</v>
      </c>
      <c r="D455" s="1" t="s">
        <v>770</v>
      </c>
      <c r="E455" s="1" t="s">
        <v>906</v>
      </c>
    </row>
    <row r="456" customFormat="false" ht="16" hidden="false" customHeight="false" outlineLevel="0" collapsed="false">
      <c r="A456" s="1" t="s">
        <v>1324</v>
      </c>
      <c r="B456" s="1" t="s">
        <v>1320</v>
      </c>
      <c r="C456" s="1" t="s">
        <v>695</v>
      </c>
      <c r="D456" s="1" t="s">
        <v>696</v>
      </c>
      <c r="E456" s="1" t="s">
        <v>906</v>
      </c>
    </row>
    <row r="457" customFormat="false" ht="16" hidden="false" customHeight="false" outlineLevel="0" collapsed="false">
      <c r="A457" s="1" t="s">
        <v>1325</v>
      </c>
      <c r="B457" s="1" t="s">
        <v>1326</v>
      </c>
      <c r="C457" s="1" t="s">
        <v>695</v>
      </c>
      <c r="D457" s="1" t="s">
        <v>764</v>
      </c>
      <c r="E457" s="1" t="s">
        <v>906</v>
      </c>
    </row>
    <row r="458" customFormat="false" ht="16" hidden="false" customHeight="false" outlineLevel="0" collapsed="false">
      <c r="A458" s="1" t="s">
        <v>1327</v>
      </c>
      <c r="B458" s="1" t="s">
        <v>1326</v>
      </c>
      <c r="C458" s="1" t="s">
        <v>695</v>
      </c>
      <c r="D458" s="1" t="s">
        <v>766</v>
      </c>
      <c r="E458" s="1" t="s">
        <v>906</v>
      </c>
    </row>
    <row r="459" customFormat="false" ht="16" hidden="false" customHeight="false" outlineLevel="0" collapsed="false">
      <c r="A459" s="1" t="s">
        <v>1328</v>
      </c>
      <c r="B459" s="1" t="s">
        <v>1326</v>
      </c>
      <c r="C459" s="1" t="s">
        <v>695</v>
      </c>
      <c r="D459" s="1" t="s">
        <v>768</v>
      </c>
      <c r="E459" s="1" t="s">
        <v>906</v>
      </c>
    </row>
    <row r="460" customFormat="false" ht="16" hidden="false" customHeight="false" outlineLevel="0" collapsed="false">
      <c r="A460" s="1" t="s">
        <v>1329</v>
      </c>
      <c r="B460" s="1" t="s">
        <v>1326</v>
      </c>
      <c r="C460" s="1" t="s">
        <v>695</v>
      </c>
      <c r="D460" s="1" t="s">
        <v>770</v>
      </c>
      <c r="E460" s="1" t="s">
        <v>906</v>
      </c>
    </row>
    <row r="461" customFormat="false" ht="16" hidden="false" customHeight="false" outlineLevel="0" collapsed="false">
      <c r="A461" s="1" t="s">
        <v>1330</v>
      </c>
      <c r="B461" s="1" t="s">
        <v>1326</v>
      </c>
      <c r="C461" s="1" t="s">
        <v>695</v>
      </c>
      <c r="D461" s="1" t="s">
        <v>696</v>
      </c>
      <c r="E461" s="1" t="s">
        <v>906</v>
      </c>
    </row>
    <row r="462" customFormat="false" ht="16" hidden="false" customHeight="false" outlineLevel="0" collapsed="false">
      <c r="A462" s="1" t="s">
        <v>1331</v>
      </c>
      <c r="B462" s="1" t="s">
        <v>45</v>
      </c>
      <c r="C462" s="1" t="s">
        <v>695</v>
      </c>
      <c r="D462" s="1" t="s">
        <v>764</v>
      </c>
      <c r="E462" s="1" t="s">
        <v>7</v>
      </c>
    </row>
    <row r="463" customFormat="false" ht="16" hidden="false" customHeight="false" outlineLevel="0" collapsed="false">
      <c r="A463" s="1" t="s">
        <v>1332</v>
      </c>
      <c r="B463" s="1" t="s">
        <v>45</v>
      </c>
      <c r="C463" s="1" t="s">
        <v>695</v>
      </c>
      <c r="D463" s="1" t="s">
        <v>766</v>
      </c>
      <c r="E463" s="1" t="s">
        <v>7</v>
      </c>
    </row>
    <row r="464" customFormat="false" ht="16" hidden="false" customHeight="false" outlineLevel="0" collapsed="false">
      <c r="A464" s="1" t="s">
        <v>1333</v>
      </c>
      <c r="B464" s="1" t="s">
        <v>45</v>
      </c>
      <c r="C464" s="1" t="s">
        <v>695</v>
      </c>
      <c r="D464" s="1" t="s">
        <v>768</v>
      </c>
      <c r="E464" s="1" t="s">
        <v>7</v>
      </c>
    </row>
    <row r="465" customFormat="false" ht="16" hidden="false" customHeight="false" outlineLevel="0" collapsed="false">
      <c r="A465" s="1" t="s">
        <v>1334</v>
      </c>
      <c r="B465" s="1" t="s">
        <v>45</v>
      </c>
      <c r="C465" s="1" t="s">
        <v>695</v>
      </c>
      <c r="D465" s="1" t="s">
        <v>770</v>
      </c>
      <c r="E465" s="1" t="s">
        <v>7</v>
      </c>
    </row>
    <row r="466" customFormat="false" ht="16" hidden="false" customHeight="false" outlineLevel="0" collapsed="false">
      <c r="A466" s="1" t="s">
        <v>1335</v>
      </c>
      <c r="B466" s="1" t="s">
        <v>45</v>
      </c>
      <c r="C466" s="1" t="s">
        <v>695</v>
      </c>
      <c r="D466" s="1" t="s">
        <v>696</v>
      </c>
      <c r="E466" s="1" t="s">
        <v>7</v>
      </c>
    </row>
    <row r="467" customFormat="false" ht="16" hidden="false" customHeight="false" outlineLevel="0" collapsed="false">
      <c r="A467" s="1" t="s">
        <v>1336</v>
      </c>
      <c r="B467" s="1" t="s">
        <v>1337</v>
      </c>
      <c r="C467" s="1" t="s">
        <v>695</v>
      </c>
      <c r="D467" s="1" t="s">
        <v>764</v>
      </c>
      <c r="E467" s="1" t="s">
        <v>7</v>
      </c>
    </row>
    <row r="468" customFormat="false" ht="16" hidden="false" customHeight="false" outlineLevel="0" collapsed="false">
      <c r="A468" s="1" t="s">
        <v>1338</v>
      </c>
      <c r="B468" s="1" t="s">
        <v>1337</v>
      </c>
      <c r="C468" s="1" t="s">
        <v>695</v>
      </c>
      <c r="D468" s="1" t="s">
        <v>766</v>
      </c>
      <c r="E468" s="1" t="s">
        <v>7</v>
      </c>
    </row>
    <row r="469" customFormat="false" ht="16" hidden="false" customHeight="false" outlineLevel="0" collapsed="false">
      <c r="A469" s="1" t="s">
        <v>1339</v>
      </c>
      <c r="B469" s="1" t="s">
        <v>1337</v>
      </c>
      <c r="C469" s="1" t="s">
        <v>695</v>
      </c>
      <c r="D469" s="1" t="s">
        <v>768</v>
      </c>
      <c r="E469" s="1" t="s">
        <v>7</v>
      </c>
    </row>
    <row r="470" customFormat="false" ht="16" hidden="false" customHeight="false" outlineLevel="0" collapsed="false">
      <c r="A470" s="1" t="s">
        <v>1340</v>
      </c>
      <c r="B470" s="1" t="s">
        <v>1337</v>
      </c>
      <c r="C470" s="1" t="s">
        <v>695</v>
      </c>
      <c r="D470" s="1" t="s">
        <v>770</v>
      </c>
      <c r="E470" s="1" t="s">
        <v>7</v>
      </c>
    </row>
    <row r="471" customFormat="false" ht="16" hidden="false" customHeight="false" outlineLevel="0" collapsed="false">
      <c r="A471" s="1" t="s">
        <v>1341</v>
      </c>
      <c r="B471" s="1" t="s">
        <v>1337</v>
      </c>
      <c r="C471" s="1" t="s">
        <v>695</v>
      </c>
      <c r="D471" s="1" t="s">
        <v>696</v>
      </c>
      <c r="E471" s="1" t="s">
        <v>7</v>
      </c>
    </row>
    <row r="472" customFormat="false" ht="16" hidden="false" customHeight="false" outlineLevel="0" collapsed="false">
      <c r="A472" s="1" t="s">
        <v>1342</v>
      </c>
      <c r="B472" s="1" t="s">
        <v>1343</v>
      </c>
      <c r="C472" s="1" t="s">
        <v>695</v>
      </c>
      <c r="D472" s="1" t="s">
        <v>764</v>
      </c>
      <c r="E472" s="1" t="s">
        <v>906</v>
      </c>
    </row>
    <row r="473" customFormat="false" ht="16" hidden="false" customHeight="false" outlineLevel="0" collapsed="false">
      <c r="A473" s="1" t="s">
        <v>1344</v>
      </c>
      <c r="B473" s="1" t="s">
        <v>1343</v>
      </c>
      <c r="C473" s="1" t="s">
        <v>695</v>
      </c>
      <c r="D473" s="1" t="s">
        <v>766</v>
      </c>
      <c r="E473" s="1" t="s">
        <v>906</v>
      </c>
    </row>
    <row r="474" customFormat="false" ht="16" hidden="false" customHeight="false" outlineLevel="0" collapsed="false">
      <c r="A474" s="1" t="s">
        <v>1345</v>
      </c>
      <c r="B474" s="1" t="s">
        <v>1343</v>
      </c>
      <c r="C474" s="1" t="s">
        <v>695</v>
      </c>
      <c r="D474" s="1" t="s">
        <v>768</v>
      </c>
      <c r="E474" s="1" t="s">
        <v>906</v>
      </c>
    </row>
    <row r="475" customFormat="false" ht="16" hidden="false" customHeight="false" outlineLevel="0" collapsed="false">
      <c r="A475" s="1" t="s">
        <v>1346</v>
      </c>
      <c r="B475" s="1" t="s">
        <v>1343</v>
      </c>
      <c r="C475" s="1" t="s">
        <v>695</v>
      </c>
      <c r="D475" s="1" t="s">
        <v>770</v>
      </c>
      <c r="E475" s="1" t="s">
        <v>906</v>
      </c>
    </row>
    <row r="476" customFormat="false" ht="16" hidden="false" customHeight="false" outlineLevel="0" collapsed="false">
      <c r="A476" s="1" t="s">
        <v>1347</v>
      </c>
      <c r="B476" s="1" t="s">
        <v>1343</v>
      </c>
      <c r="C476" s="1" t="s">
        <v>695</v>
      </c>
      <c r="D476" s="1" t="s">
        <v>696</v>
      </c>
      <c r="E476" s="1" t="s">
        <v>906</v>
      </c>
    </row>
    <row r="477" customFormat="false" ht="16" hidden="false" customHeight="false" outlineLevel="0" collapsed="false">
      <c r="A477" s="1" t="s">
        <v>1348</v>
      </c>
      <c r="B477" s="1" t="s">
        <v>1349</v>
      </c>
      <c r="C477" s="1" t="s">
        <v>695</v>
      </c>
      <c r="D477" s="1" t="s">
        <v>764</v>
      </c>
      <c r="E477" s="1" t="s">
        <v>906</v>
      </c>
    </row>
    <row r="478" customFormat="false" ht="16" hidden="false" customHeight="false" outlineLevel="0" collapsed="false">
      <c r="A478" s="1" t="s">
        <v>1350</v>
      </c>
      <c r="B478" s="1" t="s">
        <v>1349</v>
      </c>
      <c r="C478" s="1" t="s">
        <v>695</v>
      </c>
      <c r="D478" s="1" t="s">
        <v>766</v>
      </c>
      <c r="E478" s="1" t="s">
        <v>906</v>
      </c>
    </row>
    <row r="479" customFormat="false" ht="16" hidden="false" customHeight="false" outlineLevel="0" collapsed="false">
      <c r="A479" s="1" t="s">
        <v>1351</v>
      </c>
      <c r="B479" s="1" t="s">
        <v>1349</v>
      </c>
      <c r="C479" s="1" t="s">
        <v>695</v>
      </c>
      <c r="D479" s="1" t="s">
        <v>768</v>
      </c>
      <c r="E479" s="1" t="s">
        <v>906</v>
      </c>
    </row>
    <row r="480" customFormat="false" ht="16" hidden="false" customHeight="false" outlineLevel="0" collapsed="false">
      <c r="A480" s="1" t="s">
        <v>1352</v>
      </c>
      <c r="B480" s="1" t="s">
        <v>1349</v>
      </c>
      <c r="C480" s="1" t="s">
        <v>695</v>
      </c>
      <c r="D480" s="1" t="s">
        <v>770</v>
      </c>
      <c r="E480" s="1" t="s">
        <v>906</v>
      </c>
    </row>
    <row r="481" customFormat="false" ht="16" hidden="false" customHeight="false" outlineLevel="0" collapsed="false">
      <c r="A481" s="1" t="s">
        <v>1353</v>
      </c>
      <c r="B481" s="1" t="s">
        <v>1349</v>
      </c>
      <c r="C481" s="1" t="s">
        <v>695</v>
      </c>
      <c r="D481" s="1" t="s">
        <v>696</v>
      </c>
      <c r="E481" s="1" t="s">
        <v>906</v>
      </c>
    </row>
    <row r="482" customFormat="false" ht="16" hidden="false" customHeight="false" outlineLevel="0" collapsed="false">
      <c r="A482" s="1" t="s">
        <v>1354</v>
      </c>
      <c r="B482" s="1" t="s">
        <v>1355</v>
      </c>
      <c r="C482" s="1" t="s">
        <v>695</v>
      </c>
      <c r="D482" s="1" t="s">
        <v>764</v>
      </c>
      <c r="E482" s="1" t="s">
        <v>906</v>
      </c>
    </row>
    <row r="483" customFormat="false" ht="16" hidden="false" customHeight="false" outlineLevel="0" collapsed="false">
      <c r="A483" s="1" t="s">
        <v>1356</v>
      </c>
      <c r="B483" s="1" t="s">
        <v>1355</v>
      </c>
      <c r="C483" s="1" t="s">
        <v>695</v>
      </c>
      <c r="D483" s="1" t="s">
        <v>766</v>
      </c>
      <c r="E483" s="1" t="s">
        <v>906</v>
      </c>
    </row>
    <row r="484" customFormat="false" ht="16" hidden="false" customHeight="false" outlineLevel="0" collapsed="false">
      <c r="A484" s="1" t="s">
        <v>1357</v>
      </c>
      <c r="B484" s="1" t="s">
        <v>1355</v>
      </c>
      <c r="C484" s="1" t="s">
        <v>695</v>
      </c>
      <c r="D484" s="1" t="s">
        <v>768</v>
      </c>
      <c r="E484" s="1" t="s">
        <v>906</v>
      </c>
    </row>
    <row r="485" customFormat="false" ht="16" hidden="false" customHeight="false" outlineLevel="0" collapsed="false">
      <c r="A485" s="1" t="s">
        <v>1358</v>
      </c>
      <c r="B485" s="1" t="s">
        <v>1355</v>
      </c>
      <c r="C485" s="1" t="s">
        <v>695</v>
      </c>
      <c r="D485" s="1" t="s">
        <v>770</v>
      </c>
      <c r="E485" s="1" t="s">
        <v>906</v>
      </c>
    </row>
    <row r="486" customFormat="false" ht="16" hidden="false" customHeight="false" outlineLevel="0" collapsed="false">
      <c r="A486" s="1" t="s">
        <v>1359</v>
      </c>
      <c r="B486" s="1" t="s">
        <v>1355</v>
      </c>
      <c r="C486" s="1" t="s">
        <v>695</v>
      </c>
      <c r="D486" s="1" t="s">
        <v>696</v>
      </c>
      <c r="E486" s="1" t="s">
        <v>906</v>
      </c>
    </row>
    <row r="487" customFormat="false" ht="16" hidden="false" customHeight="false" outlineLevel="0" collapsed="false">
      <c r="A487" s="1" t="s">
        <v>1360</v>
      </c>
      <c r="B487" s="1" t="s">
        <v>1361</v>
      </c>
      <c r="C487" s="1" t="s">
        <v>695</v>
      </c>
      <c r="D487" s="1" t="s">
        <v>764</v>
      </c>
      <c r="E487" s="1" t="s">
        <v>7</v>
      </c>
    </row>
    <row r="488" customFormat="false" ht="16" hidden="false" customHeight="false" outlineLevel="0" collapsed="false">
      <c r="A488" s="1" t="s">
        <v>1362</v>
      </c>
      <c r="B488" s="1" t="s">
        <v>1361</v>
      </c>
      <c r="C488" s="1" t="s">
        <v>695</v>
      </c>
      <c r="D488" s="1" t="s">
        <v>766</v>
      </c>
      <c r="E488" s="1" t="s">
        <v>7</v>
      </c>
    </row>
    <row r="489" customFormat="false" ht="16" hidden="false" customHeight="false" outlineLevel="0" collapsed="false">
      <c r="A489" s="1" t="s">
        <v>1363</v>
      </c>
      <c r="B489" s="1" t="s">
        <v>1361</v>
      </c>
      <c r="C489" s="1" t="s">
        <v>695</v>
      </c>
      <c r="D489" s="1" t="s">
        <v>768</v>
      </c>
      <c r="E489" s="1" t="s">
        <v>7</v>
      </c>
    </row>
    <row r="490" customFormat="false" ht="16" hidden="false" customHeight="false" outlineLevel="0" collapsed="false">
      <c r="A490" s="1" t="s">
        <v>1364</v>
      </c>
      <c r="B490" s="1" t="s">
        <v>1361</v>
      </c>
      <c r="C490" s="1" t="s">
        <v>695</v>
      </c>
      <c r="D490" s="1" t="s">
        <v>770</v>
      </c>
      <c r="E490" s="1" t="s">
        <v>7</v>
      </c>
    </row>
    <row r="491" customFormat="false" ht="16" hidden="false" customHeight="false" outlineLevel="0" collapsed="false">
      <c r="A491" s="1" t="s">
        <v>1365</v>
      </c>
      <c r="B491" s="1" t="s">
        <v>1361</v>
      </c>
      <c r="C491" s="1" t="s">
        <v>695</v>
      </c>
      <c r="D491" s="1" t="s">
        <v>696</v>
      </c>
      <c r="E491" s="1" t="s">
        <v>7</v>
      </c>
    </row>
    <row r="492" customFormat="false" ht="16" hidden="false" customHeight="false" outlineLevel="0" collapsed="false">
      <c r="A492" s="1" t="s">
        <v>1366</v>
      </c>
      <c r="B492" s="1" t="s">
        <v>1367</v>
      </c>
      <c r="C492" s="1" t="s">
        <v>695</v>
      </c>
      <c r="D492" s="1" t="s">
        <v>764</v>
      </c>
      <c r="E492" s="1" t="s">
        <v>7</v>
      </c>
    </row>
    <row r="493" customFormat="false" ht="16" hidden="false" customHeight="false" outlineLevel="0" collapsed="false">
      <c r="A493" s="1" t="s">
        <v>1368</v>
      </c>
      <c r="B493" s="1" t="s">
        <v>1367</v>
      </c>
      <c r="C493" s="1" t="s">
        <v>695</v>
      </c>
      <c r="D493" s="1" t="s">
        <v>766</v>
      </c>
      <c r="E493" s="1" t="s">
        <v>7</v>
      </c>
    </row>
    <row r="494" customFormat="false" ht="16" hidden="false" customHeight="false" outlineLevel="0" collapsed="false">
      <c r="A494" s="1" t="s">
        <v>1369</v>
      </c>
      <c r="B494" s="1" t="s">
        <v>1367</v>
      </c>
      <c r="C494" s="1" t="s">
        <v>695</v>
      </c>
      <c r="D494" s="1" t="s">
        <v>768</v>
      </c>
      <c r="E494" s="1" t="s">
        <v>7</v>
      </c>
    </row>
    <row r="495" customFormat="false" ht="16" hidden="false" customHeight="false" outlineLevel="0" collapsed="false">
      <c r="A495" s="1" t="s">
        <v>1370</v>
      </c>
      <c r="B495" s="1" t="s">
        <v>1367</v>
      </c>
      <c r="C495" s="1" t="s">
        <v>695</v>
      </c>
      <c r="D495" s="1" t="s">
        <v>770</v>
      </c>
      <c r="E495" s="1" t="s">
        <v>7</v>
      </c>
    </row>
    <row r="496" customFormat="false" ht="16" hidden="false" customHeight="false" outlineLevel="0" collapsed="false">
      <c r="A496" s="1" t="s">
        <v>1371</v>
      </c>
      <c r="B496" s="1" t="s">
        <v>1367</v>
      </c>
      <c r="C496" s="1" t="s">
        <v>695</v>
      </c>
      <c r="D496" s="1" t="s">
        <v>696</v>
      </c>
      <c r="E496" s="1" t="s">
        <v>7</v>
      </c>
    </row>
    <row r="497" customFormat="false" ht="16" hidden="false" customHeight="false" outlineLevel="0" collapsed="false">
      <c r="A497" s="1" t="s">
        <v>1372</v>
      </c>
      <c r="B497" s="1" t="s">
        <v>1373</v>
      </c>
      <c r="C497" s="1" t="s">
        <v>695</v>
      </c>
      <c r="D497" s="1" t="s">
        <v>764</v>
      </c>
      <c r="E497" s="1" t="s">
        <v>7</v>
      </c>
    </row>
    <row r="498" customFormat="false" ht="16" hidden="false" customHeight="false" outlineLevel="0" collapsed="false">
      <c r="A498" s="1" t="s">
        <v>1374</v>
      </c>
      <c r="B498" s="1" t="s">
        <v>1373</v>
      </c>
      <c r="C498" s="1" t="s">
        <v>695</v>
      </c>
      <c r="D498" s="1" t="s">
        <v>766</v>
      </c>
      <c r="E498" s="1" t="s">
        <v>7</v>
      </c>
    </row>
    <row r="499" customFormat="false" ht="16" hidden="false" customHeight="false" outlineLevel="0" collapsed="false">
      <c r="A499" s="1" t="s">
        <v>1375</v>
      </c>
      <c r="B499" s="1" t="s">
        <v>1373</v>
      </c>
      <c r="C499" s="1" t="s">
        <v>695</v>
      </c>
      <c r="D499" s="1" t="s">
        <v>768</v>
      </c>
      <c r="E499" s="1" t="s">
        <v>7</v>
      </c>
    </row>
    <row r="500" customFormat="false" ht="16" hidden="false" customHeight="false" outlineLevel="0" collapsed="false">
      <c r="A500" s="1" t="s">
        <v>1376</v>
      </c>
      <c r="B500" s="1" t="s">
        <v>1373</v>
      </c>
      <c r="C500" s="1" t="s">
        <v>695</v>
      </c>
      <c r="D500" s="1" t="s">
        <v>770</v>
      </c>
      <c r="E500" s="1" t="s">
        <v>7</v>
      </c>
    </row>
    <row r="501" customFormat="false" ht="16" hidden="false" customHeight="false" outlineLevel="0" collapsed="false">
      <c r="A501" s="1" t="s">
        <v>1377</v>
      </c>
      <c r="B501" s="1" t="s">
        <v>1373</v>
      </c>
      <c r="C501" s="1" t="s">
        <v>695</v>
      </c>
      <c r="D501" s="1" t="s">
        <v>696</v>
      </c>
      <c r="E501" s="1" t="s">
        <v>7</v>
      </c>
    </row>
    <row r="502" customFormat="false" ht="16" hidden="false" customHeight="false" outlineLevel="0" collapsed="false">
      <c r="A502" s="1" t="s">
        <v>1378</v>
      </c>
      <c r="B502" s="1" t="s">
        <v>1379</v>
      </c>
      <c r="C502" s="1" t="s">
        <v>695</v>
      </c>
      <c r="D502" s="1" t="s">
        <v>696</v>
      </c>
      <c r="E502" s="1" t="s">
        <v>7</v>
      </c>
    </row>
    <row r="503" customFormat="false" ht="16" hidden="false" customHeight="false" outlineLevel="0" collapsed="false">
      <c r="A503" s="1" t="s">
        <v>1380</v>
      </c>
      <c r="B503" s="1" t="s">
        <v>1381</v>
      </c>
      <c r="C503" s="1" t="s">
        <v>695</v>
      </c>
      <c r="D503" s="1" t="s">
        <v>696</v>
      </c>
      <c r="E503" s="1" t="s">
        <v>7</v>
      </c>
    </row>
    <row r="504" customFormat="false" ht="16" hidden="false" customHeight="false" outlineLevel="0" collapsed="false">
      <c r="A504" s="1" t="s">
        <v>1382</v>
      </c>
      <c r="B504" s="1" t="s">
        <v>1383</v>
      </c>
      <c r="C504" s="1" t="s">
        <v>695</v>
      </c>
      <c r="D504" s="1" t="s">
        <v>768</v>
      </c>
      <c r="E504" s="1" t="s">
        <v>7</v>
      </c>
    </row>
    <row r="505" customFormat="false" ht="16" hidden="false" customHeight="false" outlineLevel="0" collapsed="false">
      <c r="A505" s="1" t="s">
        <v>1384</v>
      </c>
      <c r="B505" s="1" t="s">
        <v>1385</v>
      </c>
      <c r="C505" s="1" t="s">
        <v>695</v>
      </c>
      <c r="D505" s="1" t="s">
        <v>768</v>
      </c>
      <c r="E505" s="1" t="s">
        <v>7</v>
      </c>
    </row>
    <row r="506" customFormat="false" ht="16" hidden="false" customHeight="false" outlineLevel="0" collapsed="false">
      <c r="A506" s="1" t="s">
        <v>1386</v>
      </c>
      <c r="B506" s="1" t="s">
        <v>1387</v>
      </c>
      <c r="C506" s="1" t="s">
        <v>695</v>
      </c>
      <c r="D506" s="1" t="s">
        <v>768</v>
      </c>
      <c r="E506" s="1" t="s">
        <v>7</v>
      </c>
    </row>
    <row r="507" customFormat="false" ht="16" hidden="false" customHeight="false" outlineLevel="0" collapsed="false">
      <c r="A507" s="1" t="s">
        <v>1388</v>
      </c>
      <c r="B507" s="1" t="s">
        <v>1389</v>
      </c>
      <c r="C507" s="1" t="s">
        <v>695</v>
      </c>
      <c r="D507" s="1" t="s">
        <v>770</v>
      </c>
      <c r="E507" s="1" t="s">
        <v>7</v>
      </c>
    </row>
    <row r="508" customFormat="false" ht="16" hidden="false" customHeight="false" outlineLevel="0" collapsed="false">
      <c r="A508" s="1" t="s">
        <v>1390</v>
      </c>
      <c r="B508" s="1" t="s">
        <v>1391</v>
      </c>
      <c r="C508" s="1" t="s">
        <v>695</v>
      </c>
      <c r="D508" s="1" t="s">
        <v>764</v>
      </c>
      <c r="E508" s="1" t="s">
        <v>7</v>
      </c>
    </row>
    <row r="509" customFormat="false" ht="16" hidden="false" customHeight="false" outlineLevel="0" collapsed="false">
      <c r="A509" s="1" t="s">
        <v>1392</v>
      </c>
      <c r="B509" s="1" t="s">
        <v>1391</v>
      </c>
      <c r="C509" s="1" t="s">
        <v>695</v>
      </c>
      <c r="D509" s="1" t="s">
        <v>766</v>
      </c>
      <c r="E509" s="1" t="s">
        <v>7</v>
      </c>
    </row>
    <row r="510" customFormat="false" ht="16" hidden="false" customHeight="false" outlineLevel="0" collapsed="false">
      <c r="A510" s="1" t="s">
        <v>1393</v>
      </c>
      <c r="B510" s="1" t="s">
        <v>1391</v>
      </c>
      <c r="C510" s="1" t="s">
        <v>695</v>
      </c>
      <c r="D510" s="1" t="s">
        <v>768</v>
      </c>
      <c r="E510" s="1" t="s">
        <v>7</v>
      </c>
    </row>
    <row r="511" customFormat="false" ht="16" hidden="false" customHeight="false" outlineLevel="0" collapsed="false">
      <c r="A511" s="1" t="s">
        <v>1394</v>
      </c>
      <c r="B511" s="1" t="s">
        <v>1391</v>
      </c>
      <c r="C511" s="1" t="s">
        <v>695</v>
      </c>
      <c r="D511" s="1" t="s">
        <v>770</v>
      </c>
      <c r="E511" s="1" t="s">
        <v>7</v>
      </c>
    </row>
    <row r="512" customFormat="false" ht="16" hidden="false" customHeight="false" outlineLevel="0" collapsed="false">
      <c r="A512" s="1" t="s">
        <v>1395</v>
      </c>
      <c r="B512" s="1" t="s">
        <v>1391</v>
      </c>
      <c r="C512" s="1" t="s">
        <v>695</v>
      </c>
      <c r="D512" s="1" t="s">
        <v>696</v>
      </c>
      <c r="E512" s="1" t="s">
        <v>7</v>
      </c>
    </row>
    <row r="513" customFormat="false" ht="16" hidden="false" customHeight="false" outlineLevel="0" collapsed="false">
      <c r="A513" s="1" t="s">
        <v>1396</v>
      </c>
      <c r="B513" s="1" t="s">
        <v>1397</v>
      </c>
      <c r="C513" s="1" t="s">
        <v>695</v>
      </c>
      <c r="D513" s="1" t="s">
        <v>768</v>
      </c>
      <c r="E513" s="1" t="s">
        <v>7</v>
      </c>
    </row>
    <row r="514" customFormat="false" ht="16" hidden="false" customHeight="false" outlineLevel="0" collapsed="false">
      <c r="A514" s="1" t="s">
        <v>1398</v>
      </c>
      <c r="B514" s="1" t="s">
        <v>1399</v>
      </c>
      <c r="C514" s="1" t="s">
        <v>695</v>
      </c>
      <c r="D514" s="1" t="s">
        <v>770</v>
      </c>
      <c r="E514" s="1" t="s">
        <v>7</v>
      </c>
    </row>
    <row r="515" customFormat="false" ht="16" hidden="false" customHeight="false" outlineLevel="0" collapsed="false">
      <c r="A515" s="1" t="s">
        <v>1400</v>
      </c>
      <c r="B515" s="1" t="s">
        <v>1401</v>
      </c>
      <c r="C515" s="1" t="s">
        <v>695</v>
      </c>
      <c r="D515" s="1" t="s">
        <v>768</v>
      </c>
      <c r="E515" s="1" t="s">
        <v>7</v>
      </c>
    </row>
    <row r="516" customFormat="false" ht="16" hidden="false" customHeight="false" outlineLevel="0" collapsed="false">
      <c r="A516" s="1" t="s">
        <v>1402</v>
      </c>
      <c r="B516" s="1" t="s">
        <v>1403</v>
      </c>
      <c r="C516" s="1" t="s">
        <v>695</v>
      </c>
      <c r="D516" s="1" t="s">
        <v>764</v>
      </c>
      <c r="E516" s="1" t="s">
        <v>7</v>
      </c>
    </row>
    <row r="517" customFormat="false" ht="16" hidden="false" customHeight="false" outlineLevel="0" collapsed="false">
      <c r="A517" s="1" t="s">
        <v>1404</v>
      </c>
      <c r="B517" s="1" t="s">
        <v>1403</v>
      </c>
      <c r="C517" s="1" t="s">
        <v>695</v>
      </c>
      <c r="D517" s="1" t="s">
        <v>766</v>
      </c>
      <c r="E517" s="1" t="s">
        <v>7</v>
      </c>
    </row>
    <row r="518" customFormat="false" ht="16" hidden="false" customHeight="false" outlineLevel="0" collapsed="false">
      <c r="A518" s="1" t="s">
        <v>1405</v>
      </c>
      <c r="B518" s="1" t="s">
        <v>1403</v>
      </c>
      <c r="C518" s="1" t="s">
        <v>695</v>
      </c>
      <c r="D518" s="1" t="s">
        <v>768</v>
      </c>
      <c r="E518" s="1" t="s">
        <v>7</v>
      </c>
    </row>
    <row r="519" customFormat="false" ht="16" hidden="false" customHeight="false" outlineLevel="0" collapsed="false">
      <c r="A519" s="1" t="s">
        <v>1406</v>
      </c>
      <c r="B519" s="1" t="s">
        <v>1403</v>
      </c>
      <c r="C519" s="1" t="s">
        <v>695</v>
      </c>
      <c r="D519" s="1" t="s">
        <v>770</v>
      </c>
      <c r="E519" s="1" t="s">
        <v>7</v>
      </c>
    </row>
    <row r="520" customFormat="false" ht="16" hidden="false" customHeight="false" outlineLevel="0" collapsed="false">
      <c r="A520" s="1" t="s">
        <v>1407</v>
      </c>
      <c r="B520" s="1" t="s">
        <v>1403</v>
      </c>
      <c r="C520" s="1" t="s">
        <v>695</v>
      </c>
      <c r="D520" s="1" t="s">
        <v>696</v>
      </c>
      <c r="E520" s="1" t="s">
        <v>7</v>
      </c>
    </row>
    <row r="521" customFormat="false" ht="16" hidden="false" customHeight="false" outlineLevel="0" collapsed="false">
      <c r="A521" s="1" t="s">
        <v>1408</v>
      </c>
      <c r="B521" s="1" t="s">
        <v>1409</v>
      </c>
      <c r="C521" s="1" t="s">
        <v>695</v>
      </c>
      <c r="D521" s="1" t="s">
        <v>764</v>
      </c>
      <c r="E521" s="1" t="s">
        <v>7</v>
      </c>
    </row>
    <row r="522" customFormat="false" ht="16" hidden="false" customHeight="false" outlineLevel="0" collapsed="false">
      <c r="A522" s="1" t="s">
        <v>1410</v>
      </c>
      <c r="B522" s="1" t="s">
        <v>1409</v>
      </c>
      <c r="C522" s="1" t="s">
        <v>695</v>
      </c>
      <c r="D522" s="1" t="s">
        <v>766</v>
      </c>
      <c r="E522" s="1" t="s">
        <v>7</v>
      </c>
    </row>
    <row r="523" customFormat="false" ht="16" hidden="false" customHeight="false" outlineLevel="0" collapsed="false">
      <c r="A523" s="1" t="s">
        <v>1411</v>
      </c>
      <c r="B523" s="1" t="s">
        <v>1409</v>
      </c>
      <c r="C523" s="1" t="s">
        <v>695</v>
      </c>
      <c r="D523" s="1" t="s">
        <v>768</v>
      </c>
      <c r="E523" s="1" t="s">
        <v>7</v>
      </c>
    </row>
    <row r="524" customFormat="false" ht="16" hidden="false" customHeight="false" outlineLevel="0" collapsed="false">
      <c r="A524" s="1" t="s">
        <v>1412</v>
      </c>
      <c r="B524" s="1" t="s">
        <v>1409</v>
      </c>
      <c r="C524" s="1" t="s">
        <v>695</v>
      </c>
      <c r="D524" s="1" t="s">
        <v>770</v>
      </c>
      <c r="E524" s="1" t="s">
        <v>7</v>
      </c>
    </row>
    <row r="525" customFormat="false" ht="16" hidden="false" customHeight="false" outlineLevel="0" collapsed="false">
      <c r="A525" s="1" t="s">
        <v>1413</v>
      </c>
      <c r="B525" s="1" t="s">
        <v>1409</v>
      </c>
      <c r="C525" s="1" t="s">
        <v>695</v>
      </c>
      <c r="D525" s="1" t="s">
        <v>696</v>
      </c>
      <c r="E525" s="1" t="s">
        <v>7</v>
      </c>
    </row>
    <row r="526" customFormat="false" ht="16" hidden="false" customHeight="false" outlineLevel="0" collapsed="false">
      <c r="A526" s="1" t="s">
        <v>1414</v>
      </c>
      <c r="B526" s="1" t="s">
        <v>1415</v>
      </c>
      <c r="C526" s="1" t="s">
        <v>695</v>
      </c>
      <c r="D526" s="1" t="s">
        <v>764</v>
      </c>
      <c r="E526" s="1" t="s">
        <v>7</v>
      </c>
    </row>
    <row r="527" customFormat="false" ht="16" hidden="false" customHeight="false" outlineLevel="0" collapsed="false">
      <c r="A527" s="1" t="s">
        <v>1416</v>
      </c>
      <c r="B527" s="1" t="s">
        <v>1415</v>
      </c>
      <c r="C527" s="1" t="s">
        <v>695</v>
      </c>
      <c r="D527" s="1" t="s">
        <v>766</v>
      </c>
      <c r="E527" s="1" t="s">
        <v>7</v>
      </c>
    </row>
    <row r="528" customFormat="false" ht="16" hidden="false" customHeight="false" outlineLevel="0" collapsed="false">
      <c r="A528" s="1" t="s">
        <v>1417</v>
      </c>
      <c r="B528" s="1" t="s">
        <v>1415</v>
      </c>
      <c r="C528" s="1" t="s">
        <v>695</v>
      </c>
      <c r="D528" s="1" t="s">
        <v>768</v>
      </c>
      <c r="E528" s="1" t="s">
        <v>7</v>
      </c>
    </row>
    <row r="529" customFormat="false" ht="16" hidden="false" customHeight="false" outlineLevel="0" collapsed="false">
      <c r="A529" s="1" t="s">
        <v>1418</v>
      </c>
      <c r="B529" s="1" t="s">
        <v>1415</v>
      </c>
      <c r="C529" s="1" t="s">
        <v>695</v>
      </c>
      <c r="D529" s="1" t="s">
        <v>770</v>
      </c>
      <c r="E529" s="1" t="s">
        <v>7</v>
      </c>
    </row>
    <row r="530" customFormat="false" ht="16" hidden="false" customHeight="false" outlineLevel="0" collapsed="false">
      <c r="A530" s="1" t="s">
        <v>1419</v>
      </c>
      <c r="B530" s="1" t="s">
        <v>1415</v>
      </c>
      <c r="C530" s="1" t="s">
        <v>695</v>
      </c>
      <c r="D530" s="1" t="s">
        <v>696</v>
      </c>
      <c r="E530" s="1" t="s">
        <v>7</v>
      </c>
    </row>
    <row r="531" customFormat="false" ht="16" hidden="false" customHeight="false" outlineLevel="0" collapsed="false">
      <c r="A531" s="1" t="s">
        <v>1420</v>
      </c>
      <c r="B531" s="1" t="s">
        <v>1421</v>
      </c>
      <c r="C531" s="1" t="s">
        <v>695</v>
      </c>
      <c r="D531" s="1" t="s">
        <v>768</v>
      </c>
      <c r="E531" s="1" t="s">
        <v>7</v>
      </c>
    </row>
    <row r="532" customFormat="false" ht="16" hidden="false" customHeight="false" outlineLevel="0" collapsed="false">
      <c r="A532" s="1" t="s">
        <v>1422</v>
      </c>
      <c r="B532" s="1" t="s">
        <v>1423</v>
      </c>
      <c r="C532" s="1" t="s">
        <v>695</v>
      </c>
      <c r="D532" s="1" t="s">
        <v>768</v>
      </c>
      <c r="E532" s="1" t="s">
        <v>7</v>
      </c>
    </row>
    <row r="533" customFormat="false" ht="16" hidden="false" customHeight="false" outlineLevel="0" collapsed="false">
      <c r="A533" s="1" t="s">
        <v>1424</v>
      </c>
      <c r="B533" s="1" t="s">
        <v>1425</v>
      </c>
      <c r="C533" s="1" t="s">
        <v>695</v>
      </c>
      <c r="D533" s="1" t="s">
        <v>770</v>
      </c>
      <c r="E533" s="1" t="s">
        <v>7</v>
      </c>
    </row>
    <row r="534" customFormat="false" ht="16" hidden="false" customHeight="false" outlineLevel="0" collapsed="false">
      <c r="A534" s="1" t="s">
        <v>1426</v>
      </c>
      <c r="B534" s="1" t="s">
        <v>1427</v>
      </c>
      <c r="C534" s="1" t="s">
        <v>695</v>
      </c>
      <c r="D534" s="1" t="s">
        <v>1173</v>
      </c>
      <c r="E534" s="1" t="s">
        <v>7</v>
      </c>
    </row>
    <row r="535" customFormat="false" ht="16" hidden="false" customHeight="false" outlineLevel="0" collapsed="false">
      <c r="A535" s="1" t="s">
        <v>1428</v>
      </c>
      <c r="B535" s="1" t="s">
        <v>1427</v>
      </c>
      <c r="C535" s="1" t="s">
        <v>695</v>
      </c>
      <c r="D535" s="1" t="s">
        <v>764</v>
      </c>
      <c r="E535" s="1" t="s">
        <v>7</v>
      </c>
    </row>
    <row r="536" customFormat="false" ht="16" hidden="false" customHeight="false" outlineLevel="0" collapsed="false">
      <c r="A536" s="1" t="s">
        <v>1429</v>
      </c>
      <c r="B536" s="1" t="s">
        <v>1427</v>
      </c>
      <c r="C536" s="1" t="s">
        <v>695</v>
      </c>
      <c r="D536" s="1" t="s">
        <v>766</v>
      </c>
      <c r="E536" s="1" t="s">
        <v>7</v>
      </c>
    </row>
    <row r="537" customFormat="false" ht="16" hidden="false" customHeight="false" outlineLevel="0" collapsed="false">
      <c r="A537" s="1" t="s">
        <v>1430</v>
      </c>
      <c r="B537" s="1" t="s">
        <v>1427</v>
      </c>
      <c r="C537" s="1" t="s">
        <v>695</v>
      </c>
      <c r="D537" s="1" t="s">
        <v>768</v>
      </c>
      <c r="E537" s="1" t="s">
        <v>7</v>
      </c>
    </row>
    <row r="538" customFormat="false" ht="16" hidden="false" customHeight="false" outlineLevel="0" collapsed="false">
      <c r="A538" s="1" t="s">
        <v>1431</v>
      </c>
      <c r="B538" s="1" t="s">
        <v>1427</v>
      </c>
      <c r="C538" s="1" t="s">
        <v>695</v>
      </c>
      <c r="D538" s="1" t="s">
        <v>770</v>
      </c>
      <c r="E538" s="1" t="s">
        <v>7</v>
      </c>
    </row>
    <row r="539" customFormat="false" ht="16" hidden="false" customHeight="false" outlineLevel="0" collapsed="false">
      <c r="A539" s="1" t="s">
        <v>1432</v>
      </c>
      <c r="B539" s="1" t="s">
        <v>1427</v>
      </c>
      <c r="C539" s="1" t="s">
        <v>695</v>
      </c>
      <c r="D539" s="1" t="s">
        <v>696</v>
      </c>
      <c r="E539" s="1" t="s">
        <v>7</v>
      </c>
    </row>
    <row r="540" customFormat="false" ht="16" hidden="false" customHeight="false" outlineLevel="0" collapsed="false">
      <c r="A540" s="1" t="s">
        <v>1433</v>
      </c>
      <c r="B540" s="1" t="s">
        <v>1434</v>
      </c>
      <c r="C540" s="1" t="s">
        <v>695</v>
      </c>
      <c r="D540" s="1" t="s">
        <v>764</v>
      </c>
      <c r="E540" s="1" t="s">
        <v>7</v>
      </c>
    </row>
    <row r="541" customFormat="false" ht="16" hidden="false" customHeight="false" outlineLevel="0" collapsed="false">
      <c r="A541" s="1" t="s">
        <v>1435</v>
      </c>
      <c r="B541" s="1" t="s">
        <v>1434</v>
      </c>
      <c r="C541" s="1" t="s">
        <v>695</v>
      </c>
      <c r="D541" s="1" t="s">
        <v>766</v>
      </c>
      <c r="E541" s="1" t="s">
        <v>7</v>
      </c>
    </row>
    <row r="542" customFormat="false" ht="16" hidden="false" customHeight="false" outlineLevel="0" collapsed="false">
      <c r="A542" s="1" t="s">
        <v>1436</v>
      </c>
      <c r="B542" s="1" t="s">
        <v>1434</v>
      </c>
      <c r="C542" s="1" t="s">
        <v>695</v>
      </c>
      <c r="D542" s="1" t="s">
        <v>768</v>
      </c>
      <c r="E542" s="1" t="s">
        <v>7</v>
      </c>
    </row>
    <row r="543" customFormat="false" ht="16" hidden="false" customHeight="false" outlineLevel="0" collapsed="false">
      <c r="A543" s="1" t="s">
        <v>1437</v>
      </c>
      <c r="B543" s="1" t="s">
        <v>1434</v>
      </c>
      <c r="C543" s="1" t="s">
        <v>695</v>
      </c>
      <c r="D543" s="1" t="s">
        <v>770</v>
      </c>
      <c r="E543" s="1" t="s">
        <v>7</v>
      </c>
    </row>
    <row r="544" customFormat="false" ht="16" hidden="false" customHeight="false" outlineLevel="0" collapsed="false">
      <c r="A544" s="1" t="s">
        <v>1438</v>
      </c>
      <c r="B544" s="1" t="s">
        <v>1434</v>
      </c>
      <c r="C544" s="1" t="s">
        <v>695</v>
      </c>
      <c r="D544" s="1" t="s">
        <v>696</v>
      </c>
      <c r="E544" s="1" t="s">
        <v>7</v>
      </c>
    </row>
    <row r="545" customFormat="false" ht="16" hidden="false" customHeight="false" outlineLevel="0" collapsed="false">
      <c r="A545" s="1" t="s">
        <v>1439</v>
      </c>
      <c r="B545" s="1" t="s">
        <v>1440</v>
      </c>
      <c r="C545" s="1" t="s">
        <v>695</v>
      </c>
      <c r="D545" s="1" t="s">
        <v>764</v>
      </c>
      <c r="E545" s="1" t="s">
        <v>7</v>
      </c>
    </row>
    <row r="546" customFormat="false" ht="16" hidden="false" customHeight="false" outlineLevel="0" collapsed="false">
      <c r="A546" s="1" t="s">
        <v>1441</v>
      </c>
      <c r="B546" s="1" t="s">
        <v>1440</v>
      </c>
      <c r="C546" s="1" t="s">
        <v>695</v>
      </c>
      <c r="D546" s="1" t="s">
        <v>766</v>
      </c>
      <c r="E546" s="1" t="s">
        <v>7</v>
      </c>
    </row>
    <row r="547" customFormat="false" ht="16" hidden="false" customHeight="false" outlineLevel="0" collapsed="false">
      <c r="A547" s="1" t="s">
        <v>1442</v>
      </c>
      <c r="B547" s="1" t="s">
        <v>1440</v>
      </c>
      <c r="C547" s="1" t="s">
        <v>695</v>
      </c>
      <c r="D547" s="1" t="s">
        <v>768</v>
      </c>
      <c r="E547" s="1" t="s">
        <v>7</v>
      </c>
    </row>
    <row r="548" customFormat="false" ht="16" hidden="false" customHeight="false" outlineLevel="0" collapsed="false">
      <c r="A548" s="1" t="s">
        <v>1443</v>
      </c>
      <c r="B548" s="1" t="s">
        <v>1440</v>
      </c>
      <c r="C548" s="1" t="s">
        <v>695</v>
      </c>
      <c r="D548" s="1" t="s">
        <v>770</v>
      </c>
      <c r="E548" s="1" t="s">
        <v>7</v>
      </c>
    </row>
    <row r="549" customFormat="false" ht="16" hidden="false" customHeight="false" outlineLevel="0" collapsed="false">
      <c r="A549" s="1" t="s">
        <v>1444</v>
      </c>
      <c r="B549" s="1" t="s">
        <v>1440</v>
      </c>
      <c r="C549" s="1" t="s">
        <v>695</v>
      </c>
      <c r="D549" s="1" t="s">
        <v>696</v>
      </c>
      <c r="E549" s="1" t="s">
        <v>7</v>
      </c>
    </row>
    <row r="550" customFormat="false" ht="16" hidden="false" customHeight="false" outlineLevel="0" collapsed="false">
      <c r="A550" s="1" t="s">
        <v>1445</v>
      </c>
      <c r="B550" s="1" t="s">
        <v>1446</v>
      </c>
      <c r="C550" s="1" t="s">
        <v>695</v>
      </c>
      <c r="D550" s="1" t="s">
        <v>770</v>
      </c>
      <c r="E550" s="1" t="s">
        <v>7</v>
      </c>
    </row>
    <row r="551" customFormat="false" ht="16" hidden="false" customHeight="false" outlineLevel="0" collapsed="false">
      <c r="A551" s="1" t="s">
        <v>1447</v>
      </c>
      <c r="B551" s="1" t="s">
        <v>1448</v>
      </c>
      <c r="C551" s="1" t="s">
        <v>695</v>
      </c>
      <c r="D551" s="1" t="s">
        <v>764</v>
      </c>
      <c r="E551" s="1" t="s">
        <v>7</v>
      </c>
    </row>
    <row r="552" customFormat="false" ht="16" hidden="false" customHeight="false" outlineLevel="0" collapsed="false">
      <c r="A552" s="1" t="s">
        <v>1449</v>
      </c>
      <c r="B552" s="1" t="s">
        <v>1448</v>
      </c>
      <c r="C552" s="1" t="s">
        <v>695</v>
      </c>
      <c r="D552" s="1" t="s">
        <v>766</v>
      </c>
      <c r="E552" s="1" t="s">
        <v>7</v>
      </c>
    </row>
    <row r="553" customFormat="false" ht="16" hidden="false" customHeight="false" outlineLevel="0" collapsed="false">
      <c r="A553" s="1" t="s">
        <v>1450</v>
      </c>
      <c r="B553" s="1" t="s">
        <v>1448</v>
      </c>
      <c r="C553" s="1" t="s">
        <v>695</v>
      </c>
      <c r="D553" s="1" t="s">
        <v>768</v>
      </c>
      <c r="E553" s="1" t="s">
        <v>7</v>
      </c>
    </row>
    <row r="554" customFormat="false" ht="16" hidden="false" customHeight="false" outlineLevel="0" collapsed="false">
      <c r="A554" s="1" t="s">
        <v>1451</v>
      </c>
      <c r="B554" s="1" t="s">
        <v>1448</v>
      </c>
      <c r="C554" s="1" t="s">
        <v>695</v>
      </c>
      <c r="D554" s="1" t="s">
        <v>770</v>
      </c>
      <c r="E554" s="1" t="s">
        <v>7</v>
      </c>
    </row>
    <row r="555" customFormat="false" ht="16" hidden="false" customHeight="false" outlineLevel="0" collapsed="false">
      <c r="A555" s="1" t="s">
        <v>1452</v>
      </c>
      <c r="B555" s="1" t="s">
        <v>1448</v>
      </c>
      <c r="C555" s="1" t="s">
        <v>695</v>
      </c>
      <c r="D555" s="1" t="s">
        <v>696</v>
      </c>
      <c r="E555" s="1" t="s">
        <v>7</v>
      </c>
    </row>
    <row r="556" customFormat="false" ht="16" hidden="false" customHeight="false" outlineLevel="0" collapsed="false">
      <c r="A556" s="1" t="s">
        <v>1453</v>
      </c>
      <c r="B556" s="1" t="s">
        <v>1454</v>
      </c>
      <c r="C556" s="1" t="s">
        <v>695</v>
      </c>
      <c r="D556" s="1" t="s">
        <v>770</v>
      </c>
      <c r="E556" s="1" t="s">
        <v>7</v>
      </c>
    </row>
    <row r="557" customFormat="false" ht="16" hidden="false" customHeight="false" outlineLevel="0" collapsed="false">
      <c r="A557" s="1" t="s">
        <v>1455</v>
      </c>
      <c r="B557" s="1" t="s">
        <v>1456</v>
      </c>
      <c r="C557" s="1" t="s">
        <v>695</v>
      </c>
      <c r="D557" s="1" t="s">
        <v>764</v>
      </c>
      <c r="E557" s="1" t="s">
        <v>7</v>
      </c>
    </row>
    <row r="558" customFormat="false" ht="16" hidden="false" customHeight="false" outlineLevel="0" collapsed="false">
      <c r="A558" s="1" t="s">
        <v>1457</v>
      </c>
      <c r="B558" s="1" t="s">
        <v>1456</v>
      </c>
      <c r="C558" s="1" t="s">
        <v>695</v>
      </c>
      <c r="D558" s="1" t="s">
        <v>766</v>
      </c>
      <c r="E558" s="1" t="s">
        <v>7</v>
      </c>
    </row>
    <row r="559" customFormat="false" ht="16" hidden="false" customHeight="false" outlineLevel="0" collapsed="false">
      <c r="A559" s="1" t="s">
        <v>1458</v>
      </c>
      <c r="B559" s="1" t="s">
        <v>1456</v>
      </c>
      <c r="C559" s="1" t="s">
        <v>695</v>
      </c>
      <c r="D559" s="1" t="s">
        <v>768</v>
      </c>
      <c r="E559" s="1" t="s">
        <v>7</v>
      </c>
    </row>
    <row r="560" customFormat="false" ht="16" hidden="false" customHeight="false" outlineLevel="0" collapsed="false">
      <c r="A560" s="1" t="s">
        <v>1459</v>
      </c>
      <c r="B560" s="1" t="s">
        <v>1456</v>
      </c>
      <c r="C560" s="1" t="s">
        <v>695</v>
      </c>
      <c r="D560" s="1" t="s">
        <v>770</v>
      </c>
      <c r="E560" s="1" t="s">
        <v>7</v>
      </c>
    </row>
    <row r="561" customFormat="false" ht="16" hidden="false" customHeight="false" outlineLevel="0" collapsed="false">
      <c r="A561" s="1" t="s">
        <v>1460</v>
      </c>
      <c r="B561" s="1" t="s">
        <v>1456</v>
      </c>
      <c r="C561" s="1" t="s">
        <v>695</v>
      </c>
      <c r="D561" s="1" t="s">
        <v>696</v>
      </c>
      <c r="E561" s="1" t="s">
        <v>7</v>
      </c>
    </row>
    <row r="562" customFormat="false" ht="16" hidden="false" customHeight="false" outlineLevel="0" collapsed="false">
      <c r="A562" s="1" t="s">
        <v>1461</v>
      </c>
      <c r="B562" s="1" t="s">
        <v>1462</v>
      </c>
      <c r="C562" s="1" t="s">
        <v>695</v>
      </c>
      <c r="D562" s="1" t="s">
        <v>764</v>
      </c>
      <c r="E562" s="1" t="s">
        <v>7</v>
      </c>
    </row>
    <row r="563" customFormat="false" ht="16" hidden="false" customHeight="false" outlineLevel="0" collapsed="false">
      <c r="A563" s="1" t="s">
        <v>1463</v>
      </c>
      <c r="B563" s="1" t="s">
        <v>1462</v>
      </c>
      <c r="C563" s="1" t="s">
        <v>695</v>
      </c>
      <c r="D563" s="1" t="s">
        <v>766</v>
      </c>
      <c r="E563" s="1" t="s">
        <v>7</v>
      </c>
    </row>
    <row r="564" customFormat="false" ht="16" hidden="false" customHeight="false" outlineLevel="0" collapsed="false">
      <c r="A564" s="1" t="s">
        <v>1464</v>
      </c>
      <c r="B564" s="1" t="s">
        <v>1462</v>
      </c>
      <c r="C564" s="1" t="s">
        <v>695</v>
      </c>
      <c r="D564" s="1" t="s">
        <v>768</v>
      </c>
      <c r="E564" s="1" t="s">
        <v>7</v>
      </c>
    </row>
    <row r="565" customFormat="false" ht="16" hidden="false" customHeight="false" outlineLevel="0" collapsed="false">
      <c r="A565" s="1" t="s">
        <v>1465</v>
      </c>
      <c r="B565" s="1" t="s">
        <v>1462</v>
      </c>
      <c r="C565" s="1" t="s">
        <v>695</v>
      </c>
      <c r="D565" s="1" t="s">
        <v>770</v>
      </c>
      <c r="E565" s="1" t="s">
        <v>7</v>
      </c>
    </row>
    <row r="566" customFormat="false" ht="16" hidden="false" customHeight="false" outlineLevel="0" collapsed="false">
      <c r="A566" s="1" t="s">
        <v>1466</v>
      </c>
      <c r="B566" s="1" t="s">
        <v>1462</v>
      </c>
      <c r="C566" s="1" t="s">
        <v>695</v>
      </c>
      <c r="D566" s="1" t="s">
        <v>696</v>
      </c>
      <c r="E566" s="1" t="s">
        <v>7</v>
      </c>
    </row>
    <row r="567" customFormat="false" ht="16" hidden="false" customHeight="false" outlineLevel="0" collapsed="false">
      <c r="A567" s="1" t="s">
        <v>1467</v>
      </c>
      <c r="B567" s="1" t="s">
        <v>1468</v>
      </c>
      <c r="C567" s="1" t="s">
        <v>695</v>
      </c>
      <c r="D567" s="1" t="s">
        <v>696</v>
      </c>
      <c r="E567" s="1" t="s">
        <v>7</v>
      </c>
    </row>
    <row r="568" customFormat="false" ht="16" hidden="false" customHeight="false" outlineLevel="0" collapsed="false">
      <c r="A568" s="1" t="s">
        <v>1469</v>
      </c>
      <c r="B568" s="1" t="s">
        <v>1470</v>
      </c>
      <c r="C568" s="1" t="s">
        <v>695</v>
      </c>
      <c r="D568" s="1" t="s">
        <v>764</v>
      </c>
      <c r="E568" s="1" t="s">
        <v>7</v>
      </c>
    </row>
    <row r="569" customFormat="false" ht="16" hidden="false" customHeight="false" outlineLevel="0" collapsed="false">
      <c r="A569" s="1" t="s">
        <v>1471</v>
      </c>
      <c r="B569" s="1" t="s">
        <v>1470</v>
      </c>
      <c r="C569" s="1" t="s">
        <v>695</v>
      </c>
      <c r="D569" s="1" t="s">
        <v>766</v>
      </c>
      <c r="E569" s="1" t="s">
        <v>7</v>
      </c>
    </row>
    <row r="570" customFormat="false" ht="16" hidden="false" customHeight="false" outlineLevel="0" collapsed="false">
      <c r="A570" s="1" t="s">
        <v>1472</v>
      </c>
      <c r="B570" s="1" t="s">
        <v>1470</v>
      </c>
      <c r="C570" s="1" t="s">
        <v>695</v>
      </c>
      <c r="D570" s="1" t="s">
        <v>768</v>
      </c>
      <c r="E570" s="1" t="s">
        <v>7</v>
      </c>
    </row>
    <row r="571" customFormat="false" ht="16" hidden="false" customHeight="false" outlineLevel="0" collapsed="false">
      <c r="A571" s="1" t="s">
        <v>1473</v>
      </c>
      <c r="B571" s="1" t="s">
        <v>1470</v>
      </c>
      <c r="C571" s="1" t="s">
        <v>695</v>
      </c>
      <c r="D571" s="1" t="s">
        <v>770</v>
      </c>
      <c r="E571" s="1" t="s">
        <v>7</v>
      </c>
    </row>
    <row r="572" customFormat="false" ht="16" hidden="false" customHeight="false" outlineLevel="0" collapsed="false">
      <c r="A572" s="1" t="s">
        <v>1474</v>
      </c>
      <c r="B572" s="1" t="s">
        <v>1470</v>
      </c>
      <c r="C572" s="1" t="s">
        <v>695</v>
      </c>
      <c r="D572" s="1" t="s">
        <v>696</v>
      </c>
      <c r="E572" s="1" t="s">
        <v>7</v>
      </c>
    </row>
    <row r="573" customFormat="false" ht="16" hidden="false" customHeight="false" outlineLevel="0" collapsed="false">
      <c r="A573" s="1" t="s">
        <v>1475</v>
      </c>
      <c r="B573" s="1" t="s">
        <v>1476</v>
      </c>
      <c r="C573" s="1" t="s">
        <v>695</v>
      </c>
      <c r="D573" s="1" t="s">
        <v>768</v>
      </c>
      <c r="E573" s="1" t="s">
        <v>7</v>
      </c>
    </row>
    <row r="574" customFormat="false" ht="16" hidden="false" customHeight="false" outlineLevel="0" collapsed="false">
      <c r="A574" s="1" t="s">
        <v>1477</v>
      </c>
      <c r="B574" s="1" t="s">
        <v>1478</v>
      </c>
      <c r="C574" s="1" t="s">
        <v>695</v>
      </c>
      <c r="D574" s="1" t="s">
        <v>764</v>
      </c>
      <c r="E574" s="1" t="s">
        <v>7</v>
      </c>
    </row>
    <row r="575" customFormat="false" ht="16" hidden="false" customHeight="false" outlineLevel="0" collapsed="false">
      <c r="A575" s="1" t="s">
        <v>1479</v>
      </c>
      <c r="B575" s="1" t="s">
        <v>1478</v>
      </c>
      <c r="C575" s="1" t="s">
        <v>695</v>
      </c>
      <c r="D575" s="1" t="s">
        <v>766</v>
      </c>
      <c r="E575" s="1" t="s">
        <v>7</v>
      </c>
    </row>
    <row r="576" customFormat="false" ht="16" hidden="false" customHeight="false" outlineLevel="0" collapsed="false">
      <c r="A576" s="1" t="s">
        <v>1480</v>
      </c>
      <c r="B576" s="1" t="s">
        <v>1478</v>
      </c>
      <c r="C576" s="1" t="s">
        <v>695</v>
      </c>
      <c r="D576" s="1" t="s">
        <v>768</v>
      </c>
      <c r="E576" s="1" t="s">
        <v>7</v>
      </c>
    </row>
    <row r="577" customFormat="false" ht="16" hidden="false" customHeight="false" outlineLevel="0" collapsed="false">
      <c r="A577" s="1" t="s">
        <v>1481</v>
      </c>
      <c r="B577" s="1" t="s">
        <v>1478</v>
      </c>
      <c r="C577" s="1" t="s">
        <v>695</v>
      </c>
      <c r="D577" s="1" t="s">
        <v>770</v>
      </c>
      <c r="E577" s="1" t="s">
        <v>7</v>
      </c>
    </row>
    <row r="578" customFormat="false" ht="16" hidden="false" customHeight="false" outlineLevel="0" collapsed="false">
      <c r="A578" s="1" t="s">
        <v>1482</v>
      </c>
      <c r="B578" s="1" t="s">
        <v>1478</v>
      </c>
      <c r="C578" s="1" t="s">
        <v>695</v>
      </c>
      <c r="D578" s="1" t="s">
        <v>696</v>
      </c>
      <c r="E578" s="1" t="s">
        <v>7</v>
      </c>
    </row>
    <row r="579" customFormat="false" ht="16" hidden="false" customHeight="false" outlineLevel="0" collapsed="false">
      <c r="A579" s="1" t="s">
        <v>1483</v>
      </c>
      <c r="B579" s="1" t="s">
        <v>1484</v>
      </c>
      <c r="C579" s="1" t="s">
        <v>695</v>
      </c>
      <c r="D579" s="1" t="s">
        <v>764</v>
      </c>
      <c r="E579" s="1" t="s">
        <v>7</v>
      </c>
    </row>
    <row r="580" customFormat="false" ht="16" hidden="false" customHeight="false" outlineLevel="0" collapsed="false">
      <c r="A580" s="1" t="s">
        <v>1485</v>
      </c>
      <c r="B580" s="1" t="s">
        <v>1484</v>
      </c>
      <c r="C580" s="1" t="s">
        <v>695</v>
      </c>
      <c r="D580" s="1" t="s">
        <v>766</v>
      </c>
      <c r="E580" s="1" t="s">
        <v>7</v>
      </c>
    </row>
    <row r="581" customFormat="false" ht="16" hidden="false" customHeight="false" outlineLevel="0" collapsed="false">
      <c r="A581" s="1" t="s">
        <v>1486</v>
      </c>
      <c r="B581" s="1" t="s">
        <v>1484</v>
      </c>
      <c r="C581" s="1" t="s">
        <v>695</v>
      </c>
      <c r="D581" s="1" t="s">
        <v>768</v>
      </c>
      <c r="E581" s="1" t="s">
        <v>7</v>
      </c>
    </row>
    <row r="582" customFormat="false" ht="16" hidden="false" customHeight="false" outlineLevel="0" collapsed="false">
      <c r="A582" s="1" t="s">
        <v>1487</v>
      </c>
      <c r="B582" s="1" t="s">
        <v>1484</v>
      </c>
      <c r="C582" s="1" t="s">
        <v>695</v>
      </c>
      <c r="D582" s="1" t="s">
        <v>770</v>
      </c>
      <c r="E582" s="1" t="s">
        <v>7</v>
      </c>
    </row>
    <row r="583" customFormat="false" ht="16" hidden="false" customHeight="false" outlineLevel="0" collapsed="false">
      <c r="A583" s="1" t="s">
        <v>1488</v>
      </c>
      <c r="B583" s="1" t="s">
        <v>1484</v>
      </c>
      <c r="C583" s="1" t="s">
        <v>695</v>
      </c>
      <c r="D583" s="1" t="s">
        <v>696</v>
      </c>
      <c r="E583" s="1" t="s">
        <v>7</v>
      </c>
    </row>
    <row r="584" customFormat="false" ht="16" hidden="false" customHeight="false" outlineLevel="0" collapsed="false">
      <c r="A584" s="1" t="s">
        <v>1489</v>
      </c>
      <c r="B584" s="1" t="s">
        <v>1490</v>
      </c>
      <c r="C584" s="1" t="s">
        <v>695</v>
      </c>
      <c r="D584" s="1" t="s">
        <v>764</v>
      </c>
      <c r="E584" s="1" t="s">
        <v>7</v>
      </c>
    </row>
    <row r="585" customFormat="false" ht="16" hidden="false" customHeight="false" outlineLevel="0" collapsed="false">
      <c r="A585" s="1" t="s">
        <v>1491</v>
      </c>
      <c r="B585" s="1" t="s">
        <v>1490</v>
      </c>
      <c r="C585" s="1" t="s">
        <v>695</v>
      </c>
      <c r="D585" s="1" t="s">
        <v>766</v>
      </c>
      <c r="E585" s="1" t="s">
        <v>7</v>
      </c>
    </row>
    <row r="586" customFormat="false" ht="16" hidden="false" customHeight="false" outlineLevel="0" collapsed="false">
      <c r="A586" s="1" t="s">
        <v>1492</v>
      </c>
      <c r="B586" s="1" t="s">
        <v>1490</v>
      </c>
      <c r="C586" s="1" t="s">
        <v>695</v>
      </c>
      <c r="D586" s="1" t="s">
        <v>768</v>
      </c>
      <c r="E586" s="1" t="s">
        <v>7</v>
      </c>
    </row>
    <row r="587" customFormat="false" ht="16" hidden="false" customHeight="false" outlineLevel="0" collapsed="false">
      <c r="A587" s="1" t="s">
        <v>1493</v>
      </c>
      <c r="B587" s="1" t="s">
        <v>1490</v>
      </c>
      <c r="C587" s="1" t="s">
        <v>695</v>
      </c>
      <c r="D587" s="1" t="s">
        <v>770</v>
      </c>
      <c r="E587" s="1" t="s">
        <v>7</v>
      </c>
    </row>
    <row r="588" customFormat="false" ht="16" hidden="false" customHeight="false" outlineLevel="0" collapsed="false">
      <c r="A588" s="1" t="s">
        <v>1494</v>
      </c>
      <c r="B588" s="1" t="s">
        <v>1490</v>
      </c>
      <c r="C588" s="1" t="s">
        <v>695</v>
      </c>
      <c r="D588" s="1" t="s">
        <v>696</v>
      </c>
      <c r="E588" s="1" t="s">
        <v>7</v>
      </c>
    </row>
    <row r="589" customFormat="false" ht="16" hidden="false" customHeight="false" outlineLevel="0" collapsed="false">
      <c r="A589" s="1" t="s">
        <v>1495</v>
      </c>
      <c r="B589" s="1" t="s">
        <v>1496</v>
      </c>
      <c r="C589" s="1" t="s">
        <v>695</v>
      </c>
      <c r="D589" s="1" t="s">
        <v>764</v>
      </c>
      <c r="E589" s="1" t="s">
        <v>7</v>
      </c>
    </row>
    <row r="590" customFormat="false" ht="16" hidden="false" customHeight="false" outlineLevel="0" collapsed="false">
      <c r="A590" s="1" t="s">
        <v>1497</v>
      </c>
      <c r="B590" s="1" t="s">
        <v>1496</v>
      </c>
      <c r="C590" s="1" t="s">
        <v>695</v>
      </c>
      <c r="D590" s="1" t="s">
        <v>766</v>
      </c>
      <c r="E590" s="1" t="s">
        <v>7</v>
      </c>
    </row>
    <row r="591" customFormat="false" ht="16" hidden="false" customHeight="false" outlineLevel="0" collapsed="false">
      <c r="A591" s="1" t="s">
        <v>1498</v>
      </c>
      <c r="B591" s="1" t="s">
        <v>1496</v>
      </c>
      <c r="C591" s="1" t="s">
        <v>695</v>
      </c>
      <c r="D591" s="1" t="s">
        <v>768</v>
      </c>
      <c r="E591" s="1" t="s">
        <v>7</v>
      </c>
    </row>
    <row r="592" customFormat="false" ht="16" hidden="false" customHeight="false" outlineLevel="0" collapsed="false">
      <c r="A592" s="1" t="s">
        <v>1499</v>
      </c>
      <c r="B592" s="1" t="s">
        <v>1496</v>
      </c>
      <c r="C592" s="1" t="s">
        <v>695</v>
      </c>
      <c r="D592" s="1" t="s">
        <v>770</v>
      </c>
      <c r="E592" s="1" t="s">
        <v>7</v>
      </c>
    </row>
    <row r="593" customFormat="false" ht="16" hidden="false" customHeight="false" outlineLevel="0" collapsed="false">
      <c r="A593" s="1" t="s">
        <v>1500</v>
      </c>
      <c r="B593" s="1" t="s">
        <v>1496</v>
      </c>
      <c r="C593" s="1" t="s">
        <v>695</v>
      </c>
      <c r="D593" s="1" t="s">
        <v>696</v>
      </c>
      <c r="E593" s="1" t="s">
        <v>7</v>
      </c>
    </row>
    <row r="594" customFormat="false" ht="16" hidden="false" customHeight="false" outlineLevel="0" collapsed="false">
      <c r="A594" s="1" t="s">
        <v>1501</v>
      </c>
      <c r="B594" s="1" t="s">
        <v>1502</v>
      </c>
      <c r="C594" s="1" t="s">
        <v>695</v>
      </c>
      <c r="D594" s="1" t="s">
        <v>764</v>
      </c>
      <c r="E594" s="1" t="s">
        <v>7</v>
      </c>
    </row>
    <row r="595" customFormat="false" ht="16" hidden="false" customHeight="false" outlineLevel="0" collapsed="false">
      <c r="A595" s="1" t="s">
        <v>1503</v>
      </c>
      <c r="B595" s="1" t="s">
        <v>1502</v>
      </c>
      <c r="C595" s="1" t="s">
        <v>695</v>
      </c>
      <c r="D595" s="1" t="s">
        <v>766</v>
      </c>
      <c r="E595" s="1" t="s">
        <v>7</v>
      </c>
    </row>
    <row r="596" customFormat="false" ht="16" hidden="false" customHeight="false" outlineLevel="0" collapsed="false">
      <c r="A596" s="1" t="s">
        <v>1504</v>
      </c>
      <c r="B596" s="1" t="s">
        <v>1502</v>
      </c>
      <c r="C596" s="1" t="s">
        <v>695</v>
      </c>
      <c r="D596" s="1" t="s">
        <v>768</v>
      </c>
      <c r="E596" s="1" t="s">
        <v>7</v>
      </c>
    </row>
    <row r="597" customFormat="false" ht="16" hidden="false" customHeight="false" outlineLevel="0" collapsed="false">
      <c r="A597" s="1" t="s">
        <v>1505</v>
      </c>
      <c r="B597" s="1" t="s">
        <v>1502</v>
      </c>
      <c r="C597" s="1" t="s">
        <v>695</v>
      </c>
      <c r="D597" s="1" t="s">
        <v>770</v>
      </c>
      <c r="E597" s="1" t="s">
        <v>7</v>
      </c>
    </row>
    <row r="598" customFormat="false" ht="16" hidden="false" customHeight="false" outlineLevel="0" collapsed="false">
      <c r="A598" s="1" t="s">
        <v>1506</v>
      </c>
      <c r="B598" s="1" t="s">
        <v>1502</v>
      </c>
      <c r="C598" s="1" t="s">
        <v>695</v>
      </c>
      <c r="D598" s="1" t="s">
        <v>696</v>
      </c>
      <c r="E598" s="1" t="s">
        <v>7</v>
      </c>
    </row>
    <row r="599" customFormat="false" ht="16" hidden="false" customHeight="false" outlineLevel="0" collapsed="false">
      <c r="A599" s="1" t="s">
        <v>1507</v>
      </c>
      <c r="B599" s="1" t="s">
        <v>1508</v>
      </c>
      <c r="C599" s="1" t="s">
        <v>695</v>
      </c>
      <c r="D599" s="1" t="s">
        <v>764</v>
      </c>
      <c r="E599" s="1" t="s">
        <v>7</v>
      </c>
    </row>
    <row r="600" customFormat="false" ht="16" hidden="false" customHeight="false" outlineLevel="0" collapsed="false">
      <c r="A600" s="1" t="s">
        <v>1509</v>
      </c>
      <c r="B600" s="1" t="s">
        <v>1508</v>
      </c>
      <c r="C600" s="1" t="s">
        <v>695</v>
      </c>
      <c r="D600" s="1" t="s">
        <v>766</v>
      </c>
      <c r="E600" s="1" t="s">
        <v>7</v>
      </c>
    </row>
    <row r="601" customFormat="false" ht="16" hidden="false" customHeight="false" outlineLevel="0" collapsed="false">
      <c r="A601" s="1" t="s">
        <v>1510</v>
      </c>
      <c r="B601" s="1" t="s">
        <v>1508</v>
      </c>
      <c r="C601" s="1" t="s">
        <v>695</v>
      </c>
      <c r="D601" s="1" t="s">
        <v>768</v>
      </c>
      <c r="E601" s="1" t="s">
        <v>7</v>
      </c>
    </row>
    <row r="602" customFormat="false" ht="16" hidden="false" customHeight="false" outlineLevel="0" collapsed="false">
      <c r="A602" s="1" t="s">
        <v>1511</v>
      </c>
      <c r="B602" s="1" t="s">
        <v>1508</v>
      </c>
      <c r="C602" s="1" t="s">
        <v>695</v>
      </c>
      <c r="D602" s="1" t="s">
        <v>770</v>
      </c>
      <c r="E602" s="1" t="s">
        <v>7</v>
      </c>
    </row>
    <row r="603" customFormat="false" ht="16" hidden="false" customHeight="false" outlineLevel="0" collapsed="false">
      <c r="A603" s="1" t="s">
        <v>1512</v>
      </c>
      <c r="B603" s="1" t="s">
        <v>1508</v>
      </c>
      <c r="C603" s="1" t="s">
        <v>695</v>
      </c>
      <c r="D603" s="1" t="s">
        <v>696</v>
      </c>
      <c r="E603" s="1" t="s">
        <v>7</v>
      </c>
    </row>
    <row r="604" customFormat="false" ht="16" hidden="false" customHeight="false" outlineLevel="0" collapsed="false">
      <c r="A604" s="1" t="s">
        <v>1513</v>
      </c>
      <c r="B604" s="1" t="s">
        <v>1514</v>
      </c>
      <c r="C604" s="1" t="s">
        <v>695</v>
      </c>
      <c r="D604" s="1" t="s">
        <v>764</v>
      </c>
      <c r="E604" s="1" t="s">
        <v>7</v>
      </c>
    </row>
    <row r="605" customFormat="false" ht="16" hidden="false" customHeight="false" outlineLevel="0" collapsed="false">
      <c r="A605" s="1" t="s">
        <v>1515</v>
      </c>
      <c r="B605" s="1" t="s">
        <v>1514</v>
      </c>
      <c r="C605" s="1" t="s">
        <v>695</v>
      </c>
      <c r="D605" s="1" t="s">
        <v>766</v>
      </c>
      <c r="E605" s="1" t="s">
        <v>7</v>
      </c>
    </row>
    <row r="606" customFormat="false" ht="16" hidden="false" customHeight="false" outlineLevel="0" collapsed="false">
      <c r="A606" s="1" t="s">
        <v>1516</v>
      </c>
      <c r="B606" s="1" t="s">
        <v>1514</v>
      </c>
      <c r="C606" s="1" t="s">
        <v>695</v>
      </c>
      <c r="D606" s="1" t="s">
        <v>768</v>
      </c>
      <c r="E606" s="1" t="s">
        <v>7</v>
      </c>
    </row>
    <row r="607" customFormat="false" ht="16" hidden="false" customHeight="false" outlineLevel="0" collapsed="false">
      <c r="A607" s="1" t="s">
        <v>1517</v>
      </c>
      <c r="B607" s="1" t="s">
        <v>1514</v>
      </c>
      <c r="C607" s="1" t="s">
        <v>695</v>
      </c>
      <c r="D607" s="1" t="s">
        <v>770</v>
      </c>
      <c r="E607" s="1" t="s">
        <v>7</v>
      </c>
    </row>
    <row r="608" customFormat="false" ht="16" hidden="false" customHeight="false" outlineLevel="0" collapsed="false">
      <c r="A608" s="1" t="s">
        <v>1518</v>
      </c>
      <c r="B608" s="1" t="s">
        <v>1514</v>
      </c>
      <c r="C608" s="1" t="s">
        <v>695</v>
      </c>
      <c r="D608" s="1" t="s">
        <v>696</v>
      </c>
      <c r="E608" s="1" t="s">
        <v>7</v>
      </c>
    </row>
    <row r="609" customFormat="false" ht="16" hidden="false" customHeight="false" outlineLevel="0" collapsed="false">
      <c r="A609" s="1" t="s">
        <v>1519</v>
      </c>
      <c r="B609" s="1" t="s">
        <v>1520</v>
      </c>
      <c r="C609" s="1" t="s">
        <v>695</v>
      </c>
      <c r="D609" s="1" t="s">
        <v>764</v>
      </c>
      <c r="E609" s="1" t="s">
        <v>7</v>
      </c>
    </row>
    <row r="610" customFormat="false" ht="16" hidden="false" customHeight="false" outlineLevel="0" collapsed="false">
      <c r="A610" s="1" t="s">
        <v>1521</v>
      </c>
      <c r="B610" s="1" t="s">
        <v>1520</v>
      </c>
      <c r="C610" s="1" t="s">
        <v>695</v>
      </c>
      <c r="D610" s="1" t="s">
        <v>766</v>
      </c>
      <c r="E610" s="1" t="s">
        <v>7</v>
      </c>
    </row>
    <row r="611" customFormat="false" ht="16" hidden="false" customHeight="false" outlineLevel="0" collapsed="false">
      <c r="A611" s="1" t="s">
        <v>1522</v>
      </c>
      <c r="B611" s="1" t="s">
        <v>1520</v>
      </c>
      <c r="C611" s="1" t="s">
        <v>695</v>
      </c>
      <c r="D611" s="1" t="s">
        <v>768</v>
      </c>
      <c r="E611" s="1" t="s">
        <v>7</v>
      </c>
    </row>
    <row r="612" customFormat="false" ht="16" hidden="false" customHeight="false" outlineLevel="0" collapsed="false">
      <c r="A612" s="1" t="s">
        <v>1523</v>
      </c>
      <c r="B612" s="1" t="s">
        <v>1520</v>
      </c>
      <c r="C612" s="1" t="s">
        <v>695</v>
      </c>
      <c r="D612" s="1" t="s">
        <v>770</v>
      </c>
      <c r="E612" s="1" t="s">
        <v>7</v>
      </c>
    </row>
    <row r="613" customFormat="false" ht="16" hidden="false" customHeight="false" outlineLevel="0" collapsed="false">
      <c r="A613" s="1" t="s">
        <v>1524</v>
      </c>
      <c r="B613" s="1" t="s">
        <v>1520</v>
      </c>
      <c r="C613" s="1" t="s">
        <v>695</v>
      </c>
      <c r="D613" s="1" t="s">
        <v>696</v>
      </c>
      <c r="E613" s="1" t="s">
        <v>7</v>
      </c>
    </row>
    <row r="614" customFormat="false" ht="16" hidden="false" customHeight="false" outlineLevel="0" collapsed="false">
      <c r="A614" s="1" t="s">
        <v>1525</v>
      </c>
      <c r="B614" s="1" t="s">
        <v>1526</v>
      </c>
      <c r="C614" s="1" t="s">
        <v>695</v>
      </c>
      <c r="D614" s="1" t="s">
        <v>764</v>
      </c>
      <c r="E614" s="1" t="s">
        <v>7</v>
      </c>
    </row>
    <row r="615" customFormat="false" ht="16" hidden="false" customHeight="false" outlineLevel="0" collapsed="false">
      <c r="A615" s="1" t="s">
        <v>1527</v>
      </c>
      <c r="B615" s="1" t="s">
        <v>1526</v>
      </c>
      <c r="C615" s="1" t="s">
        <v>695</v>
      </c>
      <c r="D615" s="1" t="s">
        <v>766</v>
      </c>
      <c r="E615" s="1" t="s">
        <v>7</v>
      </c>
    </row>
    <row r="616" customFormat="false" ht="16" hidden="false" customHeight="false" outlineLevel="0" collapsed="false">
      <c r="A616" s="1" t="s">
        <v>1528</v>
      </c>
      <c r="B616" s="1" t="s">
        <v>1526</v>
      </c>
      <c r="C616" s="1" t="s">
        <v>695</v>
      </c>
      <c r="D616" s="1" t="s">
        <v>768</v>
      </c>
      <c r="E616" s="1" t="s">
        <v>7</v>
      </c>
    </row>
    <row r="617" customFormat="false" ht="16" hidden="false" customHeight="false" outlineLevel="0" collapsed="false">
      <c r="A617" s="1" t="s">
        <v>1529</v>
      </c>
      <c r="B617" s="1" t="s">
        <v>1526</v>
      </c>
      <c r="C617" s="1" t="s">
        <v>695</v>
      </c>
      <c r="D617" s="1" t="s">
        <v>770</v>
      </c>
      <c r="E617" s="1" t="s">
        <v>7</v>
      </c>
    </row>
    <row r="618" customFormat="false" ht="16" hidden="false" customHeight="false" outlineLevel="0" collapsed="false">
      <c r="A618" s="1" t="s">
        <v>1530</v>
      </c>
      <c r="B618" s="1" t="s">
        <v>1526</v>
      </c>
      <c r="C618" s="1" t="s">
        <v>695</v>
      </c>
      <c r="D618" s="1" t="s">
        <v>696</v>
      </c>
      <c r="E618" s="1" t="s">
        <v>7</v>
      </c>
    </row>
    <row r="619" customFormat="false" ht="16" hidden="false" customHeight="false" outlineLevel="0" collapsed="false">
      <c r="A619" s="1" t="s">
        <v>1531</v>
      </c>
      <c r="B619" s="1" t="s">
        <v>1532</v>
      </c>
      <c r="C619" s="1" t="s">
        <v>695</v>
      </c>
      <c r="D619" s="1" t="s">
        <v>764</v>
      </c>
      <c r="E619" s="1" t="s">
        <v>7</v>
      </c>
    </row>
    <row r="620" customFormat="false" ht="16" hidden="false" customHeight="false" outlineLevel="0" collapsed="false">
      <c r="A620" s="1" t="s">
        <v>1533</v>
      </c>
      <c r="B620" s="1" t="s">
        <v>1532</v>
      </c>
      <c r="C620" s="1" t="s">
        <v>695</v>
      </c>
      <c r="D620" s="1" t="s">
        <v>766</v>
      </c>
      <c r="E620" s="1" t="s">
        <v>7</v>
      </c>
    </row>
    <row r="621" customFormat="false" ht="16" hidden="false" customHeight="false" outlineLevel="0" collapsed="false">
      <c r="A621" s="1" t="s">
        <v>1534</v>
      </c>
      <c r="B621" s="1" t="s">
        <v>1532</v>
      </c>
      <c r="C621" s="1" t="s">
        <v>695</v>
      </c>
      <c r="D621" s="1" t="s">
        <v>768</v>
      </c>
      <c r="E621" s="1" t="s">
        <v>7</v>
      </c>
    </row>
    <row r="622" customFormat="false" ht="16" hidden="false" customHeight="false" outlineLevel="0" collapsed="false">
      <c r="A622" s="1" t="s">
        <v>1535</v>
      </c>
      <c r="B622" s="1" t="s">
        <v>1532</v>
      </c>
      <c r="C622" s="1" t="s">
        <v>695</v>
      </c>
      <c r="D622" s="1" t="s">
        <v>770</v>
      </c>
      <c r="E622" s="1" t="s">
        <v>7</v>
      </c>
    </row>
    <row r="623" customFormat="false" ht="16" hidden="false" customHeight="false" outlineLevel="0" collapsed="false">
      <c r="A623" s="1" t="s">
        <v>1536</v>
      </c>
      <c r="B623" s="1" t="s">
        <v>1532</v>
      </c>
      <c r="C623" s="1" t="s">
        <v>695</v>
      </c>
      <c r="D623" s="1" t="s">
        <v>696</v>
      </c>
      <c r="E623" s="1" t="s">
        <v>7</v>
      </c>
    </row>
    <row r="624" customFormat="false" ht="16" hidden="false" customHeight="false" outlineLevel="0" collapsed="false">
      <c r="A624" s="1" t="s">
        <v>1537</v>
      </c>
      <c r="B624" s="1" t="s">
        <v>1538</v>
      </c>
      <c r="C624" s="1" t="s">
        <v>695</v>
      </c>
      <c r="D624" s="1" t="s">
        <v>764</v>
      </c>
      <c r="E624" s="1" t="s">
        <v>7</v>
      </c>
    </row>
    <row r="625" customFormat="false" ht="16" hidden="false" customHeight="false" outlineLevel="0" collapsed="false">
      <c r="A625" s="1" t="s">
        <v>1539</v>
      </c>
      <c r="B625" s="1" t="s">
        <v>1538</v>
      </c>
      <c r="C625" s="1" t="s">
        <v>695</v>
      </c>
      <c r="D625" s="1" t="s">
        <v>766</v>
      </c>
      <c r="E625" s="1" t="s">
        <v>7</v>
      </c>
    </row>
    <row r="626" customFormat="false" ht="16" hidden="false" customHeight="false" outlineLevel="0" collapsed="false">
      <c r="A626" s="1" t="s">
        <v>1540</v>
      </c>
      <c r="B626" s="1" t="s">
        <v>1538</v>
      </c>
      <c r="C626" s="1" t="s">
        <v>695</v>
      </c>
      <c r="D626" s="1" t="s">
        <v>768</v>
      </c>
      <c r="E626" s="1" t="s">
        <v>7</v>
      </c>
    </row>
    <row r="627" customFormat="false" ht="16" hidden="false" customHeight="false" outlineLevel="0" collapsed="false">
      <c r="A627" s="1" t="s">
        <v>1541</v>
      </c>
      <c r="B627" s="1" t="s">
        <v>1538</v>
      </c>
      <c r="C627" s="1" t="s">
        <v>695</v>
      </c>
      <c r="D627" s="1" t="s">
        <v>770</v>
      </c>
      <c r="E627" s="1" t="s">
        <v>7</v>
      </c>
    </row>
    <row r="628" customFormat="false" ht="16" hidden="false" customHeight="false" outlineLevel="0" collapsed="false">
      <c r="A628" s="1" t="s">
        <v>1542</v>
      </c>
      <c r="B628" s="1" t="s">
        <v>1538</v>
      </c>
      <c r="C628" s="1" t="s">
        <v>695</v>
      </c>
      <c r="D628" s="1" t="s">
        <v>696</v>
      </c>
      <c r="E628" s="1" t="s">
        <v>7</v>
      </c>
    </row>
    <row r="629" customFormat="false" ht="16" hidden="false" customHeight="false" outlineLevel="0" collapsed="false">
      <c r="A629" s="1" t="s">
        <v>1543</v>
      </c>
      <c r="B629" s="1" t="s">
        <v>1544</v>
      </c>
      <c r="C629" s="1" t="s">
        <v>695</v>
      </c>
      <c r="D629" s="1" t="s">
        <v>764</v>
      </c>
      <c r="E629" s="1" t="s">
        <v>7</v>
      </c>
    </row>
    <row r="630" customFormat="false" ht="16" hidden="false" customHeight="false" outlineLevel="0" collapsed="false">
      <c r="A630" s="1" t="s">
        <v>1545</v>
      </c>
      <c r="B630" s="1" t="s">
        <v>1544</v>
      </c>
      <c r="C630" s="1" t="s">
        <v>695</v>
      </c>
      <c r="D630" s="1" t="s">
        <v>766</v>
      </c>
      <c r="E630" s="1" t="s">
        <v>7</v>
      </c>
    </row>
    <row r="631" customFormat="false" ht="16" hidden="false" customHeight="false" outlineLevel="0" collapsed="false">
      <c r="A631" s="1" t="s">
        <v>1546</v>
      </c>
      <c r="B631" s="1" t="s">
        <v>1544</v>
      </c>
      <c r="C631" s="1" t="s">
        <v>695</v>
      </c>
      <c r="D631" s="1" t="s">
        <v>768</v>
      </c>
      <c r="E631" s="1" t="s">
        <v>7</v>
      </c>
    </row>
    <row r="632" customFormat="false" ht="16" hidden="false" customHeight="false" outlineLevel="0" collapsed="false">
      <c r="A632" s="1" t="s">
        <v>1547</v>
      </c>
      <c r="B632" s="1" t="s">
        <v>1544</v>
      </c>
      <c r="C632" s="1" t="s">
        <v>695</v>
      </c>
      <c r="D632" s="1" t="s">
        <v>770</v>
      </c>
      <c r="E632" s="1" t="s">
        <v>7</v>
      </c>
    </row>
    <row r="633" customFormat="false" ht="16" hidden="false" customHeight="false" outlineLevel="0" collapsed="false">
      <c r="A633" s="1" t="s">
        <v>1548</v>
      </c>
      <c r="B633" s="1" t="s">
        <v>1544</v>
      </c>
      <c r="C633" s="1" t="s">
        <v>695</v>
      </c>
      <c r="D633" s="1" t="s">
        <v>696</v>
      </c>
      <c r="E633" s="1" t="s">
        <v>7</v>
      </c>
    </row>
    <row r="634" customFormat="false" ht="16" hidden="false" customHeight="false" outlineLevel="0" collapsed="false">
      <c r="A634" s="1" t="s">
        <v>1549</v>
      </c>
      <c r="B634" s="1" t="s">
        <v>1550</v>
      </c>
      <c r="C634" s="1" t="s">
        <v>695</v>
      </c>
      <c r="D634" s="1" t="s">
        <v>764</v>
      </c>
      <c r="E634" s="1" t="s">
        <v>7</v>
      </c>
    </row>
    <row r="635" customFormat="false" ht="16" hidden="false" customHeight="false" outlineLevel="0" collapsed="false">
      <c r="A635" s="1" t="s">
        <v>1551</v>
      </c>
      <c r="B635" s="1" t="s">
        <v>1550</v>
      </c>
      <c r="C635" s="1" t="s">
        <v>695</v>
      </c>
      <c r="D635" s="1" t="s">
        <v>766</v>
      </c>
      <c r="E635" s="1" t="s">
        <v>7</v>
      </c>
    </row>
    <row r="636" customFormat="false" ht="16" hidden="false" customHeight="false" outlineLevel="0" collapsed="false">
      <c r="A636" s="1" t="s">
        <v>1552</v>
      </c>
      <c r="B636" s="1" t="s">
        <v>1550</v>
      </c>
      <c r="C636" s="1" t="s">
        <v>695</v>
      </c>
      <c r="D636" s="1" t="s">
        <v>768</v>
      </c>
      <c r="E636" s="1" t="s">
        <v>7</v>
      </c>
    </row>
    <row r="637" customFormat="false" ht="16" hidden="false" customHeight="false" outlineLevel="0" collapsed="false">
      <c r="A637" s="1" t="s">
        <v>1553</v>
      </c>
      <c r="B637" s="1" t="s">
        <v>1550</v>
      </c>
      <c r="C637" s="1" t="s">
        <v>695</v>
      </c>
      <c r="D637" s="1" t="s">
        <v>770</v>
      </c>
      <c r="E637" s="1" t="s">
        <v>7</v>
      </c>
    </row>
    <row r="638" customFormat="false" ht="16" hidden="false" customHeight="false" outlineLevel="0" collapsed="false">
      <c r="A638" s="1" t="s">
        <v>1554</v>
      </c>
      <c r="B638" s="1" t="s">
        <v>1550</v>
      </c>
      <c r="C638" s="1" t="s">
        <v>695</v>
      </c>
      <c r="D638" s="1" t="s">
        <v>696</v>
      </c>
      <c r="E638" s="1" t="s">
        <v>7</v>
      </c>
    </row>
    <row r="639" customFormat="false" ht="16" hidden="false" customHeight="false" outlineLevel="0" collapsed="false">
      <c r="A639" s="1" t="s">
        <v>1555</v>
      </c>
      <c r="B639" s="1" t="s">
        <v>1556</v>
      </c>
      <c r="C639" s="1" t="s">
        <v>695</v>
      </c>
      <c r="D639" s="1" t="s">
        <v>764</v>
      </c>
      <c r="E639" s="1" t="s">
        <v>7</v>
      </c>
    </row>
    <row r="640" customFormat="false" ht="16" hidden="false" customHeight="false" outlineLevel="0" collapsed="false">
      <c r="A640" s="1" t="s">
        <v>1557</v>
      </c>
      <c r="B640" s="1" t="s">
        <v>1556</v>
      </c>
      <c r="C640" s="1" t="s">
        <v>695</v>
      </c>
      <c r="D640" s="1" t="s">
        <v>766</v>
      </c>
      <c r="E640" s="1" t="s">
        <v>7</v>
      </c>
    </row>
    <row r="641" customFormat="false" ht="16" hidden="false" customHeight="false" outlineLevel="0" collapsed="false">
      <c r="A641" s="1" t="s">
        <v>1558</v>
      </c>
      <c r="B641" s="1" t="s">
        <v>1556</v>
      </c>
      <c r="C641" s="1" t="s">
        <v>695</v>
      </c>
      <c r="D641" s="1" t="s">
        <v>768</v>
      </c>
      <c r="E641" s="1" t="s">
        <v>7</v>
      </c>
    </row>
    <row r="642" customFormat="false" ht="16" hidden="false" customHeight="false" outlineLevel="0" collapsed="false">
      <c r="A642" s="1" t="s">
        <v>1559</v>
      </c>
      <c r="B642" s="1" t="s">
        <v>1556</v>
      </c>
      <c r="C642" s="1" t="s">
        <v>695</v>
      </c>
      <c r="D642" s="1" t="s">
        <v>770</v>
      </c>
      <c r="E642" s="1" t="s">
        <v>7</v>
      </c>
    </row>
    <row r="643" customFormat="false" ht="16" hidden="false" customHeight="false" outlineLevel="0" collapsed="false">
      <c r="A643" s="1" t="s">
        <v>1560</v>
      </c>
      <c r="B643" s="1" t="s">
        <v>1556</v>
      </c>
      <c r="C643" s="1" t="s">
        <v>695</v>
      </c>
      <c r="D643" s="1" t="s">
        <v>696</v>
      </c>
      <c r="E643" s="1" t="s">
        <v>7</v>
      </c>
    </row>
    <row r="644" customFormat="false" ht="16" hidden="false" customHeight="false" outlineLevel="0" collapsed="false">
      <c r="A644" s="1" t="s">
        <v>1561</v>
      </c>
      <c r="B644" s="1" t="s">
        <v>1562</v>
      </c>
      <c r="C644" s="1" t="s">
        <v>695</v>
      </c>
      <c r="D644" s="1" t="s">
        <v>764</v>
      </c>
      <c r="E644" s="1" t="s">
        <v>7</v>
      </c>
    </row>
    <row r="645" customFormat="false" ht="16" hidden="false" customHeight="false" outlineLevel="0" collapsed="false">
      <c r="A645" s="1" t="s">
        <v>1563</v>
      </c>
      <c r="B645" s="1" t="s">
        <v>1562</v>
      </c>
      <c r="C645" s="1" t="s">
        <v>695</v>
      </c>
      <c r="D645" s="1" t="s">
        <v>766</v>
      </c>
      <c r="E645" s="1" t="s">
        <v>7</v>
      </c>
    </row>
    <row r="646" customFormat="false" ht="16" hidden="false" customHeight="false" outlineLevel="0" collapsed="false">
      <c r="A646" s="1" t="s">
        <v>1564</v>
      </c>
      <c r="B646" s="1" t="s">
        <v>1562</v>
      </c>
      <c r="C646" s="1" t="s">
        <v>695</v>
      </c>
      <c r="D646" s="1" t="s">
        <v>768</v>
      </c>
      <c r="E646" s="1" t="s">
        <v>7</v>
      </c>
    </row>
    <row r="647" customFormat="false" ht="16" hidden="false" customHeight="false" outlineLevel="0" collapsed="false">
      <c r="A647" s="1" t="s">
        <v>1565</v>
      </c>
      <c r="B647" s="1" t="s">
        <v>1562</v>
      </c>
      <c r="C647" s="1" t="s">
        <v>695</v>
      </c>
      <c r="D647" s="1" t="s">
        <v>770</v>
      </c>
      <c r="E647" s="1" t="s">
        <v>7</v>
      </c>
    </row>
    <row r="648" customFormat="false" ht="16" hidden="false" customHeight="false" outlineLevel="0" collapsed="false">
      <c r="A648" s="1" t="s">
        <v>1566</v>
      </c>
      <c r="B648" s="1" t="s">
        <v>1562</v>
      </c>
      <c r="C648" s="1" t="s">
        <v>695</v>
      </c>
      <c r="D648" s="1" t="s">
        <v>696</v>
      </c>
      <c r="E648" s="1" t="s">
        <v>7</v>
      </c>
    </row>
    <row r="649" customFormat="false" ht="16" hidden="false" customHeight="false" outlineLevel="0" collapsed="false">
      <c r="A649" s="1" t="s">
        <v>1567</v>
      </c>
      <c r="B649" s="1" t="s">
        <v>1568</v>
      </c>
      <c r="C649" s="1" t="s">
        <v>695</v>
      </c>
      <c r="D649" s="1" t="s">
        <v>764</v>
      </c>
      <c r="E649" s="1" t="s">
        <v>7</v>
      </c>
    </row>
    <row r="650" customFormat="false" ht="16" hidden="false" customHeight="false" outlineLevel="0" collapsed="false">
      <c r="A650" s="1" t="s">
        <v>1569</v>
      </c>
      <c r="B650" s="1" t="s">
        <v>1568</v>
      </c>
      <c r="C650" s="1" t="s">
        <v>695</v>
      </c>
      <c r="D650" s="1" t="s">
        <v>766</v>
      </c>
      <c r="E650" s="1" t="s">
        <v>7</v>
      </c>
    </row>
    <row r="651" customFormat="false" ht="16" hidden="false" customHeight="false" outlineLevel="0" collapsed="false">
      <c r="A651" s="1" t="s">
        <v>1570</v>
      </c>
      <c r="B651" s="1" t="s">
        <v>1568</v>
      </c>
      <c r="C651" s="1" t="s">
        <v>695</v>
      </c>
      <c r="D651" s="1" t="s">
        <v>768</v>
      </c>
      <c r="E651" s="1" t="s">
        <v>7</v>
      </c>
    </row>
    <row r="652" customFormat="false" ht="16" hidden="false" customHeight="false" outlineLevel="0" collapsed="false">
      <c r="A652" s="1" t="s">
        <v>1571</v>
      </c>
      <c r="B652" s="1" t="s">
        <v>1568</v>
      </c>
      <c r="C652" s="1" t="s">
        <v>695</v>
      </c>
      <c r="D652" s="1" t="s">
        <v>770</v>
      </c>
      <c r="E652" s="1" t="s">
        <v>7</v>
      </c>
    </row>
    <row r="653" customFormat="false" ht="16" hidden="false" customHeight="false" outlineLevel="0" collapsed="false">
      <c r="A653" s="1" t="s">
        <v>1572</v>
      </c>
      <c r="B653" s="1" t="s">
        <v>1568</v>
      </c>
      <c r="C653" s="1" t="s">
        <v>695</v>
      </c>
      <c r="D653" s="1" t="s">
        <v>696</v>
      </c>
      <c r="E653" s="1" t="s">
        <v>7</v>
      </c>
    </row>
    <row r="654" customFormat="false" ht="16" hidden="false" customHeight="false" outlineLevel="0" collapsed="false">
      <c r="A654" s="1" t="s">
        <v>1573</v>
      </c>
      <c r="B654" s="1" t="s">
        <v>1574</v>
      </c>
      <c r="C654" s="1" t="s">
        <v>695</v>
      </c>
      <c r="D654" s="1" t="s">
        <v>764</v>
      </c>
      <c r="E654" s="1" t="s">
        <v>7</v>
      </c>
    </row>
    <row r="655" customFormat="false" ht="16" hidden="false" customHeight="false" outlineLevel="0" collapsed="false">
      <c r="A655" s="1" t="s">
        <v>1575</v>
      </c>
      <c r="B655" s="1" t="s">
        <v>1574</v>
      </c>
      <c r="C655" s="1" t="s">
        <v>695</v>
      </c>
      <c r="D655" s="1" t="s">
        <v>766</v>
      </c>
      <c r="E655" s="1" t="s">
        <v>7</v>
      </c>
    </row>
    <row r="656" customFormat="false" ht="16" hidden="false" customHeight="false" outlineLevel="0" collapsed="false">
      <c r="A656" s="1" t="s">
        <v>1576</v>
      </c>
      <c r="B656" s="1" t="s">
        <v>1574</v>
      </c>
      <c r="C656" s="1" t="s">
        <v>695</v>
      </c>
      <c r="D656" s="1" t="s">
        <v>768</v>
      </c>
      <c r="E656" s="1" t="s">
        <v>7</v>
      </c>
    </row>
    <row r="657" customFormat="false" ht="16" hidden="false" customHeight="false" outlineLevel="0" collapsed="false">
      <c r="A657" s="1" t="s">
        <v>1577</v>
      </c>
      <c r="B657" s="1" t="s">
        <v>1574</v>
      </c>
      <c r="C657" s="1" t="s">
        <v>695</v>
      </c>
      <c r="D657" s="1" t="s">
        <v>770</v>
      </c>
      <c r="E657" s="1" t="s">
        <v>7</v>
      </c>
    </row>
    <row r="658" customFormat="false" ht="16" hidden="false" customHeight="false" outlineLevel="0" collapsed="false">
      <c r="A658" s="1" t="s">
        <v>1578</v>
      </c>
      <c r="B658" s="1" t="s">
        <v>1574</v>
      </c>
      <c r="C658" s="1" t="s">
        <v>695</v>
      </c>
      <c r="D658" s="1" t="s">
        <v>696</v>
      </c>
      <c r="E658" s="1" t="s">
        <v>7</v>
      </c>
    </row>
    <row r="659" customFormat="false" ht="16" hidden="false" customHeight="false" outlineLevel="0" collapsed="false">
      <c r="A659" s="1" t="s">
        <v>1579</v>
      </c>
      <c r="B659" s="1" t="s">
        <v>1580</v>
      </c>
      <c r="C659" s="1" t="s">
        <v>695</v>
      </c>
      <c r="D659" s="1" t="s">
        <v>764</v>
      </c>
      <c r="E659" s="1" t="s">
        <v>7</v>
      </c>
    </row>
    <row r="660" customFormat="false" ht="16" hidden="false" customHeight="false" outlineLevel="0" collapsed="false">
      <c r="A660" s="1" t="s">
        <v>1581</v>
      </c>
      <c r="B660" s="1" t="s">
        <v>1580</v>
      </c>
      <c r="C660" s="1" t="s">
        <v>695</v>
      </c>
      <c r="D660" s="1" t="s">
        <v>766</v>
      </c>
      <c r="E660" s="1" t="s">
        <v>7</v>
      </c>
    </row>
    <row r="661" customFormat="false" ht="16" hidden="false" customHeight="false" outlineLevel="0" collapsed="false">
      <c r="A661" s="1" t="s">
        <v>1582</v>
      </c>
      <c r="B661" s="1" t="s">
        <v>1580</v>
      </c>
      <c r="C661" s="1" t="s">
        <v>695</v>
      </c>
      <c r="D661" s="1" t="s">
        <v>768</v>
      </c>
      <c r="E661" s="1" t="s">
        <v>7</v>
      </c>
    </row>
    <row r="662" customFormat="false" ht="16" hidden="false" customHeight="false" outlineLevel="0" collapsed="false">
      <c r="A662" s="1" t="s">
        <v>1583</v>
      </c>
      <c r="B662" s="1" t="s">
        <v>1580</v>
      </c>
      <c r="C662" s="1" t="s">
        <v>695</v>
      </c>
      <c r="D662" s="1" t="s">
        <v>770</v>
      </c>
      <c r="E662" s="1" t="s">
        <v>7</v>
      </c>
    </row>
    <row r="663" customFormat="false" ht="16" hidden="false" customHeight="false" outlineLevel="0" collapsed="false">
      <c r="A663" s="1" t="s">
        <v>1584</v>
      </c>
      <c r="B663" s="1" t="s">
        <v>1580</v>
      </c>
      <c r="C663" s="1" t="s">
        <v>695</v>
      </c>
      <c r="D663" s="1" t="s">
        <v>696</v>
      </c>
      <c r="E663" s="1" t="s">
        <v>7</v>
      </c>
    </row>
    <row r="664" customFormat="false" ht="16" hidden="false" customHeight="false" outlineLevel="0" collapsed="false">
      <c r="A664" s="1" t="s">
        <v>1585</v>
      </c>
      <c r="B664" s="1" t="s">
        <v>1586</v>
      </c>
      <c r="C664" s="1" t="s">
        <v>695</v>
      </c>
      <c r="D664" s="1" t="s">
        <v>764</v>
      </c>
      <c r="E664" s="1" t="s">
        <v>7</v>
      </c>
    </row>
    <row r="665" customFormat="false" ht="16" hidden="false" customHeight="false" outlineLevel="0" collapsed="false">
      <c r="A665" s="1" t="s">
        <v>1587</v>
      </c>
      <c r="B665" s="1" t="s">
        <v>1586</v>
      </c>
      <c r="C665" s="1" t="s">
        <v>695</v>
      </c>
      <c r="D665" s="1" t="s">
        <v>766</v>
      </c>
      <c r="E665" s="1" t="s">
        <v>7</v>
      </c>
    </row>
    <row r="666" customFormat="false" ht="16" hidden="false" customHeight="false" outlineLevel="0" collapsed="false">
      <c r="A666" s="1" t="s">
        <v>1588</v>
      </c>
      <c r="B666" s="1" t="s">
        <v>1586</v>
      </c>
      <c r="C666" s="1" t="s">
        <v>695</v>
      </c>
      <c r="D666" s="1" t="s">
        <v>768</v>
      </c>
      <c r="E666" s="1" t="s">
        <v>7</v>
      </c>
    </row>
    <row r="667" customFormat="false" ht="16" hidden="false" customHeight="false" outlineLevel="0" collapsed="false">
      <c r="A667" s="1" t="s">
        <v>1589</v>
      </c>
      <c r="B667" s="1" t="s">
        <v>1586</v>
      </c>
      <c r="C667" s="1" t="s">
        <v>695</v>
      </c>
      <c r="D667" s="1" t="s">
        <v>770</v>
      </c>
      <c r="E667" s="1" t="s">
        <v>7</v>
      </c>
    </row>
    <row r="668" customFormat="false" ht="16" hidden="false" customHeight="false" outlineLevel="0" collapsed="false">
      <c r="A668" s="1" t="s">
        <v>1590</v>
      </c>
      <c r="B668" s="1" t="s">
        <v>1586</v>
      </c>
      <c r="C668" s="1" t="s">
        <v>695</v>
      </c>
      <c r="D668" s="1" t="s">
        <v>696</v>
      </c>
      <c r="E668" s="1" t="s">
        <v>7</v>
      </c>
    </row>
    <row r="669" customFormat="false" ht="16" hidden="false" customHeight="false" outlineLevel="0" collapsed="false">
      <c r="A669" s="1" t="s">
        <v>1591</v>
      </c>
      <c r="B669" s="1" t="s">
        <v>1592</v>
      </c>
      <c r="C669" s="1" t="s">
        <v>695</v>
      </c>
      <c r="D669" s="1" t="s">
        <v>764</v>
      </c>
      <c r="E669" s="1" t="s">
        <v>7</v>
      </c>
    </row>
    <row r="670" customFormat="false" ht="16" hidden="false" customHeight="false" outlineLevel="0" collapsed="false">
      <c r="A670" s="1" t="s">
        <v>1593</v>
      </c>
      <c r="B670" s="1" t="s">
        <v>1592</v>
      </c>
      <c r="C670" s="1" t="s">
        <v>695</v>
      </c>
      <c r="D670" s="1" t="s">
        <v>766</v>
      </c>
      <c r="E670" s="1" t="s">
        <v>7</v>
      </c>
    </row>
    <row r="671" customFormat="false" ht="16" hidden="false" customHeight="false" outlineLevel="0" collapsed="false">
      <c r="A671" s="1" t="s">
        <v>1594</v>
      </c>
      <c r="B671" s="1" t="s">
        <v>1592</v>
      </c>
      <c r="C671" s="1" t="s">
        <v>695</v>
      </c>
      <c r="D671" s="1" t="s">
        <v>768</v>
      </c>
      <c r="E671" s="1" t="s">
        <v>7</v>
      </c>
    </row>
    <row r="672" customFormat="false" ht="16" hidden="false" customHeight="false" outlineLevel="0" collapsed="false">
      <c r="A672" s="1" t="s">
        <v>1595</v>
      </c>
      <c r="B672" s="1" t="s">
        <v>1592</v>
      </c>
      <c r="C672" s="1" t="s">
        <v>695</v>
      </c>
      <c r="D672" s="1" t="s">
        <v>770</v>
      </c>
      <c r="E672" s="1" t="s">
        <v>7</v>
      </c>
    </row>
    <row r="673" customFormat="false" ht="16" hidden="false" customHeight="false" outlineLevel="0" collapsed="false">
      <c r="A673" s="1" t="s">
        <v>1596</v>
      </c>
      <c r="B673" s="1" t="s">
        <v>1592</v>
      </c>
      <c r="C673" s="1" t="s">
        <v>695</v>
      </c>
      <c r="D673" s="1" t="s">
        <v>696</v>
      </c>
      <c r="E673" s="1" t="s">
        <v>7</v>
      </c>
    </row>
    <row r="674" customFormat="false" ht="16" hidden="false" customHeight="false" outlineLevel="0" collapsed="false">
      <c r="A674" s="1" t="s">
        <v>1597</v>
      </c>
      <c r="B674" s="1" t="s">
        <v>1598</v>
      </c>
      <c r="C674" s="1" t="s">
        <v>695</v>
      </c>
      <c r="D674" s="1" t="s">
        <v>764</v>
      </c>
      <c r="E674" s="1" t="s">
        <v>7</v>
      </c>
    </row>
    <row r="675" customFormat="false" ht="16" hidden="false" customHeight="false" outlineLevel="0" collapsed="false">
      <c r="A675" s="1" t="s">
        <v>1599</v>
      </c>
      <c r="B675" s="1" t="s">
        <v>1598</v>
      </c>
      <c r="C675" s="1" t="s">
        <v>695</v>
      </c>
      <c r="D675" s="1" t="s">
        <v>766</v>
      </c>
      <c r="E675" s="1" t="s">
        <v>7</v>
      </c>
    </row>
    <row r="676" customFormat="false" ht="16" hidden="false" customHeight="false" outlineLevel="0" collapsed="false">
      <c r="A676" s="1" t="s">
        <v>1600</v>
      </c>
      <c r="B676" s="1" t="s">
        <v>1598</v>
      </c>
      <c r="C676" s="1" t="s">
        <v>695</v>
      </c>
      <c r="D676" s="1" t="s">
        <v>768</v>
      </c>
      <c r="E676" s="1" t="s">
        <v>7</v>
      </c>
    </row>
    <row r="677" customFormat="false" ht="16" hidden="false" customHeight="false" outlineLevel="0" collapsed="false">
      <c r="A677" s="1" t="s">
        <v>1601</v>
      </c>
      <c r="B677" s="1" t="s">
        <v>1598</v>
      </c>
      <c r="C677" s="1" t="s">
        <v>695</v>
      </c>
      <c r="D677" s="1" t="s">
        <v>770</v>
      </c>
      <c r="E677" s="1" t="s">
        <v>7</v>
      </c>
    </row>
    <row r="678" customFormat="false" ht="16" hidden="false" customHeight="false" outlineLevel="0" collapsed="false">
      <c r="A678" s="1" t="s">
        <v>1602</v>
      </c>
      <c r="B678" s="1" t="s">
        <v>1598</v>
      </c>
      <c r="C678" s="1" t="s">
        <v>695</v>
      </c>
      <c r="D678" s="1" t="s">
        <v>696</v>
      </c>
      <c r="E678" s="1" t="s">
        <v>7</v>
      </c>
    </row>
    <row r="679" customFormat="false" ht="16" hidden="false" customHeight="false" outlineLevel="0" collapsed="false">
      <c r="A679" s="1" t="s">
        <v>1603</v>
      </c>
      <c r="B679" s="1" t="s">
        <v>1604</v>
      </c>
      <c r="C679" s="1" t="s">
        <v>695</v>
      </c>
      <c r="D679" s="1" t="s">
        <v>764</v>
      </c>
      <c r="E679" s="1" t="s">
        <v>7</v>
      </c>
    </row>
    <row r="680" customFormat="false" ht="16" hidden="false" customHeight="false" outlineLevel="0" collapsed="false">
      <c r="A680" s="1" t="s">
        <v>1605</v>
      </c>
      <c r="B680" s="1" t="s">
        <v>1604</v>
      </c>
      <c r="C680" s="1" t="s">
        <v>695</v>
      </c>
      <c r="D680" s="1" t="s">
        <v>766</v>
      </c>
      <c r="E680" s="1" t="s">
        <v>7</v>
      </c>
    </row>
    <row r="681" customFormat="false" ht="16" hidden="false" customHeight="false" outlineLevel="0" collapsed="false">
      <c r="A681" s="1" t="s">
        <v>1606</v>
      </c>
      <c r="B681" s="1" t="s">
        <v>1604</v>
      </c>
      <c r="C681" s="1" t="s">
        <v>695</v>
      </c>
      <c r="D681" s="1" t="s">
        <v>768</v>
      </c>
      <c r="E681" s="1" t="s">
        <v>7</v>
      </c>
    </row>
    <row r="682" customFormat="false" ht="16" hidden="false" customHeight="false" outlineLevel="0" collapsed="false">
      <c r="A682" s="1" t="s">
        <v>1607</v>
      </c>
      <c r="B682" s="1" t="s">
        <v>1604</v>
      </c>
      <c r="C682" s="1" t="s">
        <v>695</v>
      </c>
      <c r="D682" s="1" t="s">
        <v>770</v>
      </c>
      <c r="E682" s="1" t="s">
        <v>7</v>
      </c>
    </row>
    <row r="683" customFormat="false" ht="16" hidden="false" customHeight="false" outlineLevel="0" collapsed="false">
      <c r="A683" s="1" t="s">
        <v>1608</v>
      </c>
      <c r="B683" s="1" t="s">
        <v>1604</v>
      </c>
      <c r="C683" s="1" t="s">
        <v>695</v>
      </c>
      <c r="D683" s="1" t="s">
        <v>696</v>
      </c>
      <c r="E683" s="1" t="s">
        <v>7</v>
      </c>
    </row>
    <row r="684" customFormat="false" ht="16" hidden="false" customHeight="false" outlineLevel="0" collapsed="false">
      <c r="A684" s="1" t="s">
        <v>1609</v>
      </c>
      <c r="B684" s="1" t="s">
        <v>1610</v>
      </c>
      <c r="C684" s="1" t="s">
        <v>695</v>
      </c>
      <c r="D684" s="1" t="s">
        <v>768</v>
      </c>
      <c r="E684" s="1" t="s">
        <v>7</v>
      </c>
    </row>
    <row r="685" customFormat="false" ht="16" hidden="false" customHeight="false" outlineLevel="0" collapsed="false">
      <c r="A685" s="1" t="s">
        <v>1611</v>
      </c>
      <c r="B685" s="1" t="s">
        <v>1612</v>
      </c>
      <c r="C685" s="1" t="s">
        <v>695</v>
      </c>
      <c r="D685" s="1" t="s">
        <v>764</v>
      </c>
      <c r="E685" s="1" t="s">
        <v>7</v>
      </c>
    </row>
    <row r="686" customFormat="false" ht="16" hidden="false" customHeight="false" outlineLevel="0" collapsed="false">
      <c r="A686" s="1" t="s">
        <v>1613</v>
      </c>
      <c r="B686" s="1" t="s">
        <v>1612</v>
      </c>
      <c r="C686" s="1" t="s">
        <v>695</v>
      </c>
      <c r="D686" s="1" t="s">
        <v>766</v>
      </c>
      <c r="E686" s="1" t="s">
        <v>7</v>
      </c>
    </row>
    <row r="687" customFormat="false" ht="16" hidden="false" customHeight="false" outlineLevel="0" collapsed="false">
      <c r="A687" s="1" t="s">
        <v>1614</v>
      </c>
      <c r="B687" s="1" t="s">
        <v>1612</v>
      </c>
      <c r="C687" s="1" t="s">
        <v>695</v>
      </c>
      <c r="D687" s="1" t="s">
        <v>768</v>
      </c>
      <c r="E687" s="1" t="s">
        <v>7</v>
      </c>
    </row>
    <row r="688" customFormat="false" ht="16" hidden="false" customHeight="false" outlineLevel="0" collapsed="false">
      <c r="A688" s="1" t="s">
        <v>1615</v>
      </c>
      <c r="B688" s="1" t="s">
        <v>1612</v>
      </c>
      <c r="C688" s="1" t="s">
        <v>695</v>
      </c>
      <c r="D688" s="1" t="s">
        <v>770</v>
      </c>
      <c r="E688" s="1" t="s">
        <v>7</v>
      </c>
    </row>
    <row r="689" customFormat="false" ht="16" hidden="false" customHeight="false" outlineLevel="0" collapsed="false">
      <c r="A689" s="1" t="s">
        <v>1616</v>
      </c>
      <c r="B689" s="1" t="s">
        <v>1612</v>
      </c>
      <c r="C689" s="1" t="s">
        <v>695</v>
      </c>
      <c r="D689" s="1" t="s">
        <v>696</v>
      </c>
      <c r="E689" s="1" t="s">
        <v>7</v>
      </c>
    </row>
    <row r="690" customFormat="false" ht="16" hidden="false" customHeight="false" outlineLevel="0" collapsed="false">
      <c r="A690" s="1" t="s">
        <v>1617</v>
      </c>
      <c r="B690" s="1" t="s">
        <v>1618</v>
      </c>
      <c r="C690" s="1" t="s">
        <v>695</v>
      </c>
      <c r="D690" s="1" t="s">
        <v>764</v>
      </c>
      <c r="E690" s="1" t="s">
        <v>7</v>
      </c>
    </row>
    <row r="691" customFormat="false" ht="16" hidden="false" customHeight="false" outlineLevel="0" collapsed="false">
      <c r="A691" s="1" t="s">
        <v>1619</v>
      </c>
      <c r="B691" s="1" t="s">
        <v>1618</v>
      </c>
      <c r="C691" s="1" t="s">
        <v>695</v>
      </c>
      <c r="D691" s="1" t="s">
        <v>766</v>
      </c>
      <c r="E691" s="1" t="s">
        <v>7</v>
      </c>
    </row>
    <row r="692" customFormat="false" ht="16" hidden="false" customHeight="false" outlineLevel="0" collapsed="false">
      <c r="A692" s="1" t="s">
        <v>1620</v>
      </c>
      <c r="B692" s="1" t="s">
        <v>1618</v>
      </c>
      <c r="C692" s="1" t="s">
        <v>695</v>
      </c>
      <c r="D692" s="1" t="s">
        <v>768</v>
      </c>
      <c r="E692" s="1" t="s">
        <v>7</v>
      </c>
    </row>
    <row r="693" customFormat="false" ht="16" hidden="false" customHeight="false" outlineLevel="0" collapsed="false">
      <c r="A693" s="1" t="s">
        <v>1621</v>
      </c>
      <c r="B693" s="1" t="s">
        <v>1618</v>
      </c>
      <c r="C693" s="1" t="s">
        <v>695</v>
      </c>
      <c r="D693" s="1" t="s">
        <v>770</v>
      </c>
      <c r="E693" s="1" t="s">
        <v>7</v>
      </c>
    </row>
    <row r="694" customFormat="false" ht="16" hidden="false" customHeight="false" outlineLevel="0" collapsed="false">
      <c r="A694" s="1" t="s">
        <v>1622</v>
      </c>
      <c r="B694" s="1" t="s">
        <v>1618</v>
      </c>
      <c r="C694" s="1" t="s">
        <v>695</v>
      </c>
      <c r="D694" s="1" t="s">
        <v>696</v>
      </c>
      <c r="E694" s="1" t="s">
        <v>7</v>
      </c>
    </row>
    <row r="695" customFormat="false" ht="16" hidden="false" customHeight="false" outlineLevel="0" collapsed="false">
      <c r="A695" s="1" t="s">
        <v>1623</v>
      </c>
      <c r="B695" s="1" t="s">
        <v>1624</v>
      </c>
      <c r="C695" s="1" t="s">
        <v>695</v>
      </c>
      <c r="D695" s="1" t="s">
        <v>764</v>
      </c>
      <c r="E695" s="1" t="s">
        <v>7</v>
      </c>
    </row>
    <row r="696" customFormat="false" ht="16" hidden="false" customHeight="false" outlineLevel="0" collapsed="false">
      <c r="A696" s="1" t="s">
        <v>1625</v>
      </c>
      <c r="B696" s="1" t="s">
        <v>1624</v>
      </c>
      <c r="C696" s="1" t="s">
        <v>695</v>
      </c>
      <c r="D696" s="1" t="s">
        <v>766</v>
      </c>
      <c r="E696" s="1" t="s">
        <v>7</v>
      </c>
    </row>
    <row r="697" customFormat="false" ht="16" hidden="false" customHeight="false" outlineLevel="0" collapsed="false">
      <c r="A697" s="1" t="s">
        <v>1626</v>
      </c>
      <c r="B697" s="1" t="s">
        <v>1624</v>
      </c>
      <c r="C697" s="1" t="s">
        <v>695</v>
      </c>
      <c r="D697" s="1" t="s">
        <v>768</v>
      </c>
      <c r="E697" s="1" t="s">
        <v>7</v>
      </c>
    </row>
    <row r="698" customFormat="false" ht="16" hidden="false" customHeight="false" outlineLevel="0" collapsed="false">
      <c r="A698" s="1" t="s">
        <v>1627</v>
      </c>
      <c r="B698" s="1" t="s">
        <v>1624</v>
      </c>
      <c r="C698" s="1" t="s">
        <v>695</v>
      </c>
      <c r="D698" s="1" t="s">
        <v>770</v>
      </c>
      <c r="E698" s="1" t="s">
        <v>7</v>
      </c>
    </row>
    <row r="699" customFormat="false" ht="16" hidden="false" customHeight="false" outlineLevel="0" collapsed="false">
      <c r="A699" s="1" t="s">
        <v>1628</v>
      </c>
      <c r="B699" s="1" t="s">
        <v>1624</v>
      </c>
      <c r="C699" s="1" t="s">
        <v>695</v>
      </c>
      <c r="D699" s="1" t="s">
        <v>696</v>
      </c>
      <c r="E699" s="1" t="s">
        <v>7</v>
      </c>
    </row>
    <row r="700" customFormat="false" ht="16" hidden="false" customHeight="false" outlineLevel="0" collapsed="false">
      <c r="A700" s="1" t="s">
        <v>1629</v>
      </c>
      <c r="B700" s="1" t="s">
        <v>1630</v>
      </c>
      <c r="C700" s="1" t="s">
        <v>695</v>
      </c>
      <c r="D700" s="1" t="s">
        <v>770</v>
      </c>
      <c r="E700" s="1" t="s">
        <v>7</v>
      </c>
    </row>
    <row r="701" customFormat="false" ht="16" hidden="false" customHeight="false" outlineLevel="0" collapsed="false">
      <c r="A701" s="1" t="s">
        <v>1631</v>
      </c>
      <c r="B701" s="1" t="s">
        <v>1632</v>
      </c>
      <c r="C701" s="1" t="s">
        <v>695</v>
      </c>
      <c r="D701" s="1" t="s">
        <v>764</v>
      </c>
      <c r="E701" s="1" t="s">
        <v>7</v>
      </c>
    </row>
    <row r="702" customFormat="false" ht="16" hidden="false" customHeight="false" outlineLevel="0" collapsed="false">
      <c r="A702" s="1" t="s">
        <v>1633</v>
      </c>
      <c r="B702" s="1" t="s">
        <v>1632</v>
      </c>
      <c r="C702" s="1" t="s">
        <v>695</v>
      </c>
      <c r="D702" s="1" t="s">
        <v>766</v>
      </c>
      <c r="E702" s="1" t="s">
        <v>7</v>
      </c>
    </row>
    <row r="703" customFormat="false" ht="16" hidden="false" customHeight="false" outlineLevel="0" collapsed="false">
      <c r="A703" s="1" t="s">
        <v>1634</v>
      </c>
      <c r="B703" s="1" t="s">
        <v>1632</v>
      </c>
      <c r="C703" s="1" t="s">
        <v>695</v>
      </c>
      <c r="D703" s="1" t="s">
        <v>768</v>
      </c>
      <c r="E703" s="1" t="s">
        <v>7</v>
      </c>
    </row>
    <row r="704" customFormat="false" ht="16" hidden="false" customHeight="false" outlineLevel="0" collapsed="false">
      <c r="A704" s="1" t="s">
        <v>1635</v>
      </c>
      <c r="B704" s="1" t="s">
        <v>1632</v>
      </c>
      <c r="C704" s="1" t="s">
        <v>695</v>
      </c>
      <c r="D704" s="1" t="s">
        <v>770</v>
      </c>
      <c r="E704" s="1" t="s">
        <v>7</v>
      </c>
    </row>
    <row r="705" customFormat="false" ht="16" hidden="false" customHeight="false" outlineLevel="0" collapsed="false">
      <c r="A705" s="1" t="s">
        <v>1636</v>
      </c>
      <c r="B705" s="1" t="s">
        <v>1632</v>
      </c>
      <c r="C705" s="1" t="s">
        <v>695</v>
      </c>
      <c r="D705" s="1" t="s">
        <v>696</v>
      </c>
      <c r="E705" s="1" t="s">
        <v>7</v>
      </c>
    </row>
    <row r="706" customFormat="false" ht="16" hidden="false" customHeight="false" outlineLevel="0" collapsed="false">
      <c r="A706" s="1" t="s">
        <v>1637</v>
      </c>
      <c r="B706" s="1" t="s">
        <v>1638</v>
      </c>
      <c r="C706" s="1" t="s">
        <v>695</v>
      </c>
      <c r="D706" s="1" t="s">
        <v>764</v>
      </c>
      <c r="E706" s="1" t="s">
        <v>7</v>
      </c>
    </row>
    <row r="707" customFormat="false" ht="16" hidden="false" customHeight="false" outlineLevel="0" collapsed="false">
      <c r="A707" s="1" t="s">
        <v>1639</v>
      </c>
      <c r="B707" s="1" t="s">
        <v>1638</v>
      </c>
      <c r="C707" s="1" t="s">
        <v>695</v>
      </c>
      <c r="D707" s="1" t="s">
        <v>766</v>
      </c>
      <c r="E707" s="1" t="s">
        <v>7</v>
      </c>
    </row>
    <row r="708" customFormat="false" ht="16" hidden="false" customHeight="false" outlineLevel="0" collapsed="false">
      <c r="A708" s="1" t="s">
        <v>1640</v>
      </c>
      <c r="B708" s="1" t="s">
        <v>1638</v>
      </c>
      <c r="C708" s="1" t="s">
        <v>695</v>
      </c>
      <c r="D708" s="1" t="s">
        <v>768</v>
      </c>
      <c r="E708" s="1" t="s">
        <v>7</v>
      </c>
    </row>
    <row r="709" customFormat="false" ht="16" hidden="false" customHeight="false" outlineLevel="0" collapsed="false">
      <c r="A709" s="1" t="s">
        <v>1641</v>
      </c>
      <c r="B709" s="1" t="s">
        <v>1638</v>
      </c>
      <c r="C709" s="1" t="s">
        <v>695</v>
      </c>
      <c r="D709" s="1" t="s">
        <v>770</v>
      </c>
      <c r="E709" s="1" t="s">
        <v>7</v>
      </c>
    </row>
    <row r="710" customFormat="false" ht="16" hidden="false" customHeight="false" outlineLevel="0" collapsed="false">
      <c r="A710" s="1" t="s">
        <v>1642</v>
      </c>
      <c r="B710" s="1" t="s">
        <v>1638</v>
      </c>
      <c r="C710" s="1" t="s">
        <v>695</v>
      </c>
      <c r="D710" s="1" t="s">
        <v>696</v>
      </c>
      <c r="E710" s="1" t="s">
        <v>7</v>
      </c>
    </row>
    <row r="711" customFormat="false" ht="16" hidden="false" customHeight="false" outlineLevel="0" collapsed="false">
      <c r="A711" s="1" t="s">
        <v>1643</v>
      </c>
      <c r="B711" s="1" t="s">
        <v>1644</v>
      </c>
      <c r="C711" s="1" t="s">
        <v>695</v>
      </c>
      <c r="D711" s="1" t="s">
        <v>764</v>
      </c>
      <c r="E711" s="1" t="s">
        <v>7</v>
      </c>
    </row>
    <row r="712" customFormat="false" ht="16" hidden="false" customHeight="false" outlineLevel="0" collapsed="false">
      <c r="A712" s="1" t="s">
        <v>1645</v>
      </c>
      <c r="B712" s="1" t="s">
        <v>1644</v>
      </c>
      <c r="C712" s="1" t="s">
        <v>695</v>
      </c>
      <c r="D712" s="1" t="s">
        <v>766</v>
      </c>
      <c r="E712" s="1" t="s">
        <v>7</v>
      </c>
    </row>
    <row r="713" customFormat="false" ht="16" hidden="false" customHeight="false" outlineLevel="0" collapsed="false">
      <c r="A713" s="1" t="s">
        <v>1646</v>
      </c>
      <c r="B713" s="1" t="s">
        <v>1644</v>
      </c>
      <c r="C713" s="1" t="s">
        <v>695</v>
      </c>
      <c r="D713" s="1" t="s">
        <v>768</v>
      </c>
      <c r="E713" s="1" t="s">
        <v>7</v>
      </c>
    </row>
    <row r="714" customFormat="false" ht="16" hidden="false" customHeight="false" outlineLevel="0" collapsed="false">
      <c r="A714" s="1" t="s">
        <v>1647</v>
      </c>
      <c r="B714" s="1" t="s">
        <v>1644</v>
      </c>
      <c r="C714" s="1" t="s">
        <v>695</v>
      </c>
      <c r="D714" s="1" t="s">
        <v>770</v>
      </c>
      <c r="E714" s="1" t="s">
        <v>7</v>
      </c>
    </row>
    <row r="715" customFormat="false" ht="16" hidden="false" customHeight="false" outlineLevel="0" collapsed="false">
      <c r="A715" s="1" t="s">
        <v>1648</v>
      </c>
      <c r="B715" s="1" t="s">
        <v>1644</v>
      </c>
      <c r="C715" s="1" t="s">
        <v>695</v>
      </c>
      <c r="D715" s="1" t="s">
        <v>696</v>
      </c>
      <c r="E715" s="1" t="s">
        <v>7</v>
      </c>
    </row>
    <row r="716" customFormat="false" ht="16" hidden="false" customHeight="false" outlineLevel="0" collapsed="false">
      <c r="A716" s="1" t="s">
        <v>1649</v>
      </c>
      <c r="B716" s="1" t="s">
        <v>1650</v>
      </c>
      <c r="C716" s="1" t="s">
        <v>695</v>
      </c>
      <c r="D716" s="1" t="s">
        <v>764</v>
      </c>
      <c r="E716" s="1" t="s">
        <v>7</v>
      </c>
    </row>
    <row r="717" customFormat="false" ht="16" hidden="false" customHeight="false" outlineLevel="0" collapsed="false">
      <c r="A717" s="1" t="s">
        <v>1651</v>
      </c>
      <c r="B717" s="1" t="s">
        <v>1650</v>
      </c>
      <c r="C717" s="1" t="s">
        <v>695</v>
      </c>
      <c r="D717" s="1" t="s">
        <v>766</v>
      </c>
      <c r="E717" s="1" t="s">
        <v>7</v>
      </c>
    </row>
    <row r="718" customFormat="false" ht="16" hidden="false" customHeight="false" outlineLevel="0" collapsed="false">
      <c r="A718" s="1" t="s">
        <v>1652</v>
      </c>
      <c r="B718" s="1" t="s">
        <v>1650</v>
      </c>
      <c r="C718" s="1" t="s">
        <v>695</v>
      </c>
      <c r="D718" s="1" t="s">
        <v>768</v>
      </c>
      <c r="E718" s="1" t="s">
        <v>7</v>
      </c>
    </row>
    <row r="719" customFormat="false" ht="16" hidden="false" customHeight="false" outlineLevel="0" collapsed="false">
      <c r="A719" s="1" t="s">
        <v>1653</v>
      </c>
      <c r="B719" s="1" t="s">
        <v>1650</v>
      </c>
      <c r="C719" s="1" t="s">
        <v>695</v>
      </c>
      <c r="D719" s="1" t="s">
        <v>770</v>
      </c>
      <c r="E719" s="1" t="s">
        <v>7</v>
      </c>
    </row>
    <row r="720" customFormat="false" ht="16" hidden="false" customHeight="false" outlineLevel="0" collapsed="false">
      <c r="A720" s="1" t="s">
        <v>1654</v>
      </c>
      <c r="B720" s="1" t="s">
        <v>1650</v>
      </c>
      <c r="C720" s="1" t="s">
        <v>695</v>
      </c>
      <c r="D720" s="1" t="s">
        <v>696</v>
      </c>
      <c r="E720" s="1" t="s">
        <v>7</v>
      </c>
    </row>
    <row r="721" customFormat="false" ht="16" hidden="false" customHeight="false" outlineLevel="0" collapsed="false">
      <c r="A721" s="1" t="s">
        <v>1655</v>
      </c>
      <c r="B721" s="1" t="s">
        <v>1656</v>
      </c>
      <c r="C721" s="1" t="s">
        <v>695</v>
      </c>
      <c r="D721" s="1" t="s">
        <v>768</v>
      </c>
      <c r="E721" s="1" t="s">
        <v>7</v>
      </c>
    </row>
    <row r="722" customFormat="false" ht="16" hidden="false" customHeight="false" outlineLevel="0" collapsed="false">
      <c r="A722" s="1" t="s">
        <v>1657</v>
      </c>
      <c r="B722" s="1" t="s">
        <v>1658</v>
      </c>
      <c r="C722" s="1" t="s">
        <v>695</v>
      </c>
      <c r="D722" s="1" t="s">
        <v>768</v>
      </c>
      <c r="E722" s="1" t="s">
        <v>7</v>
      </c>
    </row>
    <row r="723" customFormat="false" ht="16" hidden="false" customHeight="false" outlineLevel="0" collapsed="false">
      <c r="A723" s="1" t="s">
        <v>1659</v>
      </c>
      <c r="B723" s="1" t="s">
        <v>1660</v>
      </c>
      <c r="C723" s="1" t="s">
        <v>695</v>
      </c>
      <c r="D723" s="1" t="s">
        <v>768</v>
      </c>
      <c r="E723" s="1" t="s">
        <v>7</v>
      </c>
    </row>
    <row r="724" customFormat="false" ht="16" hidden="false" customHeight="false" outlineLevel="0" collapsed="false">
      <c r="A724" s="1" t="s">
        <v>1661</v>
      </c>
      <c r="B724" s="1" t="s">
        <v>1662</v>
      </c>
      <c r="C724" s="1" t="s">
        <v>695</v>
      </c>
      <c r="D724" s="1" t="s">
        <v>768</v>
      </c>
      <c r="E724" s="1" t="s">
        <v>7</v>
      </c>
    </row>
    <row r="725" customFormat="false" ht="16" hidden="false" customHeight="false" outlineLevel="0" collapsed="false">
      <c r="A725" s="1" t="s">
        <v>1663</v>
      </c>
      <c r="B725" s="1" t="s">
        <v>1664</v>
      </c>
      <c r="C725" s="1" t="s">
        <v>695</v>
      </c>
      <c r="D725" s="1" t="s">
        <v>768</v>
      </c>
      <c r="E725" s="1" t="s">
        <v>7</v>
      </c>
    </row>
    <row r="726" customFormat="false" ht="16" hidden="false" customHeight="false" outlineLevel="0" collapsed="false">
      <c r="A726" s="1" t="s">
        <v>1665</v>
      </c>
      <c r="B726" s="1" t="s">
        <v>1666</v>
      </c>
      <c r="C726" s="1" t="s">
        <v>695</v>
      </c>
      <c r="D726" s="1" t="s">
        <v>768</v>
      </c>
      <c r="E726" s="1" t="s">
        <v>7</v>
      </c>
    </row>
    <row r="727" customFormat="false" ht="16" hidden="false" customHeight="false" outlineLevel="0" collapsed="false">
      <c r="A727" s="1" t="s">
        <v>1667</v>
      </c>
      <c r="B727" s="1" t="s">
        <v>1668</v>
      </c>
      <c r="C727" s="1" t="s">
        <v>695</v>
      </c>
      <c r="D727" s="1" t="s">
        <v>770</v>
      </c>
      <c r="E727" s="1" t="s">
        <v>7</v>
      </c>
    </row>
    <row r="728" customFormat="false" ht="16" hidden="false" customHeight="false" outlineLevel="0" collapsed="false">
      <c r="A728" s="1" t="s">
        <v>1669</v>
      </c>
      <c r="B728" s="1" t="s">
        <v>1670</v>
      </c>
      <c r="C728" s="1" t="s">
        <v>695</v>
      </c>
      <c r="D728" s="1" t="s">
        <v>770</v>
      </c>
      <c r="E728" s="1" t="s">
        <v>7</v>
      </c>
    </row>
    <row r="729" customFormat="false" ht="16" hidden="false" customHeight="false" outlineLevel="0" collapsed="false">
      <c r="A729" s="1" t="s">
        <v>1671</v>
      </c>
      <c r="B729" s="1" t="s">
        <v>15</v>
      </c>
      <c r="C729" s="1" t="s">
        <v>695</v>
      </c>
      <c r="D729" s="1" t="s">
        <v>764</v>
      </c>
      <c r="E729" s="1" t="s">
        <v>7</v>
      </c>
    </row>
    <row r="730" customFormat="false" ht="16" hidden="false" customHeight="false" outlineLevel="0" collapsed="false">
      <c r="A730" s="1" t="s">
        <v>1672</v>
      </c>
      <c r="B730" s="1" t="s">
        <v>15</v>
      </c>
      <c r="C730" s="1" t="s">
        <v>695</v>
      </c>
      <c r="D730" s="1" t="s">
        <v>766</v>
      </c>
      <c r="E730" s="1" t="s">
        <v>7</v>
      </c>
    </row>
    <row r="731" customFormat="false" ht="16" hidden="false" customHeight="false" outlineLevel="0" collapsed="false">
      <c r="A731" s="1" t="s">
        <v>1673</v>
      </c>
      <c r="B731" s="1" t="s">
        <v>15</v>
      </c>
      <c r="C731" s="1" t="s">
        <v>695</v>
      </c>
      <c r="D731" s="1" t="s">
        <v>768</v>
      </c>
      <c r="E731" s="1" t="s">
        <v>7</v>
      </c>
    </row>
    <row r="732" customFormat="false" ht="16" hidden="false" customHeight="false" outlineLevel="0" collapsed="false">
      <c r="A732" s="1" t="s">
        <v>1674</v>
      </c>
      <c r="B732" s="1" t="s">
        <v>15</v>
      </c>
      <c r="C732" s="1" t="s">
        <v>695</v>
      </c>
      <c r="D732" s="1" t="s">
        <v>770</v>
      </c>
      <c r="E732" s="1" t="s">
        <v>7</v>
      </c>
    </row>
    <row r="733" customFormat="false" ht="16" hidden="false" customHeight="false" outlineLevel="0" collapsed="false">
      <c r="A733" s="1" t="s">
        <v>1675</v>
      </c>
      <c r="B733" s="1" t="s">
        <v>15</v>
      </c>
      <c r="C733" s="1" t="s">
        <v>695</v>
      </c>
      <c r="D733" s="1" t="s">
        <v>696</v>
      </c>
      <c r="E733" s="1" t="s">
        <v>7</v>
      </c>
    </row>
    <row r="734" customFormat="false" ht="16" hidden="false" customHeight="false" outlineLevel="0" collapsed="false">
      <c r="A734" s="1" t="s">
        <v>1676</v>
      </c>
      <c r="B734" s="1" t="s">
        <v>1677</v>
      </c>
      <c r="C734" s="1" t="s">
        <v>695</v>
      </c>
      <c r="D734" s="1" t="s">
        <v>764</v>
      </c>
      <c r="E734" s="1" t="s">
        <v>7</v>
      </c>
    </row>
    <row r="735" customFormat="false" ht="16" hidden="false" customHeight="false" outlineLevel="0" collapsed="false">
      <c r="A735" s="1" t="s">
        <v>1678</v>
      </c>
      <c r="B735" s="1" t="s">
        <v>1677</v>
      </c>
      <c r="C735" s="1" t="s">
        <v>695</v>
      </c>
      <c r="D735" s="1" t="s">
        <v>766</v>
      </c>
      <c r="E735" s="1" t="s">
        <v>7</v>
      </c>
    </row>
    <row r="736" customFormat="false" ht="16" hidden="false" customHeight="false" outlineLevel="0" collapsed="false">
      <c r="A736" s="1" t="s">
        <v>1679</v>
      </c>
      <c r="B736" s="1" t="s">
        <v>1677</v>
      </c>
      <c r="C736" s="1" t="s">
        <v>695</v>
      </c>
      <c r="D736" s="1" t="s">
        <v>768</v>
      </c>
      <c r="E736" s="1" t="s">
        <v>7</v>
      </c>
    </row>
    <row r="737" customFormat="false" ht="16" hidden="false" customHeight="false" outlineLevel="0" collapsed="false">
      <c r="A737" s="1" t="s">
        <v>1680</v>
      </c>
      <c r="B737" s="1" t="s">
        <v>1677</v>
      </c>
      <c r="C737" s="1" t="s">
        <v>695</v>
      </c>
      <c r="D737" s="1" t="s">
        <v>770</v>
      </c>
      <c r="E737" s="1" t="s">
        <v>7</v>
      </c>
    </row>
    <row r="738" customFormat="false" ht="16" hidden="false" customHeight="false" outlineLevel="0" collapsed="false">
      <c r="A738" s="1" t="s">
        <v>1681</v>
      </c>
      <c r="B738" s="1" t="s">
        <v>1677</v>
      </c>
      <c r="C738" s="1" t="s">
        <v>695</v>
      </c>
      <c r="D738" s="1" t="s">
        <v>696</v>
      </c>
      <c r="E738" s="1" t="s">
        <v>7</v>
      </c>
    </row>
    <row r="739" customFormat="false" ht="16" hidden="false" customHeight="false" outlineLevel="0" collapsed="false">
      <c r="A739" s="1" t="s">
        <v>1682</v>
      </c>
      <c r="B739" s="1" t="s">
        <v>1683</v>
      </c>
      <c r="C739" s="1" t="s">
        <v>695</v>
      </c>
      <c r="D739" s="1" t="s">
        <v>768</v>
      </c>
      <c r="E739" s="1" t="s">
        <v>7</v>
      </c>
    </row>
    <row r="740" customFormat="false" ht="16" hidden="false" customHeight="false" outlineLevel="0" collapsed="false">
      <c r="A740" s="1" t="s">
        <v>1684</v>
      </c>
      <c r="B740" s="1" t="s">
        <v>1685</v>
      </c>
      <c r="C740" s="1" t="s">
        <v>695</v>
      </c>
      <c r="D740" s="1" t="s">
        <v>764</v>
      </c>
      <c r="E740" s="1" t="s">
        <v>7</v>
      </c>
    </row>
    <row r="741" customFormat="false" ht="16" hidden="false" customHeight="false" outlineLevel="0" collapsed="false">
      <c r="A741" s="1" t="s">
        <v>1686</v>
      </c>
      <c r="B741" s="1" t="s">
        <v>1685</v>
      </c>
      <c r="C741" s="1" t="s">
        <v>695</v>
      </c>
      <c r="D741" s="1" t="s">
        <v>766</v>
      </c>
      <c r="E741" s="1" t="s">
        <v>7</v>
      </c>
    </row>
    <row r="742" customFormat="false" ht="16" hidden="false" customHeight="false" outlineLevel="0" collapsed="false">
      <c r="A742" s="1" t="s">
        <v>1687</v>
      </c>
      <c r="B742" s="1" t="s">
        <v>1685</v>
      </c>
      <c r="C742" s="1" t="s">
        <v>695</v>
      </c>
      <c r="D742" s="1" t="s">
        <v>768</v>
      </c>
      <c r="E742" s="1" t="s">
        <v>7</v>
      </c>
    </row>
    <row r="743" customFormat="false" ht="16" hidden="false" customHeight="false" outlineLevel="0" collapsed="false">
      <c r="A743" s="1" t="s">
        <v>1688</v>
      </c>
      <c r="B743" s="1" t="s">
        <v>1685</v>
      </c>
      <c r="C743" s="1" t="s">
        <v>695</v>
      </c>
      <c r="D743" s="1" t="s">
        <v>770</v>
      </c>
      <c r="E743" s="1" t="s">
        <v>7</v>
      </c>
    </row>
    <row r="744" customFormat="false" ht="16" hidden="false" customHeight="false" outlineLevel="0" collapsed="false">
      <c r="A744" s="1" t="s">
        <v>1689</v>
      </c>
      <c r="B744" s="1" t="s">
        <v>1685</v>
      </c>
      <c r="C744" s="1" t="s">
        <v>695</v>
      </c>
      <c r="D744" s="1" t="s">
        <v>696</v>
      </c>
      <c r="E744" s="1" t="s">
        <v>7</v>
      </c>
    </row>
    <row r="745" customFormat="false" ht="16" hidden="false" customHeight="false" outlineLevel="0" collapsed="false">
      <c r="A745" s="1" t="s">
        <v>1690</v>
      </c>
      <c r="B745" s="1" t="s">
        <v>1691</v>
      </c>
      <c r="C745" s="1" t="s">
        <v>695</v>
      </c>
      <c r="D745" s="1" t="s">
        <v>764</v>
      </c>
      <c r="E745" s="1" t="s">
        <v>7</v>
      </c>
    </row>
    <row r="746" customFormat="false" ht="16" hidden="false" customHeight="false" outlineLevel="0" collapsed="false">
      <c r="A746" s="1" t="s">
        <v>1692</v>
      </c>
      <c r="B746" s="1" t="s">
        <v>1691</v>
      </c>
      <c r="C746" s="1" t="s">
        <v>695</v>
      </c>
      <c r="D746" s="1" t="s">
        <v>766</v>
      </c>
      <c r="E746" s="1" t="s">
        <v>7</v>
      </c>
    </row>
    <row r="747" customFormat="false" ht="16" hidden="false" customHeight="false" outlineLevel="0" collapsed="false">
      <c r="A747" s="1" t="s">
        <v>1693</v>
      </c>
      <c r="B747" s="1" t="s">
        <v>1691</v>
      </c>
      <c r="C747" s="1" t="s">
        <v>695</v>
      </c>
      <c r="D747" s="1" t="s">
        <v>768</v>
      </c>
      <c r="E747" s="1" t="s">
        <v>7</v>
      </c>
    </row>
    <row r="748" customFormat="false" ht="16" hidden="false" customHeight="false" outlineLevel="0" collapsed="false">
      <c r="A748" s="1" t="s">
        <v>1694</v>
      </c>
      <c r="B748" s="1" t="s">
        <v>1691</v>
      </c>
      <c r="C748" s="1" t="s">
        <v>695</v>
      </c>
      <c r="D748" s="1" t="s">
        <v>770</v>
      </c>
      <c r="E748" s="1" t="s">
        <v>7</v>
      </c>
    </row>
    <row r="749" customFormat="false" ht="16" hidden="false" customHeight="false" outlineLevel="0" collapsed="false">
      <c r="A749" s="1" t="s">
        <v>1695</v>
      </c>
      <c r="B749" s="1" t="s">
        <v>1691</v>
      </c>
      <c r="C749" s="1" t="s">
        <v>695</v>
      </c>
      <c r="D749" s="1" t="s">
        <v>696</v>
      </c>
      <c r="E749" s="1" t="s">
        <v>7</v>
      </c>
    </row>
    <row r="750" customFormat="false" ht="16" hidden="false" customHeight="false" outlineLevel="0" collapsed="false">
      <c r="A750" s="1" t="s">
        <v>1696</v>
      </c>
      <c r="B750" s="1" t="s">
        <v>1697</v>
      </c>
      <c r="C750" s="1" t="s">
        <v>695</v>
      </c>
      <c r="D750" s="1" t="s">
        <v>764</v>
      </c>
      <c r="E750" s="1" t="s">
        <v>7</v>
      </c>
    </row>
    <row r="751" customFormat="false" ht="16" hidden="false" customHeight="false" outlineLevel="0" collapsed="false">
      <c r="A751" s="1" t="s">
        <v>1698</v>
      </c>
      <c r="B751" s="1" t="s">
        <v>1697</v>
      </c>
      <c r="C751" s="1" t="s">
        <v>695</v>
      </c>
      <c r="D751" s="1" t="s">
        <v>766</v>
      </c>
      <c r="E751" s="1" t="s">
        <v>7</v>
      </c>
    </row>
    <row r="752" customFormat="false" ht="16" hidden="false" customHeight="false" outlineLevel="0" collapsed="false">
      <c r="A752" s="1" t="s">
        <v>1699</v>
      </c>
      <c r="B752" s="1" t="s">
        <v>1697</v>
      </c>
      <c r="C752" s="1" t="s">
        <v>695</v>
      </c>
      <c r="D752" s="1" t="s">
        <v>768</v>
      </c>
      <c r="E752" s="1" t="s">
        <v>7</v>
      </c>
    </row>
    <row r="753" customFormat="false" ht="16" hidden="false" customHeight="false" outlineLevel="0" collapsed="false">
      <c r="A753" s="1" t="s">
        <v>1700</v>
      </c>
      <c r="B753" s="1" t="s">
        <v>1697</v>
      </c>
      <c r="C753" s="1" t="s">
        <v>695</v>
      </c>
      <c r="D753" s="1" t="s">
        <v>770</v>
      </c>
      <c r="E753" s="1" t="s">
        <v>7</v>
      </c>
    </row>
    <row r="754" customFormat="false" ht="16" hidden="false" customHeight="false" outlineLevel="0" collapsed="false">
      <c r="A754" s="1" t="s">
        <v>1701</v>
      </c>
      <c r="B754" s="1" t="s">
        <v>1697</v>
      </c>
      <c r="C754" s="1" t="s">
        <v>695</v>
      </c>
      <c r="D754" s="1" t="s">
        <v>696</v>
      </c>
      <c r="E754" s="1" t="s">
        <v>7</v>
      </c>
    </row>
    <row r="755" customFormat="false" ht="16" hidden="false" customHeight="false" outlineLevel="0" collapsed="false">
      <c r="A755" s="1" t="s">
        <v>1702</v>
      </c>
      <c r="B755" s="1" t="s">
        <v>1703</v>
      </c>
      <c r="C755" s="1" t="s">
        <v>695</v>
      </c>
      <c r="D755" s="1" t="s">
        <v>764</v>
      </c>
      <c r="E755" s="1" t="s">
        <v>7</v>
      </c>
    </row>
    <row r="756" customFormat="false" ht="16" hidden="false" customHeight="false" outlineLevel="0" collapsed="false">
      <c r="A756" s="1" t="s">
        <v>1704</v>
      </c>
      <c r="B756" s="1" t="s">
        <v>1703</v>
      </c>
      <c r="C756" s="1" t="s">
        <v>695</v>
      </c>
      <c r="D756" s="1" t="s">
        <v>766</v>
      </c>
      <c r="E756" s="1" t="s">
        <v>7</v>
      </c>
    </row>
    <row r="757" customFormat="false" ht="16" hidden="false" customHeight="false" outlineLevel="0" collapsed="false">
      <c r="A757" s="1" t="s">
        <v>1705</v>
      </c>
      <c r="B757" s="1" t="s">
        <v>1703</v>
      </c>
      <c r="C757" s="1" t="s">
        <v>695</v>
      </c>
      <c r="D757" s="1" t="s">
        <v>768</v>
      </c>
      <c r="E757" s="1" t="s">
        <v>7</v>
      </c>
    </row>
    <row r="758" customFormat="false" ht="16" hidden="false" customHeight="false" outlineLevel="0" collapsed="false">
      <c r="A758" s="1" t="s">
        <v>1706</v>
      </c>
      <c r="B758" s="1" t="s">
        <v>1703</v>
      </c>
      <c r="C758" s="1" t="s">
        <v>695</v>
      </c>
      <c r="D758" s="1" t="s">
        <v>770</v>
      </c>
      <c r="E758" s="1" t="s">
        <v>7</v>
      </c>
    </row>
    <row r="759" customFormat="false" ht="16" hidden="false" customHeight="false" outlineLevel="0" collapsed="false">
      <c r="A759" s="1" t="s">
        <v>1707</v>
      </c>
      <c r="B759" s="1" t="s">
        <v>1703</v>
      </c>
      <c r="C759" s="1" t="s">
        <v>695</v>
      </c>
      <c r="D759" s="1" t="s">
        <v>696</v>
      </c>
      <c r="E759" s="1" t="s">
        <v>7</v>
      </c>
    </row>
    <row r="760" customFormat="false" ht="16" hidden="false" customHeight="false" outlineLevel="0" collapsed="false">
      <c r="A760" s="1" t="s">
        <v>1708</v>
      </c>
      <c r="B760" s="1" t="s">
        <v>1709</v>
      </c>
      <c r="C760" s="1" t="s">
        <v>695</v>
      </c>
      <c r="D760" s="1" t="s">
        <v>770</v>
      </c>
      <c r="E760" s="1" t="s">
        <v>7</v>
      </c>
    </row>
    <row r="761" customFormat="false" ht="16" hidden="false" customHeight="false" outlineLevel="0" collapsed="false">
      <c r="A761" s="1" t="s">
        <v>1710</v>
      </c>
      <c r="B761" s="1" t="s">
        <v>1711</v>
      </c>
      <c r="C761" s="1" t="s">
        <v>695</v>
      </c>
      <c r="D761" s="1" t="s">
        <v>768</v>
      </c>
      <c r="E761" s="1" t="s">
        <v>7</v>
      </c>
    </row>
    <row r="762" customFormat="false" ht="16" hidden="false" customHeight="false" outlineLevel="0" collapsed="false">
      <c r="A762" s="1" t="s">
        <v>1712</v>
      </c>
      <c r="B762" s="1" t="s">
        <v>1713</v>
      </c>
      <c r="C762" s="1" t="s">
        <v>695</v>
      </c>
      <c r="D762" s="1" t="s">
        <v>764</v>
      </c>
      <c r="E762" s="1" t="s">
        <v>1714</v>
      </c>
    </row>
    <row r="763" customFormat="false" ht="16" hidden="false" customHeight="false" outlineLevel="0" collapsed="false">
      <c r="A763" s="1" t="s">
        <v>1715</v>
      </c>
      <c r="B763" s="1" t="s">
        <v>1713</v>
      </c>
      <c r="C763" s="1" t="s">
        <v>695</v>
      </c>
      <c r="D763" s="1" t="s">
        <v>766</v>
      </c>
      <c r="E763" s="1" t="s">
        <v>1714</v>
      </c>
    </row>
    <row r="764" customFormat="false" ht="16" hidden="false" customHeight="false" outlineLevel="0" collapsed="false">
      <c r="A764" s="1" t="s">
        <v>1716</v>
      </c>
      <c r="B764" s="1" t="s">
        <v>1713</v>
      </c>
      <c r="C764" s="1" t="s">
        <v>695</v>
      </c>
      <c r="D764" s="1" t="s">
        <v>768</v>
      </c>
      <c r="E764" s="1" t="s">
        <v>1714</v>
      </c>
    </row>
    <row r="765" customFormat="false" ht="16" hidden="false" customHeight="false" outlineLevel="0" collapsed="false">
      <c r="A765" s="1" t="s">
        <v>1717</v>
      </c>
      <c r="B765" s="1" t="s">
        <v>1713</v>
      </c>
      <c r="C765" s="1" t="s">
        <v>695</v>
      </c>
      <c r="D765" s="1" t="s">
        <v>770</v>
      </c>
      <c r="E765" s="1" t="s">
        <v>1714</v>
      </c>
    </row>
    <row r="766" customFormat="false" ht="16" hidden="false" customHeight="false" outlineLevel="0" collapsed="false">
      <c r="A766" s="1" t="s">
        <v>1718</v>
      </c>
      <c r="B766" s="1" t="s">
        <v>1713</v>
      </c>
      <c r="C766" s="1" t="s">
        <v>695</v>
      </c>
      <c r="D766" s="1" t="s">
        <v>696</v>
      </c>
      <c r="E766" s="1" t="s">
        <v>1714</v>
      </c>
    </row>
    <row r="767" customFormat="false" ht="16" hidden="false" customHeight="false" outlineLevel="0" collapsed="false">
      <c r="A767" s="1" t="s">
        <v>1719</v>
      </c>
      <c r="B767" s="1" t="s">
        <v>63</v>
      </c>
      <c r="C767" s="1" t="s">
        <v>695</v>
      </c>
      <c r="D767" s="1" t="s">
        <v>764</v>
      </c>
      <c r="E767" s="1" t="s">
        <v>7</v>
      </c>
    </row>
    <row r="768" customFormat="false" ht="16" hidden="false" customHeight="false" outlineLevel="0" collapsed="false">
      <c r="A768" s="1" t="s">
        <v>1720</v>
      </c>
      <c r="B768" s="1" t="s">
        <v>63</v>
      </c>
      <c r="C768" s="1" t="s">
        <v>695</v>
      </c>
      <c r="D768" s="1" t="s">
        <v>766</v>
      </c>
      <c r="E768" s="1" t="s">
        <v>7</v>
      </c>
    </row>
    <row r="769" customFormat="false" ht="16" hidden="false" customHeight="false" outlineLevel="0" collapsed="false">
      <c r="A769" s="1" t="s">
        <v>1721</v>
      </c>
      <c r="B769" s="1" t="s">
        <v>63</v>
      </c>
      <c r="C769" s="1" t="s">
        <v>695</v>
      </c>
      <c r="D769" s="1" t="s">
        <v>768</v>
      </c>
      <c r="E769" s="1" t="s">
        <v>7</v>
      </c>
    </row>
    <row r="770" customFormat="false" ht="16" hidden="false" customHeight="false" outlineLevel="0" collapsed="false">
      <c r="A770" s="1" t="s">
        <v>1722</v>
      </c>
      <c r="B770" s="1" t="s">
        <v>63</v>
      </c>
      <c r="C770" s="1" t="s">
        <v>695</v>
      </c>
      <c r="D770" s="1" t="s">
        <v>770</v>
      </c>
      <c r="E770" s="1" t="s">
        <v>7</v>
      </c>
    </row>
    <row r="771" customFormat="false" ht="16" hidden="false" customHeight="false" outlineLevel="0" collapsed="false">
      <c r="A771" s="1" t="s">
        <v>1723</v>
      </c>
      <c r="B771" s="1" t="s">
        <v>63</v>
      </c>
      <c r="C771" s="1" t="s">
        <v>695</v>
      </c>
      <c r="D771" s="1" t="s">
        <v>696</v>
      </c>
      <c r="E771" s="1" t="s">
        <v>7</v>
      </c>
    </row>
    <row r="772" customFormat="false" ht="16" hidden="false" customHeight="false" outlineLevel="0" collapsed="false">
      <c r="A772" s="1" t="s">
        <v>1724</v>
      </c>
      <c r="B772" s="1" t="s">
        <v>1725</v>
      </c>
      <c r="C772" s="1" t="s">
        <v>695</v>
      </c>
      <c r="D772" s="1" t="s">
        <v>764</v>
      </c>
      <c r="E772" s="1" t="s">
        <v>7</v>
      </c>
    </row>
    <row r="773" customFormat="false" ht="16" hidden="false" customHeight="false" outlineLevel="0" collapsed="false">
      <c r="A773" s="1" t="s">
        <v>1726</v>
      </c>
      <c r="B773" s="1" t="s">
        <v>1725</v>
      </c>
      <c r="C773" s="1" t="s">
        <v>695</v>
      </c>
      <c r="D773" s="1" t="s">
        <v>766</v>
      </c>
      <c r="E773" s="1" t="s">
        <v>7</v>
      </c>
    </row>
    <row r="774" customFormat="false" ht="16" hidden="false" customHeight="false" outlineLevel="0" collapsed="false">
      <c r="A774" s="1" t="s">
        <v>1727</v>
      </c>
      <c r="B774" s="1" t="s">
        <v>1725</v>
      </c>
      <c r="C774" s="1" t="s">
        <v>695</v>
      </c>
      <c r="D774" s="1" t="s">
        <v>768</v>
      </c>
      <c r="E774" s="1" t="s">
        <v>7</v>
      </c>
    </row>
    <row r="775" customFormat="false" ht="16" hidden="false" customHeight="false" outlineLevel="0" collapsed="false">
      <c r="A775" s="1" t="s">
        <v>1728</v>
      </c>
      <c r="B775" s="1" t="s">
        <v>1725</v>
      </c>
      <c r="C775" s="1" t="s">
        <v>695</v>
      </c>
      <c r="D775" s="1" t="s">
        <v>770</v>
      </c>
      <c r="E775" s="1" t="s">
        <v>7</v>
      </c>
    </row>
    <row r="776" customFormat="false" ht="16" hidden="false" customHeight="false" outlineLevel="0" collapsed="false">
      <c r="A776" s="1" t="s">
        <v>1729</v>
      </c>
      <c r="B776" s="1" t="s">
        <v>1725</v>
      </c>
      <c r="C776" s="1" t="s">
        <v>695</v>
      </c>
      <c r="D776" s="1" t="s">
        <v>696</v>
      </c>
      <c r="E776" s="1" t="s">
        <v>7</v>
      </c>
    </row>
    <row r="777" customFormat="false" ht="16" hidden="false" customHeight="false" outlineLevel="0" collapsed="false">
      <c r="A777" s="1" t="s">
        <v>1730</v>
      </c>
      <c r="B777" s="1" t="s">
        <v>1731</v>
      </c>
      <c r="C777" s="1" t="s">
        <v>695</v>
      </c>
      <c r="D777" s="1" t="s">
        <v>764</v>
      </c>
      <c r="E777" s="1" t="s">
        <v>7</v>
      </c>
    </row>
    <row r="778" customFormat="false" ht="16" hidden="false" customHeight="false" outlineLevel="0" collapsed="false">
      <c r="A778" s="1" t="s">
        <v>1732</v>
      </c>
      <c r="B778" s="1" t="s">
        <v>1731</v>
      </c>
      <c r="C778" s="1" t="s">
        <v>695</v>
      </c>
      <c r="D778" s="1" t="s">
        <v>766</v>
      </c>
      <c r="E778" s="1" t="s">
        <v>7</v>
      </c>
    </row>
    <row r="779" customFormat="false" ht="16" hidden="false" customHeight="false" outlineLevel="0" collapsed="false">
      <c r="A779" s="1" t="s">
        <v>1733</v>
      </c>
      <c r="B779" s="1" t="s">
        <v>1731</v>
      </c>
      <c r="C779" s="1" t="s">
        <v>695</v>
      </c>
      <c r="D779" s="1" t="s">
        <v>768</v>
      </c>
      <c r="E779" s="1" t="s">
        <v>7</v>
      </c>
    </row>
    <row r="780" customFormat="false" ht="16" hidden="false" customHeight="false" outlineLevel="0" collapsed="false">
      <c r="A780" s="1" t="s">
        <v>1734</v>
      </c>
      <c r="B780" s="1" t="s">
        <v>1731</v>
      </c>
      <c r="C780" s="1" t="s">
        <v>695</v>
      </c>
      <c r="D780" s="1" t="s">
        <v>770</v>
      </c>
      <c r="E780" s="1" t="s">
        <v>7</v>
      </c>
    </row>
    <row r="781" customFormat="false" ht="16" hidden="false" customHeight="false" outlineLevel="0" collapsed="false">
      <c r="A781" s="1" t="s">
        <v>1735</v>
      </c>
      <c r="B781" s="1" t="s">
        <v>1731</v>
      </c>
      <c r="C781" s="1" t="s">
        <v>695</v>
      </c>
      <c r="D781" s="1" t="s">
        <v>696</v>
      </c>
      <c r="E781" s="1" t="s">
        <v>7</v>
      </c>
    </row>
    <row r="782" customFormat="false" ht="16" hidden="false" customHeight="false" outlineLevel="0" collapsed="false">
      <c r="A782" s="1" t="s">
        <v>1736</v>
      </c>
      <c r="B782" s="1" t="s">
        <v>1737</v>
      </c>
      <c r="C782" s="1" t="s">
        <v>695</v>
      </c>
      <c r="D782" s="1" t="s">
        <v>764</v>
      </c>
      <c r="E782" s="1" t="s">
        <v>7</v>
      </c>
    </row>
    <row r="783" customFormat="false" ht="16" hidden="false" customHeight="false" outlineLevel="0" collapsed="false">
      <c r="A783" s="1" t="s">
        <v>1738</v>
      </c>
      <c r="B783" s="1" t="s">
        <v>1737</v>
      </c>
      <c r="C783" s="1" t="s">
        <v>695</v>
      </c>
      <c r="D783" s="1" t="s">
        <v>766</v>
      </c>
      <c r="E783" s="1" t="s">
        <v>7</v>
      </c>
    </row>
    <row r="784" customFormat="false" ht="16" hidden="false" customHeight="false" outlineLevel="0" collapsed="false">
      <c r="A784" s="1" t="s">
        <v>1739</v>
      </c>
      <c r="B784" s="1" t="s">
        <v>1737</v>
      </c>
      <c r="C784" s="1" t="s">
        <v>695</v>
      </c>
      <c r="D784" s="1" t="s">
        <v>768</v>
      </c>
      <c r="E784" s="1" t="s">
        <v>7</v>
      </c>
    </row>
    <row r="785" customFormat="false" ht="16" hidden="false" customHeight="false" outlineLevel="0" collapsed="false">
      <c r="A785" s="1" t="s">
        <v>1740</v>
      </c>
      <c r="B785" s="1" t="s">
        <v>1737</v>
      </c>
      <c r="C785" s="1" t="s">
        <v>695</v>
      </c>
      <c r="D785" s="1" t="s">
        <v>770</v>
      </c>
      <c r="E785" s="1" t="s">
        <v>7</v>
      </c>
    </row>
    <row r="786" customFormat="false" ht="16" hidden="false" customHeight="false" outlineLevel="0" collapsed="false">
      <c r="A786" s="1" t="s">
        <v>1741</v>
      </c>
      <c r="B786" s="1" t="s">
        <v>1737</v>
      </c>
      <c r="C786" s="1" t="s">
        <v>695</v>
      </c>
      <c r="D786" s="1" t="s">
        <v>696</v>
      </c>
      <c r="E786" s="1" t="s">
        <v>7</v>
      </c>
    </row>
    <row r="787" customFormat="false" ht="16" hidden="false" customHeight="false" outlineLevel="0" collapsed="false">
      <c r="A787" s="1" t="s">
        <v>1742</v>
      </c>
      <c r="B787" s="1" t="s">
        <v>1743</v>
      </c>
      <c r="C787" s="1" t="s">
        <v>695</v>
      </c>
      <c r="D787" s="1" t="s">
        <v>764</v>
      </c>
      <c r="E787" s="1" t="s">
        <v>7</v>
      </c>
    </row>
    <row r="788" customFormat="false" ht="16" hidden="false" customHeight="false" outlineLevel="0" collapsed="false">
      <c r="A788" s="1" t="s">
        <v>1744</v>
      </c>
      <c r="B788" s="1" t="s">
        <v>1743</v>
      </c>
      <c r="C788" s="1" t="s">
        <v>695</v>
      </c>
      <c r="D788" s="1" t="s">
        <v>766</v>
      </c>
      <c r="E788" s="1" t="s">
        <v>7</v>
      </c>
    </row>
    <row r="789" customFormat="false" ht="16" hidden="false" customHeight="false" outlineLevel="0" collapsed="false">
      <c r="A789" s="1" t="s">
        <v>1745</v>
      </c>
      <c r="B789" s="1" t="s">
        <v>1743</v>
      </c>
      <c r="C789" s="1" t="s">
        <v>695</v>
      </c>
      <c r="D789" s="1" t="s">
        <v>768</v>
      </c>
      <c r="E789" s="1" t="s">
        <v>7</v>
      </c>
    </row>
    <row r="790" customFormat="false" ht="16" hidden="false" customHeight="false" outlineLevel="0" collapsed="false">
      <c r="A790" s="1" t="s">
        <v>1746</v>
      </c>
      <c r="B790" s="1" t="s">
        <v>1743</v>
      </c>
      <c r="C790" s="1" t="s">
        <v>695</v>
      </c>
      <c r="D790" s="1" t="s">
        <v>770</v>
      </c>
      <c r="E790" s="1" t="s">
        <v>7</v>
      </c>
    </row>
    <row r="791" customFormat="false" ht="16" hidden="false" customHeight="false" outlineLevel="0" collapsed="false">
      <c r="A791" s="1" t="s">
        <v>1747</v>
      </c>
      <c r="B791" s="1" t="s">
        <v>1743</v>
      </c>
      <c r="C791" s="1" t="s">
        <v>695</v>
      </c>
      <c r="D791" s="1" t="s">
        <v>696</v>
      </c>
      <c r="E791" s="1" t="s">
        <v>7</v>
      </c>
    </row>
    <row r="792" customFormat="false" ht="16" hidden="false" customHeight="false" outlineLevel="0" collapsed="false">
      <c r="A792" s="1" t="s">
        <v>1748</v>
      </c>
      <c r="B792" s="1" t="s">
        <v>1749</v>
      </c>
      <c r="C792" s="1" t="s">
        <v>695</v>
      </c>
      <c r="D792" s="1" t="s">
        <v>764</v>
      </c>
      <c r="E792" s="1" t="s">
        <v>7</v>
      </c>
    </row>
    <row r="793" customFormat="false" ht="16" hidden="false" customHeight="false" outlineLevel="0" collapsed="false">
      <c r="A793" s="1" t="s">
        <v>1750</v>
      </c>
      <c r="B793" s="1" t="s">
        <v>1749</v>
      </c>
      <c r="C793" s="1" t="s">
        <v>695</v>
      </c>
      <c r="D793" s="1" t="s">
        <v>766</v>
      </c>
      <c r="E793" s="1" t="s">
        <v>7</v>
      </c>
    </row>
    <row r="794" customFormat="false" ht="16" hidden="false" customHeight="false" outlineLevel="0" collapsed="false">
      <c r="A794" s="1" t="s">
        <v>1751</v>
      </c>
      <c r="B794" s="1" t="s">
        <v>1749</v>
      </c>
      <c r="C794" s="1" t="s">
        <v>695</v>
      </c>
      <c r="D794" s="1" t="s">
        <v>768</v>
      </c>
      <c r="E794" s="1" t="s">
        <v>7</v>
      </c>
    </row>
    <row r="795" customFormat="false" ht="16" hidden="false" customHeight="false" outlineLevel="0" collapsed="false">
      <c r="A795" s="1" t="s">
        <v>1752</v>
      </c>
      <c r="B795" s="1" t="s">
        <v>1749</v>
      </c>
      <c r="C795" s="1" t="s">
        <v>695</v>
      </c>
      <c r="D795" s="1" t="s">
        <v>770</v>
      </c>
      <c r="E795" s="1" t="s">
        <v>7</v>
      </c>
    </row>
    <row r="796" customFormat="false" ht="16" hidden="false" customHeight="false" outlineLevel="0" collapsed="false">
      <c r="A796" s="1" t="s">
        <v>1753</v>
      </c>
      <c r="B796" s="1" t="s">
        <v>1749</v>
      </c>
      <c r="C796" s="1" t="s">
        <v>695</v>
      </c>
      <c r="D796" s="1" t="s">
        <v>696</v>
      </c>
      <c r="E796" s="1" t="s">
        <v>7</v>
      </c>
    </row>
    <row r="797" customFormat="false" ht="16" hidden="false" customHeight="false" outlineLevel="0" collapsed="false">
      <c r="A797" s="1" t="s">
        <v>1754</v>
      </c>
      <c r="B797" s="1" t="s">
        <v>1755</v>
      </c>
      <c r="C797" s="1" t="s">
        <v>695</v>
      </c>
      <c r="D797" s="1" t="s">
        <v>764</v>
      </c>
      <c r="E797" s="1" t="s">
        <v>7</v>
      </c>
    </row>
    <row r="798" customFormat="false" ht="16" hidden="false" customHeight="false" outlineLevel="0" collapsed="false">
      <c r="A798" s="1" t="s">
        <v>1756</v>
      </c>
      <c r="B798" s="1" t="s">
        <v>1755</v>
      </c>
      <c r="C798" s="1" t="s">
        <v>695</v>
      </c>
      <c r="D798" s="1" t="s">
        <v>766</v>
      </c>
      <c r="E798" s="1" t="s">
        <v>7</v>
      </c>
    </row>
    <row r="799" customFormat="false" ht="16" hidden="false" customHeight="false" outlineLevel="0" collapsed="false">
      <c r="A799" s="1" t="s">
        <v>1757</v>
      </c>
      <c r="B799" s="1" t="s">
        <v>1755</v>
      </c>
      <c r="C799" s="1" t="s">
        <v>695</v>
      </c>
      <c r="D799" s="1" t="s">
        <v>768</v>
      </c>
      <c r="E799" s="1" t="s">
        <v>7</v>
      </c>
    </row>
    <row r="800" customFormat="false" ht="16" hidden="false" customHeight="false" outlineLevel="0" collapsed="false">
      <c r="A800" s="1" t="s">
        <v>1758</v>
      </c>
      <c r="B800" s="1" t="s">
        <v>1755</v>
      </c>
      <c r="C800" s="1" t="s">
        <v>695</v>
      </c>
      <c r="D800" s="1" t="s">
        <v>770</v>
      </c>
      <c r="E800" s="1" t="s">
        <v>7</v>
      </c>
    </row>
    <row r="801" customFormat="false" ht="16" hidden="false" customHeight="false" outlineLevel="0" collapsed="false">
      <c r="A801" s="1" t="s">
        <v>1759</v>
      </c>
      <c r="B801" s="1" t="s">
        <v>1755</v>
      </c>
      <c r="C801" s="1" t="s">
        <v>695</v>
      </c>
      <c r="D801" s="1" t="s">
        <v>696</v>
      </c>
      <c r="E801" s="1" t="s">
        <v>7</v>
      </c>
    </row>
    <row r="802" customFormat="false" ht="16" hidden="false" customHeight="false" outlineLevel="0" collapsed="false">
      <c r="A802" s="1" t="s">
        <v>1760</v>
      </c>
      <c r="B802" s="1" t="s">
        <v>1761</v>
      </c>
      <c r="C802" s="1" t="s">
        <v>695</v>
      </c>
      <c r="D802" s="1" t="s">
        <v>764</v>
      </c>
      <c r="E802" s="1" t="s">
        <v>7</v>
      </c>
    </row>
    <row r="803" customFormat="false" ht="16" hidden="false" customHeight="false" outlineLevel="0" collapsed="false">
      <c r="A803" s="1" t="s">
        <v>1762</v>
      </c>
      <c r="B803" s="1" t="s">
        <v>1761</v>
      </c>
      <c r="C803" s="1" t="s">
        <v>695</v>
      </c>
      <c r="D803" s="1" t="s">
        <v>766</v>
      </c>
      <c r="E803" s="1" t="s">
        <v>7</v>
      </c>
    </row>
    <row r="804" customFormat="false" ht="16" hidden="false" customHeight="false" outlineLevel="0" collapsed="false">
      <c r="A804" s="1" t="s">
        <v>1763</v>
      </c>
      <c r="B804" s="1" t="s">
        <v>1761</v>
      </c>
      <c r="C804" s="1" t="s">
        <v>695</v>
      </c>
      <c r="D804" s="1" t="s">
        <v>768</v>
      </c>
      <c r="E804" s="1" t="s">
        <v>7</v>
      </c>
    </row>
    <row r="805" customFormat="false" ht="16" hidden="false" customHeight="false" outlineLevel="0" collapsed="false">
      <c r="A805" s="1" t="s">
        <v>1764</v>
      </c>
      <c r="B805" s="1" t="s">
        <v>1761</v>
      </c>
      <c r="C805" s="1" t="s">
        <v>695</v>
      </c>
      <c r="D805" s="1" t="s">
        <v>770</v>
      </c>
      <c r="E805" s="1" t="s">
        <v>7</v>
      </c>
    </row>
    <row r="806" customFormat="false" ht="16" hidden="false" customHeight="false" outlineLevel="0" collapsed="false">
      <c r="A806" s="1" t="s">
        <v>1765</v>
      </c>
      <c r="B806" s="1" t="s">
        <v>1761</v>
      </c>
      <c r="C806" s="1" t="s">
        <v>695</v>
      </c>
      <c r="D806" s="1" t="s">
        <v>696</v>
      </c>
      <c r="E806" s="1" t="s">
        <v>7</v>
      </c>
    </row>
    <row r="807" customFormat="false" ht="16" hidden="false" customHeight="false" outlineLevel="0" collapsed="false">
      <c r="A807" s="1" t="s">
        <v>1766</v>
      </c>
      <c r="B807" s="1" t="s">
        <v>1767</v>
      </c>
      <c r="C807" s="1" t="s">
        <v>695</v>
      </c>
      <c r="D807" s="1" t="s">
        <v>764</v>
      </c>
      <c r="E807" s="1" t="s">
        <v>7</v>
      </c>
    </row>
    <row r="808" customFormat="false" ht="16" hidden="false" customHeight="false" outlineLevel="0" collapsed="false">
      <c r="A808" s="1" t="s">
        <v>1768</v>
      </c>
      <c r="B808" s="1" t="s">
        <v>1767</v>
      </c>
      <c r="C808" s="1" t="s">
        <v>695</v>
      </c>
      <c r="D808" s="1" t="s">
        <v>766</v>
      </c>
      <c r="E808" s="1" t="s">
        <v>7</v>
      </c>
    </row>
    <row r="809" customFormat="false" ht="16" hidden="false" customHeight="false" outlineLevel="0" collapsed="false">
      <c r="A809" s="1" t="s">
        <v>1769</v>
      </c>
      <c r="B809" s="1" t="s">
        <v>1767</v>
      </c>
      <c r="C809" s="1" t="s">
        <v>695</v>
      </c>
      <c r="D809" s="1" t="s">
        <v>768</v>
      </c>
      <c r="E809" s="1" t="s">
        <v>7</v>
      </c>
    </row>
    <row r="810" customFormat="false" ht="16" hidden="false" customHeight="false" outlineLevel="0" collapsed="false">
      <c r="A810" s="1" t="s">
        <v>1770</v>
      </c>
      <c r="B810" s="1" t="s">
        <v>1767</v>
      </c>
      <c r="C810" s="1" t="s">
        <v>695</v>
      </c>
      <c r="D810" s="1" t="s">
        <v>770</v>
      </c>
      <c r="E810" s="1" t="s">
        <v>7</v>
      </c>
    </row>
    <row r="811" customFormat="false" ht="16" hidden="false" customHeight="false" outlineLevel="0" collapsed="false">
      <c r="A811" s="1" t="s">
        <v>1771</v>
      </c>
      <c r="B811" s="1" t="s">
        <v>1767</v>
      </c>
      <c r="C811" s="1" t="s">
        <v>695</v>
      </c>
      <c r="D811" s="1" t="s">
        <v>696</v>
      </c>
      <c r="E811" s="1" t="s">
        <v>7</v>
      </c>
    </row>
    <row r="812" customFormat="false" ht="16" hidden="false" customHeight="false" outlineLevel="0" collapsed="false">
      <c r="A812" s="1" t="s">
        <v>1772</v>
      </c>
      <c r="B812" s="1" t="s">
        <v>1773</v>
      </c>
      <c r="C812" s="1" t="s">
        <v>695</v>
      </c>
      <c r="D812" s="1" t="s">
        <v>768</v>
      </c>
      <c r="E812" s="1" t="s">
        <v>7</v>
      </c>
    </row>
    <row r="813" customFormat="false" ht="16" hidden="false" customHeight="false" outlineLevel="0" collapsed="false">
      <c r="A813" s="1" t="s">
        <v>1774</v>
      </c>
      <c r="B813" s="1" t="s">
        <v>1775</v>
      </c>
      <c r="C813" s="1" t="s">
        <v>695</v>
      </c>
      <c r="D813" s="1" t="s">
        <v>770</v>
      </c>
      <c r="E813" s="1" t="s">
        <v>7</v>
      </c>
    </row>
    <row r="814" customFormat="false" ht="16" hidden="false" customHeight="false" outlineLevel="0" collapsed="false">
      <c r="A814" s="1" t="s">
        <v>1776</v>
      </c>
      <c r="B814" s="1" t="s">
        <v>17</v>
      </c>
      <c r="C814" s="1" t="s">
        <v>695</v>
      </c>
      <c r="D814" s="1" t="s">
        <v>764</v>
      </c>
      <c r="E814" s="1" t="s">
        <v>7</v>
      </c>
    </row>
    <row r="815" customFormat="false" ht="16" hidden="false" customHeight="false" outlineLevel="0" collapsed="false">
      <c r="A815" s="1" t="s">
        <v>1777</v>
      </c>
      <c r="B815" s="1" t="s">
        <v>17</v>
      </c>
      <c r="C815" s="1" t="s">
        <v>695</v>
      </c>
      <c r="D815" s="1" t="s">
        <v>766</v>
      </c>
      <c r="E815" s="1" t="s">
        <v>7</v>
      </c>
    </row>
    <row r="816" customFormat="false" ht="16" hidden="false" customHeight="false" outlineLevel="0" collapsed="false">
      <c r="A816" s="1" t="s">
        <v>1778</v>
      </c>
      <c r="B816" s="1" t="s">
        <v>17</v>
      </c>
      <c r="C816" s="1" t="s">
        <v>695</v>
      </c>
      <c r="D816" s="1" t="s">
        <v>768</v>
      </c>
      <c r="E816" s="1" t="s">
        <v>7</v>
      </c>
    </row>
    <row r="817" customFormat="false" ht="16" hidden="false" customHeight="false" outlineLevel="0" collapsed="false">
      <c r="A817" s="1" t="s">
        <v>1779</v>
      </c>
      <c r="B817" s="1" t="s">
        <v>17</v>
      </c>
      <c r="C817" s="1" t="s">
        <v>695</v>
      </c>
      <c r="D817" s="1" t="s">
        <v>770</v>
      </c>
      <c r="E817" s="1" t="s">
        <v>7</v>
      </c>
    </row>
    <row r="818" customFormat="false" ht="16" hidden="false" customHeight="false" outlineLevel="0" collapsed="false">
      <c r="A818" s="1" t="s">
        <v>1780</v>
      </c>
      <c r="B818" s="1" t="s">
        <v>17</v>
      </c>
      <c r="C818" s="1" t="s">
        <v>695</v>
      </c>
      <c r="D818" s="1" t="s">
        <v>696</v>
      </c>
      <c r="E818" s="1" t="s">
        <v>7</v>
      </c>
    </row>
    <row r="819" customFormat="false" ht="16" hidden="false" customHeight="false" outlineLevel="0" collapsed="false">
      <c r="A819" s="1" t="s">
        <v>1781</v>
      </c>
      <c r="B819" s="1" t="s">
        <v>1782</v>
      </c>
      <c r="C819" s="1" t="s">
        <v>695</v>
      </c>
      <c r="D819" s="1" t="s">
        <v>764</v>
      </c>
      <c r="E819" s="1" t="s">
        <v>7</v>
      </c>
    </row>
    <row r="820" customFormat="false" ht="16" hidden="false" customHeight="false" outlineLevel="0" collapsed="false">
      <c r="A820" s="1" t="s">
        <v>1783</v>
      </c>
      <c r="B820" s="1" t="s">
        <v>1782</v>
      </c>
      <c r="C820" s="1" t="s">
        <v>695</v>
      </c>
      <c r="D820" s="1" t="s">
        <v>766</v>
      </c>
      <c r="E820" s="1" t="s">
        <v>7</v>
      </c>
    </row>
    <row r="821" customFormat="false" ht="16" hidden="false" customHeight="false" outlineLevel="0" collapsed="false">
      <c r="A821" s="1" t="s">
        <v>1784</v>
      </c>
      <c r="B821" s="1" t="s">
        <v>1782</v>
      </c>
      <c r="C821" s="1" t="s">
        <v>695</v>
      </c>
      <c r="D821" s="1" t="s">
        <v>768</v>
      </c>
      <c r="E821" s="1" t="s">
        <v>7</v>
      </c>
    </row>
    <row r="822" customFormat="false" ht="16" hidden="false" customHeight="false" outlineLevel="0" collapsed="false">
      <c r="A822" s="1" t="s">
        <v>1785</v>
      </c>
      <c r="B822" s="1" t="s">
        <v>1782</v>
      </c>
      <c r="C822" s="1" t="s">
        <v>695</v>
      </c>
      <c r="D822" s="1" t="s">
        <v>770</v>
      </c>
      <c r="E822" s="1" t="s">
        <v>7</v>
      </c>
    </row>
    <row r="823" customFormat="false" ht="16" hidden="false" customHeight="false" outlineLevel="0" collapsed="false">
      <c r="A823" s="1" t="s">
        <v>1786</v>
      </c>
      <c r="B823" s="1" t="s">
        <v>1782</v>
      </c>
      <c r="C823" s="1" t="s">
        <v>695</v>
      </c>
      <c r="D823" s="1" t="s">
        <v>696</v>
      </c>
      <c r="E823" s="1" t="s">
        <v>7</v>
      </c>
    </row>
    <row r="824" customFormat="false" ht="16" hidden="false" customHeight="false" outlineLevel="0" collapsed="false">
      <c r="A824" s="1" t="s">
        <v>1787</v>
      </c>
      <c r="B824" s="1" t="s">
        <v>1788</v>
      </c>
      <c r="C824" s="1" t="s">
        <v>695</v>
      </c>
      <c r="D824" s="1" t="s">
        <v>764</v>
      </c>
      <c r="E824" s="1" t="s">
        <v>7</v>
      </c>
    </row>
    <row r="825" customFormat="false" ht="16" hidden="false" customHeight="false" outlineLevel="0" collapsed="false">
      <c r="A825" s="1" t="s">
        <v>1789</v>
      </c>
      <c r="B825" s="1" t="s">
        <v>1788</v>
      </c>
      <c r="C825" s="1" t="s">
        <v>695</v>
      </c>
      <c r="D825" s="1" t="s">
        <v>766</v>
      </c>
      <c r="E825" s="1" t="s">
        <v>7</v>
      </c>
    </row>
    <row r="826" customFormat="false" ht="16" hidden="false" customHeight="false" outlineLevel="0" collapsed="false">
      <c r="A826" s="1" t="s">
        <v>1790</v>
      </c>
      <c r="B826" s="1" t="s">
        <v>1788</v>
      </c>
      <c r="C826" s="1" t="s">
        <v>695</v>
      </c>
      <c r="D826" s="1" t="s">
        <v>768</v>
      </c>
      <c r="E826" s="1" t="s">
        <v>7</v>
      </c>
    </row>
    <row r="827" customFormat="false" ht="16" hidden="false" customHeight="false" outlineLevel="0" collapsed="false">
      <c r="A827" s="1" t="s">
        <v>1791</v>
      </c>
      <c r="B827" s="1" t="s">
        <v>1788</v>
      </c>
      <c r="C827" s="1" t="s">
        <v>695</v>
      </c>
      <c r="D827" s="1" t="s">
        <v>770</v>
      </c>
      <c r="E827" s="1" t="s">
        <v>7</v>
      </c>
    </row>
    <row r="828" customFormat="false" ht="16" hidden="false" customHeight="false" outlineLevel="0" collapsed="false">
      <c r="A828" s="1" t="s">
        <v>1792</v>
      </c>
      <c r="B828" s="1" t="s">
        <v>1788</v>
      </c>
      <c r="C828" s="1" t="s">
        <v>695</v>
      </c>
      <c r="D828" s="1" t="s">
        <v>696</v>
      </c>
      <c r="E828" s="1" t="s">
        <v>7</v>
      </c>
    </row>
    <row r="829" customFormat="false" ht="16" hidden="false" customHeight="false" outlineLevel="0" collapsed="false">
      <c r="A829" s="1" t="s">
        <v>1793</v>
      </c>
      <c r="B829" s="1" t="s">
        <v>1794</v>
      </c>
      <c r="C829" s="1" t="s">
        <v>695</v>
      </c>
      <c r="D829" s="1" t="s">
        <v>764</v>
      </c>
      <c r="E829" s="1" t="s">
        <v>7</v>
      </c>
    </row>
    <row r="830" customFormat="false" ht="16" hidden="false" customHeight="false" outlineLevel="0" collapsed="false">
      <c r="A830" s="1" t="s">
        <v>1795</v>
      </c>
      <c r="B830" s="1" t="s">
        <v>1794</v>
      </c>
      <c r="C830" s="1" t="s">
        <v>695</v>
      </c>
      <c r="D830" s="1" t="s">
        <v>766</v>
      </c>
      <c r="E830" s="1" t="s">
        <v>7</v>
      </c>
    </row>
    <row r="831" customFormat="false" ht="16" hidden="false" customHeight="false" outlineLevel="0" collapsed="false">
      <c r="A831" s="1" t="s">
        <v>1796</v>
      </c>
      <c r="B831" s="1" t="s">
        <v>1794</v>
      </c>
      <c r="C831" s="1" t="s">
        <v>695</v>
      </c>
      <c r="D831" s="1" t="s">
        <v>768</v>
      </c>
      <c r="E831" s="1" t="s">
        <v>7</v>
      </c>
    </row>
    <row r="832" customFormat="false" ht="16" hidden="false" customHeight="false" outlineLevel="0" collapsed="false">
      <c r="A832" s="1" t="s">
        <v>1797</v>
      </c>
      <c r="B832" s="1" t="s">
        <v>1794</v>
      </c>
      <c r="C832" s="1" t="s">
        <v>695</v>
      </c>
      <c r="D832" s="1" t="s">
        <v>770</v>
      </c>
      <c r="E832" s="1" t="s">
        <v>7</v>
      </c>
    </row>
    <row r="833" customFormat="false" ht="16" hidden="false" customHeight="false" outlineLevel="0" collapsed="false">
      <c r="A833" s="1" t="s">
        <v>1798</v>
      </c>
      <c r="B833" s="1" t="s">
        <v>1794</v>
      </c>
      <c r="C833" s="1" t="s">
        <v>695</v>
      </c>
      <c r="D833" s="1" t="s">
        <v>696</v>
      </c>
      <c r="E833" s="1" t="s">
        <v>7</v>
      </c>
    </row>
    <row r="834" customFormat="false" ht="16" hidden="false" customHeight="false" outlineLevel="0" collapsed="false">
      <c r="A834" s="1" t="s">
        <v>1799</v>
      </c>
      <c r="B834" s="1" t="s">
        <v>1800</v>
      </c>
      <c r="C834" s="1" t="s">
        <v>695</v>
      </c>
      <c r="D834" s="1" t="s">
        <v>764</v>
      </c>
      <c r="E834" s="1" t="s">
        <v>7</v>
      </c>
    </row>
    <row r="835" customFormat="false" ht="16" hidden="false" customHeight="false" outlineLevel="0" collapsed="false">
      <c r="A835" s="1" t="s">
        <v>1801</v>
      </c>
      <c r="B835" s="1" t="s">
        <v>1800</v>
      </c>
      <c r="C835" s="1" t="s">
        <v>695</v>
      </c>
      <c r="D835" s="1" t="s">
        <v>766</v>
      </c>
      <c r="E835" s="1" t="s">
        <v>7</v>
      </c>
    </row>
    <row r="836" customFormat="false" ht="16" hidden="false" customHeight="false" outlineLevel="0" collapsed="false">
      <c r="A836" s="1" t="s">
        <v>1802</v>
      </c>
      <c r="B836" s="1" t="s">
        <v>1800</v>
      </c>
      <c r="C836" s="1" t="s">
        <v>695</v>
      </c>
      <c r="D836" s="1" t="s">
        <v>768</v>
      </c>
      <c r="E836" s="1" t="s">
        <v>7</v>
      </c>
    </row>
    <row r="837" customFormat="false" ht="16" hidden="false" customHeight="false" outlineLevel="0" collapsed="false">
      <c r="A837" s="1" t="s">
        <v>1803</v>
      </c>
      <c r="B837" s="1" t="s">
        <v>1800</v>
      </c>
      <c r="C837" s="1" t="s">
        <v>695</v>
      </c>
      <c r="D837" s="1" t="s">
        <v>770</v>
      </c>
      <c r="E837" s="1" t="s">
        <v>7</v>
      </c>
    </row>
    <row r="838" customFormat="false" ht="16" hidden="false" customHeight="false" outlineLevel="0" collapsed="false">
      <c r="A838" s="1" t="s">
        <v>1804</v>
      </c>
      <c r="B838" s="1" t="s">
        <v>1800</v>
      </c>
      <c r="C838" s="1" t="s">
        <v>695</v>
      </c>
      <c r="D838" s="1" t="s">
        <v>696</v>
      </c>
      <c r="E838" s="1" t="s">
        <v>7</v>
      </c>
    </row>
    <row r="839" customFormat="false" ht="16" hidden="false" customHeight="false" outlineLevel="0" collapsed="false">
      <c r="A839" s="1" t="s">
        <v>1805</v>
      </c>
      <c r="B839" s="1" t="s">
        <v>1806</v>
      </c>
      <c r="C839" s="1" t="s">
        <v>695</v>
      </c>
      <c r="D839" s="1" t="s">
        <v>764</v>
      </c>
      <c r="E839" s="1" t="s">
        <v>906</v>
      </c>
    </row>
    <row r="840" customFormat="false" ht="16" hidden="false" customHeight="false" outlineLevel="0" collapsed="false">
      <c r="A840" s="1" t="s">
        <v>1807</v>
      </c>
      <c r="B840" s="1" t="s">
        <v>1806</v>
      </c>
      <c r="C840" s="1" t="s">
        <v>695</v>
      </c>
      <c r="D840" s="1" t="s">
        <v>766</v>
      </c>
      <c r="E840" s="1" t="s">
        <v>906</v>
      </c>
    </row>
    <row r="841" customFormat="false" ht="16" hidden="false" customHeight="false" outlineLevel="0" collapsed="false">
      <c r="A841" s="1" t="s">
        <v>1808</v>
      </c>
      <c r="B841" s="1" t="s">
        <v>1806</v>
      </c>
      <c r="C841" s="1" t="s">
        <v>695</v>
      </c>
      <c r="D841" s="1" t="s">
        <v>768</v>
      </c>
      <c r="E841" s="1" t="s">
        <v>906</v>
      </c>
    </row>
    <row r="842" customFormat="false" ht="16" hidden="false" customHeight="false" outlineLevel="0" collapsed="false">
      <c r="A842" s="1" t="s">
        <v>1809</v>
      </c>
      <c r="B842" s="1" t="s">
        <v>1806</v>
      </c>
      <c r="C842" s="1" t="s">
        <v>695</v>
      </c>
      <c r="D842" s="1" t="s">
        <v>770</v>
      </c>
      <c r="E842" s="1" t="s">
        <v>906</v>
      </c>
    </row>
    <row r="843" customFormat="false" ht="16" hidden="false" customHeight="false" outlineLevel="0" collapsed="false">
      <c r="A843" s="1" t="s">
        <v>1810</v>
      </c>
      <c r="B843" s="1" t="s">
        <v>1806</v>
      </c>
      <c r="C843" s="1" t="s">
        <v>695</v>
      </c>
      <c r="D843" s="1" t="s">
        <v>696</v>
      </c>
      <c r="E843" s="1" t="s">
        <v>906</v>
      </c>
    </row>
    <row r="844" customFormat="false" ht="16" hidden="false" customHeight="false" outlineLevel="0" collapsed="false">
      <c r="A844" s="1" t="s">
        <v>1811</v>
      </c>
      <c r="B844" s="1" t="s">
        <v>1812</v>
      </c>
      <c r="C844" s="1" t="s">
        <v>695</v>
      </c>
      <c r="D844" s="1" t="s">
        <v>768</v>
      </c>
      <c r="E844" s="1" t="s">
        <v>7</v>
      </c>
    </row>
    <row r="845" customFormat="false" ht="16" hidden="false" customHeight="false" outlineLevel="0" collapsed="false">
      <c r="A845" s="1" t="s">
        <v>1813</v>
      </c>
      <c r="B845" s="1" t="s">
        <v>1814</v>
      </c>
      <c r="C845" s="1" t="s">
        <v>695</v>
      </c>
      <c r="D845" s="1" t="s">
        <v>768</v>
      </c>
      <c r="E845" s="1" t="s">
        <v>7</v>
      </c>
    </row>
    <row r="846" customFormat="false" ht="16" hidden="false" customHeight="false" outlineLevel="0" collapsed="false">
      <c r="A846" s="1" t="s">
        <v>1815</v>
      </c>
      <c r="B846" s="1" t="s">
        <v>1816</v>
      </c>
      <c r="C846" s="1" t="s">
        <v>695</v>
      </c>
      <c r="D846" s="1" t="s">
        <v>768</v>
      </c>
      <c r="E846" s="1" t="s">
        <v>7</v>
      </c>
    </row>
    <row r="847" customFormat="false" ht="16" hidden="false" customHeight="false" outlineLevel="0" collapsed="false">
      <c r="A847" s="1" t="s">
        <v>1817</v>
      </c>
      <c r="B847" s="1" t="s">
        <v>1818</v>
      </c>
      <c r="C847" s="1" t="s">
        <v>695</v>
      </c>
      <c r="D847" s="1" t="s">
        <v>770</v>
      </c>
      <c r="E847" s="1" t="s">
        <v>7</v>
      </c>
    </row>
    <row r="848" customFormat="false" ht="16" hidden="false" customHeight="false" outlineLevel="0" collapsed="false">
      <c r="A848" s="1" t="s">
        <v>1819</v>
      </c>
      <c r="B848" s="1" t="s">
        <v>117</v>
      </c>
      <c r="C848" s="1" t="s">
        <v>695</v>
      </c>
      <c r="D848" s="1" t="s">
        <v>764</v>
      </c>
      <c r="E848" s="1" t="s">
        <v>7</v>
      </c>
    </row>
    <row r="849" customFormat="false" ht="16" hidden="false" customHeight="false" outlineLevel="0" collapsed="false">
      <c r="A849" s="1" t="s">
        <v>1820</v>
      </c>
      <c r="B849" s="1" t="s">
        <v>117</v>
      </c>
      <c r="C849" s="1" t="s">
        <v>695</v>
      </c>
      <c r="D849" s="1" t="s">
        <v>766</v>
      </c>
      <c r="E849" s="1" t="s">
        <v>7</v>
      </c>
    </row>
    <row r="850" customFormat="false" ht="16" hidden="false" customHeight="false" outlineLevel="0" collapsed="false">
      <c r="A850" s="1" t="s">
        <v>1821</v>
      </c>
      <c r="B850" s="1" t="s">
        <v>117</v>
      </c>
      <c r="C850" s="1" t="s">
        <v>695</v>
      </c>
      <c r="D850" s="1" t="s">
        <v>768</v>
      </c>
      <c r="E850" s="1" t="s">
        <v>7</v>
      </c>
    </row>
    <row r="851" customFormat="false" ht="16" hidden="false" customHeight="false" outlineLevel="0" collapsed="false">
      <c r="A851" s="1" t="s">
        <v>1822</v>
      </c>
      <c r="B851" s="1" t="s">
        <v>117</v>
      </c>
      <c r="C851" s="1" t="s">
        <v>695</v>
      </c>
      <c r="D851" s="1" t="s">
        <v>770</v>
      </c>
      <c r="E851" s="1" t="s">
        <v>7</v>
      </c>
    </row>
    <row r="852" customFormat="false" ht="16" hidden="false" customHeight="false" outlineLevel="0" collapsed="false">
      <c r="A852" s="1" t="s">
        <v>1823</v>
      </c>
      <c r="B852" s="1" t="s">
        <v>117</v>
      </c>
      <c r="C852" s="1" t="s">
        <v>695</v>
      </c>
      <c r="D852" s="1" t="s">
        <v>696</v>
      </c>
      <c r="E852" s="1" t="s">
        <v>7</v>
      </c>
    </row>
    <row r="853" customFormat="false" ht="16" hidden="false" customHeight="false" outlineLevel="0" collapsed="false">
      <c r="A853" s="1" t="s">
        <v>1824</v>
      </c>
      <c r="B853" s="1" t="s">
        <v>1825</v>
      </c>
      <c r="C853" s="1" t="s">
        <v>695</v>
      </c>
      <c r="D853" s="1" t="s">
        <v>764</v>
      </c>
      <c r="E853" s="1" t="s">
        <v>906</v>
      </c>
    </row>
    <row r="854" customFormat="false" ht="16" hidden="false" customHeight="false" outlineLevel="0" collapsed="false">
      <c r="A854" s="1" t="s">
        <v>1826</v>
      </c>
      <c r="B854" s="1" t="s">
        <v>1825</v>
      </c>
      <c r="C854" s="1" t="s">
        <v>695</v>
      </c>
      <c r="D854" s="1" t="s">
        <v>766</v>
      </c>
      <c r="E854" s="1" t="s">
        <v>906</v>
      </c>
    </row>
    <row r="855" customFormat="false" ht="16" hidden="false" customHeight="false" outlineLevel="0" collapsed="false">
      <c r="A855" s="1" t="s">
        <v>1827</v>
      </c>
      <c r="B855" s="1" t="s">
        <v>1825</v>
      </c>
      <c r="C855" s="1" t="s">
        <v>695</v>
      </c>
      <c r="D855" s="1" t="s">
        <v>768</v>
      </c>
      <c r="E855" s="1" t="s">
        <v>906</v>
      </c>
    </row>
    <row r="856" customFormat="false" ht="16" hidden="false" customHeight="false" outlineLevel="0" collapsed="false">
      <c r="A856" s="1" t="s">
        <v>1828</v>
      </c>
      <c r="B856" s="1" t="s">
        <v>1825</v>
      </c>
      <c r="C856" s="1" t="s">
        <v>695</v>
      </c>
      <c r="D856" s="1" t="s">
        <v>770</v>
      </c>
      <c r="E856" s="1" t="s">
        <v>906</v>
      </c>
    </row>
    <row r="857" customFormat="false" ht="16" hidden="false" customHeight="false" outlineLevel="0" collapsed="false">
      <c r="A857" s="1" t="s">
        <v>1829</v>
      </c>
      <c r="B857" s="1" t="s">
        <v>1825</v>
      </c>
      <c r="C857" s="1" t="s">
        <v>695</v>
      </c>
      <c r="D857" s="1" t="s">
        <v>696</v>
      </c>
      <c r="E857" s="1" t="s">
        <v>906</v>
      </c>
    </row>
    <row r="858" customFormat="false" ht="16" hidden="false" customHeight="false" outlineLevel="0" collapsed="false">
      <c r="A858" s="1" t="s">
        <v>1830</v>
      </c>
      <c r="B858" s="1" t="s">
        <v>1831</v>
      </c>
      <c r="C858" s="1" t="s">
        <v>695</v>
      </c>
      <c r="D858" s="1" t="s">
        <v>764</v>
      </c>
      <c r="E858" s="1" t="s">
        <v>906</v>
      </c>
    </row>
    <row r="859" customFormat="false" ht="16" hidden="false" customHeight="false" outlineLevel="0" collapsed="false">
      <c r="A859" s="1" t="s">
        <v>1832</v>
      </c>
      <c r="B859" s="1" t="s">
        <v>1831</v>
      </c>
      <c r="C859" s="1" t="s">
        <v>695</v>
      </c>
      <c r="D859" s="1" t="s">
        <v>766</v>
      </c>
      <c r="E859" s="1" t="s">
        <v>906</v>
      </c>
    </row>
    <row r="860" customFormat="false" ht="16" hidden="false" customHeight="false" outlineLevel="0" collapsed="false">
      <c r="A860" s="1" t="s">
        <v>1833</v>
      </c>
      <c r="B860" s="1" t="s">
        <v>1831</v>
      </c>
      <c r="C860" s="1" t="s">
        <v>695</v>
      </c>
      <c r="D860" s="1" t="s">
        <v>768</v>
      </c>
      <c r="E860" s="1" t="s">
        <v>906</v>
      </c>
    </row>
    <row r="861" customFormat="false" ht="16" hidden="false" customHeight="false" outlineLevel="0" collapsed="false">
      <c r="A861" s="1" t="s">
        <v>1834</v>
      </c>
      <c r="B861" s="1" t="s">
        <v>1831</v>
      </c>
      <c r="C861" s="1" t="s">
        <v>695</v>
      </c>
      <c r="D861" s="1" t="s">
        <v>770</v>
      </c>
      <c r="E861" s="1" t="s">
        <v>906</v>
      </c>
    </row>
    <row r="862" customFormat="false" ht="16" hidden="false" customHeight="false" outlineLevel="0" collapsed="false">
      <c r="A862" s="1" t="s">
        <v>1835</v>
      </c>
      <c r="B862" s="1" t="s">
        <v>1831</v>
      </c>
      <c r="C862" s="1" t="s">
        <v>695</v>
      </c>
      <c r="D862" s="1" t="s">
        <v>696</v>
      </c>
      <c r="E862" s="1" t="s">
        <v>906</v>
      </c>
    </row>
    <row r="863" customFormat="false" ht="16" hidden="false" customHeight="false" outlineLevel="0" collapsed="false">
      <c r="A863" s="1" t="s">
        <v>1836</v>
      </c>
      <c r="B863" s="1" t="s">
        <v>1837</v>
      </c>
      <c r="C863" s="1" t="s">
        <v>695</v>
      </c>
      <c r="D863" s="1" t="s">
        <v>764</v>
      </c>
      <c r="E863" s="1" t="s">
        <v>906</v>
      </c>
    </row>
    <row r="864" customFormat="false" ht="16" hidden="false" customHeight="false" outlineLevel="0" collapsed="false">
      <c r="A864" s="1" t="s">
        <v>1838</v>
      </c>
      <c r="B864" s="1" t="s">
        <v>1837</v>
      </c>
      <c r="C864" s="1" t="s">
        <v>695</v>
      </c>
      <c r="D864" s="1" t="s">
        <v>766</v>
      </c>
      <c r="E864" s="1" t="s">
        <v>906</v>
      </c>
    </row>
    <row r="865" customFormat="false" ht="16" hidden="false" customHeight="false" outlineLevel="0" collapsed="false">
      <c r="A865" s="1" t="s">
        <v>1839</v>
      </c>
      <c r="B865" s="1" t="s">
        <v>1837</v>
      </c>
      <c r="C865" s="1" t="s">
        <v>695</v>
      </c>
      <c r="D865" s="1" t="s">
        <v>768</v>
      </c>
      <c r="E865" s="1" t="s">
        <v>906</v>
      </c>
    </row>
    <row r="866" customFormat="false" ht="16" hidden="false" customHeight="false" outlineLevel="0" collapsed="false">
      <c r="A866" s="1" t="s">
        <v>1840</v>
      </c>
      <c r="B866" s="1" t="s">
        <v>1837</v>
      </c>
      <c r="C866" s="1" t="s">
        <v>695</v>
      </c>
      <c r="D866" s="1" t="s">
        <v>770</v>
      </c>
      <c r="E866" s="1" t="s">
        <v>906</v>
      </c>
    </row>
    <row r="867" customFormat="false" ht="16" hidden="false" customHeight="false" outlineLevel="0" collapsed="false">
      <c r="A867" s="1" t="s">
        <v>1841</v>
      </c>
      <c r="B867" s="1" t="s">
        <v>1837</v>
      </c>
      <c r="C867" s="1" t="s">
        <v>695</v>
      </c>
      <c r="D867" s="1" t="s">
        <v>696</v>
      </c>
      <c r="E867" s="1" t="s">
        <v>906</v>
      </c>
    </row>
    <row r="868" customFormat="false" ht="16" hidden="false" customHeight="false" outlineLevel="0" collapsed="false">
      <c r="A868" s="1" t="s">
        <v>1842</v>
      </c>
      <c r="B868" s="1" t="s">
        <v>1843</v>
      </c>
      <c r="C868" s="1" t="s">
        <v>695</v>
      </c>
      <c r="D868" s="1" t="s">
        <v>764</v>
      </c>
      <c r="E868" s="1" t="s">
        <v>906</v>
      </c>
    </row>
    <row r="869" customFormat="false" ht="16" hidden="false" customHeight="false" outlineLevel="0" collapsed="false">
      <c r="A869" s="1" t="s">
        <v>1844</v>
      </c>
      <c r="B869" s="1" t="s">
        <v>1843</v>
      </c>
      <c r="C869" s="1" t="s">
        <v>695</v>
      </c>
      <c r="D869" s="1" t="s">
        <v>766</v>
      </c>
      <c r="E869" s="1" t="s">
        <v>906</v>
      </c>
    </row>
    <row r="870" customFormat="false" ht="16" hidden="false" customHeight="false" outlineLevel="0" collapsed="false">
      <c r="A870" s="1" t="s">
        <v>1845</v>
      </c>
      <c r="B870" s="1" t="s">
        <v>1843</v>
      </c>
      <c r="C870" s="1" t="s">
        <v>695</v>
      </c>
      <c r="D870" s="1" t="s">
        <v>768</v>
      </c>
      <c r="E870" s="1" t="s">
        <v>906</v>
      </c>
    </row>
    <row r="871" customFormat="false" ht="16" hidden="false" customHeight="false" outlineLevel="0" collapsed="false">
      <c r="A871" s="1" t="s">
        <v>1846</v>
      </c>
      <c r="B871" s="1" t="s">
        <v>1843</v>
      </c>
      <c r="C871" s="1" t="s">
        <v>695</v>
      </c>
      <c r="D871" s="1" t="s">
        <v>770</v>
      </c>
      <c r="E871" s="1" t="s">
        <v>906</v>
      </c>
    </row>
    <row r="872" customFormat="false" ht="16" hidden="false" customHeight="false" outlineLevel="0" collapsed="false">
      <c r="A872" s="1" t="s">
        <v>1847</v>
      </c>
      <c r="B872" s="1" t="s">
        <v>1843</v>
      </c>
      <c r="C872" s="1" t="s">
        <v>695</v>
      </c>
      <c r="D872" s="1" t="s">
        <v>696</v>
      </c>
      <c r="E872" s="1" t="s">
        <v>906</v>
      </c>
    </row>
    <row r="873" customFormat="false" ht="16" hidden="false" customHeight="false" outlineLevel="0" collapsed="false">
      <c r="A873" s="1" t="s">
        <v>1848</v>
      </c>
      <c r="B873" s="1" t="s">
        <v>47</v>
      </c>
      <c r="C873" s="1" t="s">
        <v>695</v>
      </c>
      <c r="D873" s="1" t="s">
        <v>764</v>
      </c>
      <c r="E873" s="1" t="s">
        <v>7</v>
      </c>
    </row>
    <row r="874" customFormat="false" ht="16" hidden="false" customHeight="false" outlineLevel="0" collapsed="false">
      <c r="A874" s="1" t="s">
        <v>1849</v>
      </c>
      <c r="B874" s="1" t="s">
        <v>47</v>
      </c>
      <c r="C874" s="1" t="s">
        <v>695</v>
      </c>
      <c r="D874" s="1" t="s">
        <v>766</v>
      </c>
      <c r="E874" s="1" t="s">
        <v>7</v>
      </c>
    </row>
    <row r="875" customFormat="false" ht="16" hidden="false" customHeight="false" outlineLevel="0" collapsed="false">
      <c r="A875" s="1" t="s">
        <v>1850</v>
      </c>
      <c r="B875" s="1" t="s">
        <v>47</v>
      </c>
      <c r="C875" s="1" t="s">
        <v>695</v>
      </c>
      <c r="D875" s="1" t="s">
        <v>768</v>
      </c>
      <c r="E875" s="1" t="s">
        <v>7</v>
      </c>
    </row>
    <row r="876" customFormat="false" ht="16" hidden="false" customHeight="false" outlineLevel="0" collapsed="false">
      <c r="A876" s="1" t="s">
        <v>1851</v>
      </c>
      <c r="B876" s="1" t="s">
        <v>47</v>
      </c>
      <c r="C876" s="1" t="s">
        <v>695</v>
      </c>
      <c r="D876" s="1" t="s">
        <v>770</v>
      </c>
      <c r="E876" s="1" t="s">
        <v>7</v>
      </c>
    </row>
    <row r="877" customFormat="false" ht="16" hidden="false" customHeight="false" outlineLevel="0" collapsed="false">
      <c r="A877" s="1" t="s">
        <v>1852</v>
      </c>
      <c r="B877" s="1" t="s">
        <v>47</v>
      </c>
      <c r="C877" s="1" t="s">
        <v>695</v>
      </c>
      <c r="D877" s="1" t="s">
        <v>696</v>
      </c>
      <c r="E877" s="1" t="s">
        <v>7</v>
      </c>
    </row>
    <row r="878" customFormat="false" ht="16" hidden="false" customHeight="false" outlineLevel="0" collapsed="false">
      <c r="A878" s="1" t="s">
        <v>1853</v>
      </c>
      <c r="B878" s="1" t="s">
        <v>1854</v>
      </c>
      <c r="C878" s="1" t="s">
        <v>695</v>
      </c>
      <c r="D878" s="1" t="s">
        <v>764</v>
      </c>
      <c r="E878" s="1" t="s">
        <v>906</v>
      </c>
    </row>
    <row r="879" customFormat="false" ht="16" hidden="false" customHeight="false" outlineLevel="0" collapsed="false">
      <c r="A879" s="1" t="s">
        <v>1855</v>
      </c>
      <c r="B879" s="1" t="s">
        <v>1854</v>
      </c>
      <c r="C879" s="1" t="s">
        <v>695</v>
      </c>
      <c r="D879" s="1" t="s">
        <v>766</v>
      </c>
      <c r="E879" s="1" t="s">
        <v>906</v>
      </c>
    </row>
    <row r="880" customFormat="false" ht="16" hidden="false" customHeight="false" outlineLevel="0" collapsed="false">
      <c r="A880" s="1" t="s">
        <v>1856</v>
      </c>
      <c r="B880" s="1" t="s">
        <v>1854</v>
      </c>
      <c r="C880" s="1" t="s">
        <v>695</v>
      </c>
      <c r="D880" s="1" t="s">
        <v>768</v>
      </c>
      <c r="E880" s="1" t="s">
        <v>906</v>
      </c>
    </row>
    <row r="881" customFormat="false" ht="16" hidden="false" customHeight="false" outlineLevel="0" collapsed="false">
      <c r="A881" s="1" t="s">
        <v>1857</v>
      </c>
      <c r="B881" s="1" t="s">
        <v>1854</v>
      </c>
      <c r="C881" s="1" t="s">
        <v>695</v>
      </c>
      <c r="D881" s="1" t="s">
        <v>770</v>
      </c>
      <c r="E881" s="1" t="s">
        <v>906</v>
      </c>
    </row>
    <row r="882" customFormat="false" ht="16" hidden="false" customHeight="false" outlineLevel="0" collapsed="false">
      <c r="A882" s="1" t="s">
        <v>1858</v>
      </c>
      <c r="B882" s="1" t="s">
        <v>1854</v>
      </c>
      <c r="C882" s="1" t="s">
        <v>695</v>
      </c>
      <c r="D882" s="1" t="s">
        <v>696</v>
      </c>
      <c r="E882" s="1" t="s">
        <v>906</v>
      </c>
    </row>
    <row r="883" customFormat="false" ht="16" hidden="false" customHeight="false" outlineLevel="0" collapsed="false">
      <c r="A883" s="1" t="s">
        <v>1859</v>
      </c>
      <c r="B883" s="1" t="s">
        <v>1860</v>
      </c>
      <c r="C883" s="1" t="s">
        <v>695</v>
      </c>
      <c r="D883" s="1" t="s">
        <v>696</v>
      </c>
      <c r="E883" s="1" t="s">
        <v>7</v>
      </c>
    </row>
    <row r="884" customFormat="false" ht="16" hidden="false" customHeight="false" outlineLevel="0" collapsed="false">
      <c r="A884" s="1" t="s">
        <v>1861</v>
      </c>
      <c r="B884" s="1" t="s">
        <v>1862</v>
      </c>
      <c r="C884" s="1" t="s">
        <v>695</v>
      </c>
      <c r="D884" s="1" t="s">
        <v>764</v>
      </c>
      <c r="E884" s="1" t="s">
        <v>7</v>
      </c>
    </row>
    <row r="885" customFormat="false" ht="16" hidden="false" customHeight="false" outlineLevel="0" collapsed="false">
      <c r="A885" s="1" t="s">
        <v>1863</v>
      </c>
      <c r="B885" s="1" t="s">
        <v>1862</v>
      </c>
      <c r="C885" s="1" t="s">
        <v>695</v>
      </c>
      <c r="D885" s="1" t="s">
        <v>766</v>
      </c>
      <c r="E885" s="1" t="s">
        <v>7</v>
      </c>
    </row>
    <row r="886" customFormat="false" ht="16" hidden="false" customHeight="false" outlineLevel="0" collapsed="false">
      <c r="A886" s="1" t="s">
        <v>1864</v>
      </c>
      <c r="B886" s="1" t="s">
        <v>1862</v>
      </c>
      <c r="C886" s="1" t="s">
        <v>695</v>
      </c>
      <c r="D886" s="1" t="s">
        <v>768</v>
      </c>
      <c r="E886" s="1" t="s">
        <v>7</v>
      </c>
    </row>
    <row r="887" customFormat="false" ht="16" hidden="false" customHeight="false" outlineLevel="0" collapsed="false">
      <c r="A887" s="1" t="s">
        <v>1865</v>
      </c>
      <c r="B887" s="1" t="s">
        <v>1862</v>
      </c>
      <c r="C887" s="1" t="s">
        <v>695</v>
      </c>
      <c r="D887" s="1" t="s">
        <v>770</v>
      </c>
      <c r="E887" s="1" t="s">
        <v>7</v>
      </c>
    </row>
    <row r="888" customFormat="false" ht="16" hidden="false" customHeight="false" outlineLevel="0" collapsed="false">
      <c r="A888" s="1" t="s">
        <v>1866</v>
      </c>
      <c r="B888" s="1" t="s">
        <v>1862</v>
      </c>
      <c r="C888" s="1" t="s">
        <v>695</v>
      </c>
      <c r="D888" s="1" t="s">
        <v>696</v>
      </c>
      <c r="E888" s="1" t="s">
        <v>7</v>
      </c>
    </row>
    <row r="889" customFormat="false" ht="16" hidden="false" customHeight="false" outlineLevel="0" collapsed="false">
      <c r="A889" s="1" t="s">
        <v>1867</v>
      </c>
      <c r="B889" s="1" t="s">
        <v>1868</v>
      </c>
      <c r="C889" s="1" t="s">
        <v>695</v>
      </c>
      <c r="D889" s="1" t="s">
        <v>764</v>
      </c>
      <c r="E889" s="1" t="s">
        <v>7</v>
      </c>
    </row>
    <row r="890" customFormat="false" ht="16" hidden="false" customHeight="false" outlineLevel="0" collapsed="false">
      <c r="A890" s="1" t="s">
        <v>1869</v>
      </c>
      <c r="B890" s="1" t="s">
        <v>1868</v>
      </c>
      <c r="C890" s="1" t="s">
        <v>695</v>
      </c>
      <c r="D890" s="1" t="s">
        <v>766</v>
      </c>
      <c r="E890" s="1" t="s">
        <v>7</v>
      </c>
    </row>
    <row r="891" customFormat="false" ht="16" hidden="false" customHeight="false" outlineLevel="0" collapsed="false">
      <c r="A891" s="1" t="s">
        <v>1870</v>
      </c>
      <c r="B891" s="1" t="s">
        <v>1868</v>
      </c>
      <c r="C891" s="1" t="s">
        <v>695</v>
      </c>
      <c r="D891" s="1" t="s">
        <v>768</v>
      </c>
      <c r="E891" s="1" t="s">
        <v>7</v>
      </c>
    </row>
    <row r="892" customFormat="false" ht="16" hidden="false" customHeight="false" outlineLevel="0" collapsed="false">
      <c r="A892" s="1" t="s">
        <v>1871</v>
      </c>
      <c r="B892" s="1" t="s">
        <v>1868</v>
      </c>
      <c r="C892" s="1" t="s">
        <v>695</v>
      </c>
      <c r="D892" s="1" t="s">
        <v>770</v>
      </c>
      <c r="E892" s="1" t="s">
        <v>7</v>
      </c>
    </row>
    <row r="893" customFormat="false" ht="16" hidden="false" customHeight="false" outlineLevel="0" collapsed="false">
      <c r="A893" s="1" t="s">
        <v>1872</v>
      </c>
      <c r="B893" s="1" t="s">
        <v>1868</v>
      </c>
      <c r="C893" s="1" t="s">
        <v>695</v>
      </c>
      <c r="D893" s="1" t="s">
        <v>696</v>
      </c>
      <c r="E893" s="1" t="s">
        <v>7</v>
      </c>
    </row>
    <row r="894" customFormat="false" ht="16" hidden="false" customHeight="false" outlineLevel="0" collapsed="false">
      <c r="A894" s="1" t="s">
        <v>1873</v>
      </c>
      <c r="B894" s="1" t="s">
        <v>1874</v>
      </c>
      <c r="C894" s="1" t="s">
        <v>695</v>
      </c>
      <c r="D894" s="1" t="s">
        <v>764</v>
      </c>
      <c r="E894" s="1" t="s">
        <v>7</v>
      </c>
    </row>
    <row r="895" customFormat="false" ht="16" hidden="false" customHeight="false" outlineLevel="0" collapsed="false">
      <c r="A895" s="1" t="s">
        <v>1875</v>
      </c>
      <c r="B895" s="1" t="s">
        <v>1874</v>
      </c>
      <c r="C895" s="1" t="s">
        <v>695</v>
      </c>
      <c r="D895" s="1" t="s">
        <v>766</v>
      </c>
      <c r="E895" s="1" t="s">
        <v>7</v>
      </c>
    </row>
    <row r="896" customFormat="false" ht="16" hidden="false" customHeight="false" outlineLevel="0" collapsed="false">
      <c r="A896" s="1" t="s">
        <v>1876</v>
      </c>
      <c r="B896" s="1" t="s">
        <v>1874</v>
      </c>
      <c r="C896" s="1" t="s">
        <v>695</v>
      </c>
      <c r="D896" s="1" t="s">
        <v>768</v>
      </c>
      <c r="E896" s="1" t="s">
        <v>7</v>
      </c>
    </row>
    <row r="897" customFormat="false" ht="16" hidden="false" customHeight="false" outlineLevel="0" collapsed="false">
      <c r="A897" s="1" t="s">
        <v>1877</v>
      </c>
      <c r="B897" s="1" t="s">
        <v>1874</v>
      </c>
      <c r="C897" s="1" t="s">
        <v>695</v>
      </c>
      <c r="D897" s="1" t="s">
        <v>770</v>
      </c>
      <c r="E897" s="1" t="s">
        <v>7</v>
      </c>
    </row>
    <row r="898" customFormat="false" ht="16" hidden="false" customHeight="false" outlineLevel="0" collapsed="false">
      <c r="A898" s="1" t="s">
        <v>1878</v>
      </c>
      <c r="B898" s="1" t="s">
        <v>1874</v>
      </c>
      <c r="C898" s="1" t="s">
        <v>695</v>
      </c>
      <c r="D898" s="1" t="s">
        <v>696</v>
      </c>
      <c r="E898" s="1" t="s">
        <v>7</v>
      </c>
    </row>
    <row r="899" customFormat="false" ht="16" hidden="false" customHeight="false" outlineLevel="0" collapsed="false">
      <c r="A899" s="1" t="s">
        <v>1879</v>
      </c>
      <c r="B899" s="1" t="s">
        <v>1880</v>
      </c>
      <c r="C899" s="1" t="s">
        <v>695</v>
      </c>
      <c r="D899" s="1" t="s">
        <v>764</v>
      </c>
      <c r="E899" s="1" t="s">
        <v>906</v>
      </c>
    </row>
    <row r="900" customFormat="false" ht="16" hidden="false" customHeight="false" outlineLevel="0" collapsed="false">
      <c r="A900" s="1" t="s">
        <v>1881</v>
      </c>
      <c r="B900" s="1" t="s">
        <v>1880</v>
      </c>
      <c r="C900" s="1" t="s">
        <v>695</v>
      </c>
      <c r="D900" s="1" t="s">
        <v>766</v>
      </c>
      <c r="E900" s="1" t="s">
        <v>906</v>
      </c>
    </row>
    <row r="901" customFormat="false" ht="16" hidden="false" customHeight="false" outlineLevel="0" collapsed="false">
      <c r="A901" s="1" t="s">
        <v>1882</v>
      </c>
      <c r="B901" s="1" t="s">
        <v>1880</v>
      </c>
      <c r="C901" s="1" t="s">
        <v>695</v>
      </c>
      <c r="D901" s="1" t="s">
        <v>768</v>
      </c>
      <c r="E901" s="1" t="s">
        <v>906</v>
      </c>
    </row>
    <row r="902" customFormat="false" ht="16" hidden="false" customHeight="false" outlineLevel="0" collapsed="false">
      <c r="A902" s="1" t="s">
        <v>1883</v>
      </c>
      <c r="B902" s="1" t="s">
        <v>1880</v>
      </c>
      <c r="C902" s="1" t="s">
        <v>695</v>
      </c>
      <c r="D902" s="1" t="s">
        <v>770</v>
      </c>
      <c r="E902" s="1" t="s">
        <v>906</v>
      </c>
    </row>
    <row r="903" customFormat="false" ht="16" hidden="false" customHeight="false" outlineLevel="0" collapsed="false">
      <c r="A903" s="1" t="s">
        <v>1884</v>
      </c>
      <c r="B903" s="1" t="s">
        <v>1880</v>
      </c>
      <c r="C903" s="1" t="s">
        <v>695</v>
      </c>
      <c r="D903" s="1" t="s">
        <v>696</v>
      </c>
      <c r="E903" s="1" t="s">
        <v>906</v>
      </c>
    </row>
    <row r="904" customFormat="false" ht="16" hidden="false" customHeight="false" outlineLevel="0" collapsed="false">
      <c r="A904" s="1" t="s">
        <v>1885</v>
      </c>
      <c r="B904" s="1" t="s">
        <v>1886</v>
      </c>
      <c r="C904" s="1" t="s">
        <v>695</v>
      </c>
      <c r="D904" s="1" t="s">
        <v>764</v>
      </c>
      <c r="E904" s="1" t="s">
        <v>906</v>
      </c>
    </row>
    <row r="905" customFormat="false" ht="16" hidden="false" customHeight="false" outlineLevel="0" collapsed="false">
      <c r="A905" s="1" t="s">
        <v>1887</v>
      </c>
      <c r="B905" s="1" t="s">
        <v>1886</v>
      </c>
      <c r="C905" s="1" t="s">
        <v>695</v>
      </c>
      <c r="D905" s="1" t="s">
        <v>766</v>
      </c>
      <c r="E905" s="1" t="s">
        <v>906</v>
      </c>
    </row>
    <row r="906" customFormat="false" ht="16" hidden="false" customHeight="false" outlineLevel="0" collapsed="false">
      <c r="A906" s="1" t="s">
        <v>1888</v>
      </c>
      <c r="B906" s="1" t="s">
        <v>1886</v>
      </c>
      <c r="C906" s="1" t="s">
        <v>695</v>
      </c>
      <c r="D906" s="1" t="s">
        <v>768</v>
      </c>
      <c r="E906" s="1" t="s">
        <v>906</v>
      </c>
    </row>
    <row r="907" customFormat="false" ht="16" hidden="false" customHeight="false" outlineLevel="0" collapsed="false">
      <c r="A907" s="1" t="s">
        <v>1889</v>
      </c>
      <c r="B907" s="1" t="s">
        <v>1886</v>
      </c>
      <c r="C907" s="1" t="s">
        <v>695</v>
      </c>
      <c r="D907" s="1" t="s">
        <v>770</v>
      </c>
      <c r="E907" s="1" t="s">
        <v>906</v>
      </c>
    </row>
    <row r="908" customFormat="false" ht="16" hidden="false" customHeight="false" outlineLevel="0" collapsed="false">
      <c r="A908" s="1" t="s">
        <v>1890</v>
      </c>
      <c r="B908" s="1" t="s">
        <v>1886</v>
      </c>
      <c r="C908" s="1" t="s">
        <v>695</v>
      </c>
      <c r="D908" s="1" t="s">
        <v>696</v>
      </c>
      <c r="E908" s="1" t="s">
        <v>906</v>
      </c>
    </row>
    <row r="909" customFormat="false" ht="16" hidden="false" customHeight="false" outlineLevel="0" collapsed="false">
      <c r="A909" s="1" t="s">
        <v>1891</v>
      </c>
      <c r="B909" s="1" t="s">
        <v>1892</v>
      </c>
      <c r="C909" s="1" t="s">
        <v>695</v>
      </c>
      <c r="D909" s="1" t="s">
        <v>764</v>
      </c>
      <c r="E909" s="1" t="s">
        <v>906</v>
      </c>
    </row>
    <row r="910" customFormat="false" ht="16" hidden="false" customHeight="false" outlineLevel="0" collapsed="false">
      <c r="A910" s="1" t="s">
        <v>1893</v>
      </c>
      <c r="B910" s="1" t="s">
        <v>1892</v>
      </c>
      <c r="C910" s="1" t="s">
        <v>695</v>
      </c>
      <c r="D910" s="1" t="s">
        <v>766</v>
      </c>
      <c r="E910" s="1" t="s">
        <v>906</v>
      </c>
    </row>
    <row r="911" customFormat="false" ht="16" hidden="false" customHeight="false" outlineLevel="0" collapsed="false">
      <c r="A911" s="1" t="s">
        <v>1894</v>
      </c>
      <c r="B911" s="1" t="s">
        <v>1892</v>
      </c>
      <c r="C911" s="1" t="s">
        <v>695</v>
      </c>
      <c r="D911" s="1" t="s">
        <v>768</v>
      </c>
      <c r="E911" s="1" t="s">
        <v>906</v>
      </c>
    </row>
    <row r="912" customFormat="false" ht="16" hidden="false" customHeight="false" outlineLevel="0" collapsed="false">
      <c r="A912" s="1" t="s">
        <v>1895</v>
      </c>
      <c r="B912" s="1" t="s">
        <v>1892</v>
      </c>
      <c r="C912" s="1" t="s">
        <v>695</v>
      </c>
      <c r="D912" s="1" t="s">
        <v>770</v>
      </c>
      <c r="E912" s="1" t="s">
        <v>906</v>
      </c>
    </row>
    <row r="913" customFormat="false" ht="16" hidden="false" customHeight="false" outlineLevel="0" collapsed="false">
      <c r="A913" s="1" t="s">
        <v>1896</v>
      </c>
      <c r="B913" s="1" t="s">
        <v>1892</v>
      </c>
      <c r="C913" s="1" t="s">
        <v>695</v>
      </c>
      <c r="D913" s="1" t="s">
        <v>696</v>
      </c>
      <c r="E913" s="1" t="s">
        <v>906</v>
      </c>
    </row>
    <row r="914" customFormat="false" ht="16" hidden="false" customHeight="false" outlineLevel="0" collapsed="false">
      <c r="A914" s="1" t="s">
        <v>1897</v>
      </c>
      <c r="B914" s="1" t="s">
        <v>1898</v>
      </c>
      <c r="C914" s="1" t="s">
        <v>695</v>
      </c>
      <c r="D914" s="1" t="s">
        <v>764</v>
      </c>
      <c r="E914" s="1" t="s">
        <v>906</v>
      </c>
    </row>
    <row r="915" customFormat="false" ht="16" hidden="false" customHeight="false" outlineLevel="0" collapsed="false">
      <c r="A915" s="1" t="s">
        <v>1899</v>
      </c>
      <c r="B915" s="1" t="s">
        <v>1898</v>
      </c>
      <c r="C915" s="1" t="s">
        <v>695</v>
      </c>
      <c r="D915" s="1" t="s">
        <v>766</v>
      </c>
      <c r="E915" s="1" t="s">
        <v>906</v>
      </c>
    </row>
    <row r="916" customFormat="false" ht="16" hidden="false" customHeight="false" outlineLevel="0" collapsed="false">
      <c r="A916" s="1" t="s">
        <v>1900</v>
      </c>
      <c r="B916" s="1" t="s">
        <v>1898</v>
      </c>
      <c r="C916" s="1" t="s">
        <v>695</v>
      </c>
      <c r="D916" s="1" t="s">
        <v>768</v>
      </c>
      <c r="E916" s="1" t="s">
        <v>906</v>
      </c>
    </row>
    <row r="917" customFormat="false" ht="16" hidden="false" customHeight="false" outlineLevel="0" collapsed="false">
      <c r="A917" s="1" t="s">
        <v>1901</v>
      </c>
      <c r="B917" s="1" t="s">
        <v>1898</v>
      </c>
      <c r="C917" s="1" t="s">
        <v>695</v>
      </c>
      <c r="D917" s="1" t="s">
        <v>770</v>
      </c>
      <c r="E917" s="1" t="s">
        <v>906</v>
      </c>
    </row>
    <row r="918" customFormat="false" ht="16" hidden="false" customHeight="false" outlineLevel="0" collapsed="false">
      <c r="A918" s="1" t="s">
        <v>1902</v>
      </c>
      <c r="B918" s="1" t="s">
        <v>1898</v>
      </c>
      <c r="C918" s="1" t="s">
        <v>695</v>
      </c>
      <c r="D918" s="1" t="s">
        <v>696</v>
      </c>
      <c r="E918" s="1" t="s">
        <v>906</v>
      </c>
    </row>
    <row r="919" customFormat="false" ht="16" hidden="false" customHeight="false" outlineLevel="0" collapsed="false">
      <c r="A919" s="1" t="s">
        <v>1903</v>
      </c>
      <c r="B919" s="1" t="s">
        <v>1904</v>
      </c>
      <c r="C919" s="1" t="s">
        <v>695</v>
      </c>
      <c r="D919" s="1" t="s">
        <v>764</v>
      </c>
      <c r="E919" s="1" t="s">
        <v>906</v>
      </c>
    </row>
    <row r="920" customFormat="false" ht="16" hidden="false" customHeight="false" outlineLevel="0" collapsed="false">
      <c r="A920" s="1" t="s">
        <v>1905</v>
      </c>
      <c r="B920" s="1" t="s">
        <v>1904</v>
      </c>
      <c r="C920" s="1" t="s">
        <v>695</v>
      </c>
      <c r="D920" s="1" t="s">
        <v>766</v>
      </c>
      <c r="E920" s="1" t="s">
        <v>906</v>
      </c>
    </row>
    <row r="921" customFormat="false" ht="16" hidden="false" customHeight="false" outlineLevel="0" collapsed="false">
      <c r="A921" s="1" t="s">
        <v>1906</v>
      </c>
      <c r="B921" s="1" t="s">
        <v>1904</v>
      </c>
      <c r="C921" s="1" t="s">
        <v>695</v>
      </c>
      <c r="D921" s="1" t="s">
        <v>768</v>
      </c>
      <c r="E921" s="1" t="s">
        <v>906</v>
      </c>
    </row>
    <row r="922" customFormat="false" ht="16" hidden="false" customHeight="false" outlineLevel="0" collapsed="false">
      <c r="A922" s="1" t="s">
        <v>1907</v>
      </c>
      <c r="B922" s="1" t="s">
        <v>1904</v>
      </c>
      <c r="C922" s="1" t="s">
        <v>695</v>
      </c>
      <c r="D922" s="1" t="s">
        <v>770</v>
      </c>
      <c r="E922" s="1" t="s">
        <v>906</v>
      </c>
    </row>
    <row r="923" customFormat="false" ht="16" hidden="false" customHeight="false" outlineLevel="0" collapsed="false">
      <c r="A923" s="1" t="s">
        <v>1908</v>
      </c>
      <c r="B923" s="1" t="s">
        <v>1904</v>
      </c>
      <c r="C923" s="1" t="s">
        <v>695</v>
      </c>
      <c r="D923" s="1" t="s">
        <v>696</v>
      </c>
      <c r="E923" s="1" t="s">
        <v>906</v>
      </c>
    </row>
    <row r="924" customFormat="false" ht="16" hidden="false" customHeight="false" outlineLevel="0" collapsed="false">
      <c r="A924" s="1" t="s">
        <v>1909</v>
      </c>
      <c r="B924" s="1" t="s">
        <v>1910</v>
      </c>
      <c r="C924" s="1" t="s">
        <v>695</v>
      </c>
      <c r="D924" s="1" t="s">
        <v>764</v>
      </c>
      <c r="E924" s="1" t="s">
        <v>7</v>
      </c>
    </row>
    <row r="925" customFormat="false" ht="16" hidden="false" customHeight="false" outlineLevel="0" collapsed="false">
      <c r="A925" s="1" t="s">
        <v>1911</v>
      </c>
      <c r="B925" s="1" t="s">
        <v>1910</v>
      </c>
      <c r="C925" s="1" t="s">
        <v>695</v>
      </c>
      <c r="D925" s="1" t="s">
        <v>766</v>
      </c>
      <c r="E925" s="1" t="s">
        <v>7</v>
      </c>
    </row>
    <row r="926" customFormat="false" ht="16" hidden="false" customHeight="false" outlineLevel="0" collapsed="false">
      <c r="A926" s="1" t="s">
        <v>1912</v>
      </c>
      <c r="B926" s="1" t="s">
        <v>1910</v>
      </c>
      <c r="C926" s="1" t="s">
        <v>695</v>
      </c>
      <c r="D926" s="1" t="s">
        <v>768</v>
      </c>
      <c r="E926" s="1" t="s">
        <v>7</v>
      </c>
    </row>
    <row r="927" customFormat="false" ht="16" hidden="false" customHeight="false" outlineLevel="0" collapsed="false">
      <c r="A927" s="1" t="s">
        <v>1913</v>
      </c>
      <c r="B927" s="1" t="s">
        <v>1910</v>
      </c>
      <c r="C927" s="1" t="s">
        <v>695</v>
      </c>
      <c r="D927" s="1" t="s">
        <v>770</v>
      </c>
      <c r="E927" s="1" t="s">
        <v>7</v>
      </c>
    </row>
    <row r="928" customFormat="false" ht="16" hidden="false" customHeight="false" outlineLevel="0" collapsed="false">
      <c r="A928" s="1" t="s">
        <v>1914</v>
      </c>
      <c r="B928" s="1" t="s">
        <v>1910</v>
      </c>
      <c r="C928" s="1" t="s">
        <v>695</v>
      </c>
      <c r="D928" s="1" t="s">
        <v>696</v>
      </c>
      <c r="E928" s="1" t="s">
        <v>7</v>
      </c>
    </row>
    <row r="929" customFormat="false" ht="16" hidden="false" customHeight="false" outlineLevel="0" collapsed="false">
      <c r="A929" s="1" t="s">
        <v>1915</v>
      </c>
      <c r="B929" s="1" t="s">
        <v>1916</v>
      </c>
      <c r="C929" s="1" t="s">
        <v>695</v>
      </c>
      <c r="D929" s="1" t="s">
        <v>768</v>
      </c>
      <c r="E929" s="1" t="s">
        <v>7</v>
      </c>
    </row>
    <row r="930" customFormat="false" ht="16" hidden="false" customHeight="false" outlineLevel="0" collapsed="false">
      <c r="A930" s="1" t="s">
        <v>1917</v>
      </c>
      <c r="B930" s="1" t="s">
        <v>1918</v>
      </c>
      <c r="C930" s="1" t="s">
        <v>695</v>
      </c>
      <c r="D930" s="1" t="s">
        <v>768</v>
      </c>
      <c r="E930" s="1" t="s">
        <v>7</v>
      </c>
    </row>
    <row r="931" customFormat="false" ht="16" hidden="false" customHeight="false" outlineLevel="0" collapsed="false">
      <c r="A931" s="1" t="s">
        <v>1919</v>
      </c>
      <c r="B931" s="1" t="s">
        <v>125</v>
      </c>
      <c r="C931" s="1" t="s">
        <v>695</v>
      </c>
      <c r="D931" s="1" t="s">
        <v>764</v>
      </c>
      <c r="E931" s="1" t="s">
        <v>7</v>
      </c>
    </row>
    <row r="932" customFormat="false" ht="16" hidden="false" customHeight="false" outlineLevel="0" collapsed="false">
      <c r="A932" s="1" t="s">
        <v>1920</v>
      </c>
      <c r="B932" s="1" t="s">
        <v>125</v>
      </c>
      <c r="C932" s="1" t="s">
        <v>695</v>
      </c>
      <c r="D932" s="1" t="s">
        <v>766</v>
      </c>
      <c r="E932" s="1" t="s">
        <v>7</v>
      </c>
    </row>
    <row r="933" customFormat="false" ht="16" hidden="false" customHeight="false" outlineLevel="0" collapsed="false">
      <c r="A933" s="1" t="s">
        <v>1921</v>
      </c>
      <c r="B933" s="1" t="s">
        <v>125</v>
      </c>
      <c r="C933" s="1" t="s">
        <v>695</v>
      </c>
      <c r="D933" s="1" t="s">
        <v>768</v>
      </c>
      <c r="E933" s="1" t="s">
        <v>7</v>
      </c>
    </row>
    <row r="934" customFormat="false" ht="16" hidden="false" customHeight="false" outlineLevel="0" collapsed="false">
      <c r="A934" s="1" t="s">
        <v>1922</v>
      </c>
      <c r="B934" s="1" t="s">
        <v>125</v>
      </c>
      <c r="C934" s="1" t="s">
        <v>695</v>
      </c>
      <c r="D934" s="1" t="s">
        <v>770</v>
      </c>
      <c r="E934" s="1" t="s">
        <v>7</v>
      </c>
    </row>
    <row r="935" customFormat="false" ht="16" hidden="false" customHeight="false" outlineLevel="0" collapsed="false">
      <c r="A935" s="1" t="s">
        <v>1923</v>
      </c>
      <c r="B935" s="1" t="s">
        <v>125</v>
      </c>
      <c r="C935" s="1" t="s">
        <v>695</v>
      </c>
      <c r="D935" s="1" t="s">
        <v>696</v>
      </c>
      <c r="E935" s="1" t="s">
        <v>7</v>
      </c>
    </row>
    <row r="936" customFormat="false" ht="16" hidden="false" customHeight="false" outlineLevel="0" collapsed="false">
      <c r="A936" s="1" t="s">
        <v>1924</v>
      </c>
      <c r="B936" s="1" t="s">
        <v>1925</v>
      </c>
      <c r="C936" s="1" t="s">
        <v>695</v>
      </c>
      <c r="D936" s="1" t="s">
        <v>764</v>
      </c>
      <c r="E936" s="1" t="s">
        <v>906</v>
      </c>
    </row>
    <row r="937" customFormat="false" ht="16" hidden="false" customHeight="false" outlineLevel="0" collapsed="false">
      <c r="A937" s="1" t="s">
        <v>1926</v>
      </c>
      <c r="B937" s="1" t="s">
        <v>1925</v>
      </c>
      <c r="C937" s="1" t="s">
        <v>695</v>
      </c>
      <c r="D937" s="1" t="s">
        <v>766</v>
      </c>
      <c r="E937" s="1" t="s">
        <v>906</v>
      </c>
    </row>
    <row r="938" customFormat="false" ht="16" hidden="false" customHeight="false" outlineLevel="0" collapsed="false">
      <c r="A938" s="1" t="s">
        <v>1927</v>
      </c>
      <c r="B938" s="1" t="s">
        <v>1925</v>
      </c>
      <c r="C938" s="1" t="s">
        <v>695</v>
      </c>
      <c r="D938" s="1" t="s">
        <v>768</v>
      </c>
      <c r="E938" s="1" t="s">
        <v>906</v>
      </c>
    </row>
    <row r="939" customFormat="false" ht="16" hidden="false" customHeight="false" outlineLevel="0" collapsed="false">
      <c r="A939" s="1" t="s">
        <v>1928</v>
      </c>
      <c r="B939" s="1" t="s">
        <v>1925</v>
      </c>
      <c r="C939" s="1" t="s">
        <v>695</v>
      </c>
      <c r="D939" s="1" t="s">
        <v>770</v>
      </c>
      <c r="E939" s="1" t="s">
        <v>906</v>
      </c>
    </row>
    <row r="940" customFormat="false" ht="16" hidden="false" customHeight="false" outlineLevel="0" collapsed="false">
      <c r="A940" s="1" t="s">
        <v>1929</v>
      </c>
      <c r="B940" s="1" t="s">
        <v>1925</v>
      </c>
      <c r="C940" s="1" t="s">
        <v>695</v>
      </c>
      <c r="D940" s="1" t="s">
        <v>696</v>
      </c>
      <c r="E940" s="1" t="s">
        <v>906</v>
      </c>
    </row>
    <row r="941" customFormat="false" ht="16" hidden="false" customHeight="false" outlineLevel="0" collapsed="false">
      <c r="A941" s="1" t="s">
        <v>1930</v>
      </c>
      <c r="B941" s="1" t="s">
        <v>1931</v>
      </c>
      <c r="C941" s="1" t="s">
        <v>695</v>
      </c>
      <c r="D941" s="1" t="s">
        <v>770</v>
      </c>
      <c r="E941" s="1" t="s">
        <v>7</v>
      </c>
    </row>
    <row r="942" customFormat="false" ht="16" hidden="false" customHeight="false" outlineLevel="0" collapsed="false">
      <c r="A942" s="1" t="s">
        <v>1932</v>
      </c>
      <c r="B942" s="1" t="s">
        <v>59</v>
      </c>
      <c r="C942" s="1" t="s">
        <v>695</v>
      </c>
      <c r="D942" s="1" t="s">
        <v>764</v>
      </c>
      <c r="E942" s="1" t="s">
        <v>7</v>
      </c>
    </row>
    <row r="943" customFormat="false" ht="16" hidden="false" customHeight="false" outlineLevel="0" collapsed="false">
      <c r="A943" s="1" t="s">
        <v>1933</v>
      </c>
      <c r="B943" s="1" t="s">
        <v>59</v>
      </c>
      <c r="C943" s="1" t="s">
        <v>695</v>
      </c>
      <c r="D943" s="1" t="s">
        <v>766</v>
      </c>
      <c r="E943" s="1" t="s">
        <v>7</v>
      </c>
    </row>
    <row r="944" customFormat="false" ht="16" hidden="false" customHeight="false" outlineLevel="0" collapsed="false">
      <c r="A944" s="1" t="s">
        <v>1934</v>
      </c>
      <c r="B944" s="1" t="s">
        <v>59</v>
      </c>
      <c r="C944" s="1" t="s">
        <v>695</v>
      </c>
      <c r="D944" s="1" t="s">
        <v>768</v>
      </c>
      <c r="E944" s="1" t="s">
        <v>7</v>
      </c>
    </row>
    <row r="945" customFormat="false" ht="16" hidden="false" customHeight="false" outlineLevel="0" collapsed="false">
      <c r="A945" s="1" t="s">
        <v>1935</v>
      </c>
      <c r="B945" s="1" t="s">
        <v>59</v>
      </c>
      <c r="C945" s="1" t="s">
        <v>695</v>
      </c>
      <c r="D945" s="1" t="s">
        <v>770</v>
      </c>
      <c r="E945" s="1" t="s">
        <v>7</v>
      </c>
    </row>
    <row r="946" customFormat="false" ht="16" hidden="false" customHeight="false" outlineLevel="0" collapsed="false">
      <c r="A946" s="1" t="s">
        <v>1936</v>
      </c>
      <c r="B946" s="1" t="s">
        <v>59</v>
      </c>
      <c r="C946" s="1" t="s">
        <v>695</v>
      </c>
      <c r="D946" s="1" t="s">
        <v>696</v>
      </c>
      <c r="E946" s="1" t="s">
        <v>7</v>
      </c>
    </row>
    <row r="947" customFormat="false" ht="16" hidden="false" customHeight="false" outlineLevel="0" collapsed="false">
      <c r="A947" s="1" t="s">
        <v>1937</v>
      </c>
      <c r="B947" s="1" t="s">
        <v>1938</v>
      </c>
      <c r="C947" s="1" t="s">
        <v>695</v>
      </c>
      <c r="D947" s="1" t="s">
        <v>764</v>
      </c>
      <c r="E947" s="1" t="s">
        <v>906</v>
      </c>
    </row>
    <row r="948" customFormat="false" ht="16" hidden="false" customHeight="false" outlineLevel="0" collapsed="false">
      <c r="A948" s="1" t="s">
        <v>1939</v>
      </c>
      <c r="B948" s="1" t="s">
        <v>1938</v>
      </c>
      <c r="C948" s="1" t="s">
        <v>695</v>
      </c>
      <c r="D948" s="1" t="s">
        <v>766</v>
      </c>
      <c r="E948" s="1" t="s">
        <v>906</v>
      </c>
    </row>
    <row r="949" customFormat="false" ht="16" hidden="false" customHeight="false" outlineLevel="0" collapsed="false">
      <c r="A949" s="1" t="s">
        <v>1940</v>
      </c>
      <c r="B949" s="1" t="s">
        <v>1938</v>
      </c>
      <c r="C949" s="1" t="s">
        <v>695</v>
      </c>
      <c r="D949" s="1" t="s">
        <v>768</v>
      </c>
      <c r="E949" s="1" t="s">
        <v>906</v>
      </c>
    </row>
    <row r="950" customFormat="false" ht="16" hidden="false" customHeight="false" outlineLevel="0" collapsed="false">
      <c r="A950" s="1" t="s">
        <v>1941</v>
      </c>
      <c r="B950" s="1" t="s">
        <v>1938</v>
      </c>
      <c r="C950" s="1" t="s">
        <v>695</v>
      </c>
      <c r="D950" s="1" t="s">
        <v>770</v>
      </c>
      <c r="E950" s="1" t="s">
        <v>906</v>
      </c>
    </row>
    <row r="951" customFormat="false" ht="16" hidden="false" customHeight="false" outlineLevel="0" collapsed="false">
      <c r="A951" s="1" t="s">
        <v>1942</v>
      </c>
      <c r="B951" s="1" t="s">
        <v>1938</v>
      </c>
      <c r="C951" s="1" t="s">
        <v>695</v>
      </c>
      <c r="D951" s="1" t="s">
        <v>696</v>
      </c>
      <c r="E951" s="1" t="s">
        <v>906</v>
      </c>
    </row>
    <row r="952" customFormat="false" ht="16" hidden="false" customHeight="false" outlineLevel="0" collapsed="false">
      <c r="A952" s="1" t="s">
        <v>1943</v>
      </c>
      <c r="B952" s="1" t="s">
        <v>65</v>
      </c>
      <c r="C952" s="1" t="s">
        <v>695</v>
      </c>
      <c r="D952" s="1" t="s">
        <v>696</v>
      </c>
      <c r="E952" s="1" t="s">
        <v>7</v>
      </c>
    </row>
    <row r="953" customFormat="false" ht="16" hidden="false" customHeight="false" outlineLevel="0" collapsed="false">
      <c r="A953" s="1" t="s">
        <v>1944</v>
      </c>
      <c r="B953" s="1" t="s">
        <v>1945</v>
      </c>
      <c r="C953" s="1" t="s">
        <v>695</v>
      </c>
      <c r="D953" s="1" t="s">
        <v>764</v>
      </c>
      <c r="E953" s="1" t="s">
        <v>7</v>
      </c>
    </row>
    <row r="954" customFormat="false" ht="16" hidden="false" customHeight="false" outlineLevel="0" collapsed="false">
      <c r="A954" s="1" t="s">
        <v>1946</v>
      </c>
      <c r="B954" s="1" t="s">
        <v>1945</v>
      </c>
      <c r="C954" s="1" t="s">
        <v>695</v>
      </c>
      <c r="D954" s="1" t="s">
        <v>766</v>
      </c>
      <c r="E954" s="1" t="s">
        <v>7</v>
      </c>
    </row>
    <row r="955" customFormat="false" ht="16" hidden="false" customHeight="false" outlineLevel="0" collapsed="false">
      <c r="A955" s="1" t="s">
        <v>1947</v>
      </c>
      <c r="B955" s="1" t="s">
        <v>1945</v>
      </c>
      <c r="C955" s="1" t="s">
        <v>695</v>
      </c>
      <c r="D955" s="1" t="s">
        <v>768</v>
      </c>
      <c r="E955" s="1" t="s">
        <v>7</v>
      </c>
    </row>
    <row r="956" customFormat="false" ht="16" hidden="false" customHeight="false" outlineLevel="0" collapsed="false">
      <c r="A956" s="1" t="s">
        <v>1948</v>
      </c>
      <c r="B956" s="1" t="s">
        <v>1945</v>
      </c>
      <c r="C956" s="1" t="s">
        <v>695</v>
      </c>
      <c r="D956" s="1" t="s">
        <v>770</v>
      </c>
      <c r="E956" s="1" t="s">
        <v>7</v>
      </c>
    </row>
    <row r="957" customFormat="false" ht="16" hidden="false" customHeight="false" outlineLevel="0" collapsed="false">
      <c r="A957" s="1" t="s">
        <v>1949</v>
      </c>
      <c r="B957" s="1" t="s">
        <v>1945</v>
      </c>
      <c r="C957" s="1" t="s">
        <v>695</v>
      </c>
      <c r="D957" s="1" t="s">
        <v>696</v>
      </c>
      <c r="E957" s="1" t="s">
        <v>7</v>
      </c>
    </row>
    <row r="958" customFormat="false" ht="16" hidden="false" customHeight="false" outlineLevel="0" collapsed="false">
      <c r="A958" s="1" t="s">
        <v>1950</v>
      </c>
      <c r="B958" s="1" t="s">
        <v>1951</v>
      </c>
      <c r="C958" s="1" t="s">
        <v>695</v>
      </c>
      <c r="D958" s="1" t="s">
        <v>768</v>
      </c>
      <c r="E958" s="1" t="s">
        <v>7</v>
      </c>
    </row>
    <row r="959" customFormat="false" ht="16" hidden="false" customHeight="false" outlineLevel="0" collapsed="false">
      <c r="A959" s="1" t="s">
        <v>1952</v>
      </c>
      <c r="B959" s="1" t="s">
        <v>1953</v>
      </c>
      <c r="C959" s="1" t="s">
        <v>695</v>
      </c>
      <c r="D959" s="1" t="s">
        <v>768</v>
      </c>
      <c r="E959" s="1" t="s">
        <v>7</v>
      </c>
    </row>
    <row r="960" customFormat="false" ht="16" hidden="false" customHeight="false" outlineLevel="0" collapsed="false">
      <c r="A960" s="1" t="s">
        <v>1954</v>
      </c>
      <c r="B960" s="1" t="s">
        <v>51</v>
      </c>
      <c r="C960" s="1" t="s">
        <v>695</v>
      </c>
      <c r="D960" s="1" t="s">
        <v>764</v>
      </c>
      <c r="E960" s="1" t="s">
        <v>7</v>
      </c>
    </row>
    <row r="961" customFormat="false" ht="16" hidden="false" customHeight="false" outlineLevel="0" collapsed="false">
      <c r="A961" s="1" t="s">
        <v>1955</v>
      </c>
      <c r="B961" s="1" t="s">
        <v>51</v>
      </c>
      <c r="C961" s="1" t="s">
        <v>695</v>
      </c>
      <c r="D961" s="1" t="s">
        <v>766</v>
      </c>
      <c r="E961" s="1" t="s">
        <v>7</v>
      </c>
    </row>
    <row r="962" customFormat="false" ht="16" hidden="false" customHeight="false" outlineLevel="0" collapsed="false">
      <c r="A962" s="1" t="s">
        <v>1956</v>
      </c>
      <c r="B962" s="1" t="s">
        <v>51</v>
      </c>
      <c r="C962" s="1" t="s">
        <v>695</v>
      </c>
      <c r="D962" s="1" t="s">
        <v>768</v>
      </c>
      <c r="E962" s="1" t="s">
        <v>7</v>
      </c>
    </row>
    <row r="963" customFormat="false" ht="16" hidden="false" customHeight="false" outlineLevel="0" collapsed="false">
      <c r="A963" s="1" t="s">
        <v>1957</v>
      </c>
      <c r="B963" s="1" t="s">
        <v>51</v>
      </c>
      <c r="C963" s="1" t="s">
        <v>695</v>
      </c>
      <c r="D963" s="1" t="s">
        <v>770</v>
      </c>
      <c r="E963" s="1" t="s">
        <v>7</v>
      </c>
    </row>
    <row r="964" customFormat="false" ht="16" hidden="false" customHeight="false" outlineLevel="0" collapsed="false">
      <c r="A964" s="1" t="s">
        <v>1958</v>
      </c>
      <c r="B964" s="1" t="s">
        <v>51</v>
      </c>
      <c r="C964" s="1" t="s">
        <v>695</v>
      </c>
      <c r="D964" s="1" t="s">
        <v>696</v>
      </c>
      <c r="E964" s="1" t="s">
        <v>7</v>
      </c>
    </row>
    <row r="965" customFormat="false" ht="16" hidden="false" customHeight="false" outlineLevel="0" collapsed="false">
      <c r="A965" s="1" t="s">
        <v>1959</v>
      </c>
      <c r="B965" s="1" t="s">
        <v>53</v>
      </c>
      <c r="C965" s="1" t="s">
        <v>695</v>
      </c>
      <c r="D965" s="1" t="s">
        <v>764</v>
      </c>
      <c r="E965" s="1" t="s">
        <v>7</v>
      </c>
    </row>
    <row r="966" customFormat="false" ht="16" hidden="false" customHeight="false" outlineLevel="0" collapsed="false">
      <c r="A966" s="1" t="s">
        <v>1960</v>
      </c>
      <c r="B966" s="1" t="s">
        <v>53</v>
      </c>
      <c r="C966" s="1" t="s">
        <v>695</v>
      </c>
      <c r="D966" s="1" t="s">
        <v>766</v>
      </c>
      <c r="E966" s="1" t="s">
        <v>7</v>
      </c>
    </row>
    <row r="967" customFormat="false" ht="16" hidden="false" customHeight="false" outlineLevel="0" collapsed="false">
      <c r="A967" s="1" t="s">
        <v>1961</v>
      </c>
      <c r="B967" s="1" t="s">
        <v>53</v>
      </c>
      <c r="C967" s="1" t="s">
        <v>695</v>
      </c>
      <c r="D967" s="1" t="s">
        <v>768</v>
      </c>
      <c r="E967" s="1" t="s">
        <v>7</v>
      </c>
    </row>
    <row r="968" customFormat="false" ht="16" hidden="false" customHeight="false" outlineLevel="0" collapsed="false">
      <c r="A968" s="1" t="s">
        <v>1962</v>
      </c>
      <c r="B968" s="1" t="s">
        <v>53</v>
      </c>
      <c r="C968" s="1" t="s">
        <v>695</v>
      </c>
      <c r="D968" s="1" t="s">
        <v>770</v>
      </c>
      <c r="E968" s="1" t="s">
        <v>7</v>
      </c>
    </row>
    <row r="969" customFormat="false" ht="16" hidden="false" customHeight="false" outlineLevel="0" collapsed="false">
      <c r="A969" s="1" t="s">
        <v>1963</v>
      </c>
      <c r="B969" s="1" t="s">
        <v>53</v>
      </c>
      <c r="C969" s="1" t="s">
        <v>695</v>
      </c>
      <c r="D969" s="1" t="s">
        <v>696</v>
      </c>
      <c r="E969" s="1" t="s">
        <v>7</v>
      </c>
    </row>
    <row r="970" customFormat="false" ht="16" hidden="false" customHeight="false" outlineLevel="0" collapsed="false">
      <c r="A970" s="1" t="s">
        <v>1964</v>
      </c>
      <c r="B970" s="1" t="s">
        <v>1965</v>
      </c>
      <c r="C970" s="1" t="s">
        <v>695</v>
      </c>
      <c r="D970" s="1" t="s">
        <v>764</v>
      </c>
      <c r="E970" s="1" t="s">
        <v>906</v>
      </c>
    </row>
    <row r="971" customFormat="false" ht="16" hidden="false" customHeight="false" outlineLevel="0" collapsed="false">
      <c r="A971" s="1" t="s">
        <v>1966</v>
      </c>
      <c r="B971" s="1" t="s">
        <v>1965</v>
      </c>
      <c r="C971" s="1" t="s">
        <v>695</v>
      </c>
      <c r="D971" s="1" t="s">
        <v>766</v>
      </c>
      <c r="E971" s="1" t="s">
        <v>906</v>
      </c>
    </row>
    <row r="972" customFormat="false" ht="16" hidden="false" customHeight="false" outlineLevel="0" collapsed="false">
      <c r="A972" s="1" t="s">
        <v>1967</v>
      </c>
      <c r="B972" s="1" t="s">
        <v>1965</v>
      </c>
      <c r="C972" s="1" t="s">
        <v>695</v>
      </c>
      <c r="D972" s="1" t="s">
        <v>768</v>
      </c>
      <c r="E972" s="1" t="s">
        <v>906</v>
      </c>
    </row>
    <row r="973" customFormat="false" ht="16" hidden="false" customHeight="false" outlineLevel="0" collapsed="false">
      <c r="A973" s="1" t="s">
        <v>1968</v>
      </c>
      <c r="B973" s="1" t="s">
        <v>1965</v>
      </c>
      <c r="C973" s="1" t="s">
        <v>695</v>
      </c>
      <c r="D973" s="1" t="s">
        <v>770</v>
      </c>
      <c r="E973" s="1" t="s">
        <v>906</v>
      </c>
    </row>
    <row r="974" customFormat="false" ht="16" hidden="false" customHeight="false" outlineLevel="0" collapsed="false">
      <c r="A974" s="1" t="s">
        <v>1969</v>
      </c>
      <c r="B974" s="1" t="s">
        <v>1965</v>
      </c>
      <c r="C974" s="1" t="s">
        <v>695</v>
      </c>
      <c r="D974" s="1" t="s">
        <v>696</v>
      </c>
      <c r="E974" s="1" t="s">
        <v>906</v>
      </c>
    </row>
    <row r="975" customFormat="false" ht="16" hidden="false" customHeight="false" outlineLevel="0" collapsed="false">
      <c r="A975" s="1" t="s">
        <v>1970</v>
      </c>
      <c r="B975" s="1" t="s">
        <v>49</v>
      </c>
      <c r="C975" s="1" t="s">
        <v>695</v>
      </c>
      <c r="D975" s="1" t="s">
        <v>764</v>
      </c>
      <c r="E975" s="1" t="s">
        <v>7</v>
      </c>
    </row>
    <row r="976" customFormat="false" ht="16" hidden="false" customHeight="false" outlineLevel="0" collapsed="false">
      <c r="A976" s="1" t="s">
        <v>1971</v>
      </c>
      <c r="B976" s="1" t="s">
        <v>49</v>
      </c>
      <c r="C976" s="1" t="s">
        <v>695</v>
      </c>
      <c r="D976" s="1" t="s">
        <v>766</v>
      </c>
      <c r="E976" s="1" t="s">
        <v>7</v>
      </c>
    </row>
    <row r="977" customFormat="false" ht="16" hidden="false" customHeight="false" outlineLevel="0" collapsed="false">
      <c r="A977" s="1" t="s">
        <v>1972</v>
      </c>
      <c r="B977" s="1" t="s">
        <v>49</v>
      </c>
      <c r="C977" s="1" t="s">
        <v>695</v>
      </c>
      <c r="D977" s="1" t="s">
        <v>768</v>
      </c>
      <c r="E977" s="1" t="s">
        <v>7</v>
      </c>
    </row>
    <row r="978" customFormat="false" ht="16" hidden="false" customHeight="false" outlineLevel="0" collapsed="false">
      <c r="A978" s="1" t="s">
        <v>1973</v>
      </c>
      <c r="B978" s="1" t="s">
        <v>49</v>
      </c>
      <c r="C978" s="1" t="s">
        <v>695</v>
      </c>
      <c r="D978" s="1" t="s">
        <v>770</v>
      </c>
      <c r="E978" s="1" t="s">
        <v>7</v>
      </c>
    </row>
    <row r="979" customFormat="false" ht="16" hidden="false" customHeight="false" outlineLevel="0" collapsed="false">
      <c r="A979" s="1" t="s">
        <v>1974</v>
      </c>
      <c r="B979" s="1" t="s">
        <v>49</v>
      </c>
      <c r="C979" s="1" t="s">
        <v>695</v>
      </c>
      <c r="D979" s="1" t="s">
        <v>696</v>
      </c>
      <c r="E979" s="1" t="s">
        <v>7</v>
      </c>
    </row>
    <row r="980" customFormat="false" ht="16" hidden="false" customHeight="false" outlineLevel="0" collapsed="false">
      <c r="A980" s="1" t="s">
        <v>697</v>
      </c>
      <c r="B980" s="1" t="s">
        <v>698</v>
      </c>
      <c r="C980" s="1" t="s">
        <v>695</v>
      </c>
      <c r="D980" s="1" t="s">
        <v>696</v>
      </c>
      <c r="E980" s="1" t="s">
        <v>7</v>
      </c>
    </row>
    <row r="981" customFormat="false" ht="16" hidden="false" customHeight="false" outlineLevel="0" collapsed="false">
      <c r="A981" s="1" t="s">
        <v>1975</v>
      </c>
      <c r="B981" s="1" t="s">
        <v>1976</v>
      </c>
      <c r="C981" s="1" t="s">
        <v>695</v>
      </c>
      <c r="D981" s="1" t="s">
        <v>764</v>
      </c>
      <c r="E981" s="1" t="s">
        <v>7</v>
      </c>
    </row>
    <row r="982" customFormat="false" ht="16" hidden="false" customHeight="false" outlineLevel="0" collapsed="false">
      <c r="A982" s="1" t="s">
        <v>1977</v>
      </c>
      <c r="B982" s="1" t="s">
        <v>1976</v>
      </c>
      <c r="C982" s="1" t="s">
        <v>695</v>
      </c>
      <c r="D982" s="1" t="s">
        <v>766</v>
      </c>
      <c r="E982" s="1" t="s">
        <v>7</v>
      </c>
    </row>
    <row r="983" customFormat="false" ht="16" hidden="false" customHeight="false" outlineLevel="0" collapsed="false">
      <c r="A983" s="1" t="s">
        <v>1978</v>
      </c>
      <c r="B983" s="1" t="s">
        <v>1976</v>
      </c>
      <c r="C983" s="1" t="s">
        <v>695</v>
      </c>
      <c r="D983" s="1" t="s">
        <v>768</v>
      </c>
      <c r="E983" s="1" t="s">
        <v>7</v>
      </c>
    </row>
    <row r="984" customFormat="false" ht="16" hidden="false" customHeight="false" outlineLevel="0" collapsed="false">
      <c r="A984" s="1" t="s">
        <v>1979</v>
      </c>
      <c r="B984" s="1" t="s">
        <v>1976</v>
      </c>
      <c r="C984" s="1" t="s">
        <v>695</v>
      </c>
      <c r="D984" s="1" t="s">
        <v>770</v>
      </c>
      <c r="E984" s="1" t="s">
        <v>7</v>
      </c>
    </row>
    <row r="985" customFormat="false" ht="16" hidden="false" customHeight="false" outlineLevel="0" collapsed="false">
      <c r="A985" s="1" t="s">
        <v>1980</v>
      </c>
      <c r="B985" s="1" t="s">
        <v>1976</v>
      </c>
      <c r="C985" s="1" t="s">
        <v>695</v>
      </c>
      <c r="D985" s="1" t="s">
        <v>696</v>
      </c>
      <c r="E985" s="1" t="s">
        <v>7</v>
      </c>
    </row>
    <row r="986" customFormat="false" ht="16" hidden="false" customHeight="false" outlineLevel="0" collapsed="false">
      <c r="A986" s="1" t="s">
        <v>1981</v>
      </c>
      <c r="B986" s="1" t="s">
        <v>1982</v>
      </c>
      <c r="C986" s="1" t="s">
        <v>695</v>
      </c>
      <c r="D986" s="1" t="s">
        <v>764</v>
      </c>
      <c r="E986" s="1" t="s">
        <v>7</v>
      </c>
    </row>
    <row r="987" customFormat="false" ht="16" hidden="false" customHeight="false" outlineLevel="0" collapsed="false">
      <c r="A987" s="1" t="s">
        <v>1983</v>
      </c>
      <c r="B987" s="1" t="s">
        <v>1982</v>
      </c>
      <c r="C987" s="1" t="s">
        <v>695</v>
      </c>
      <c r="D987" s="1" t="s">
        <v>766</v>
      </c>
      <c r="E987" s="1" t="s">
        <v>7</v>
      </c>
    </row>
    <row r="988" customFormat="false" ht="16" hidden="false" customHeight="false" outlineLevel="0" collapsed="false">
      <c r="A988" s="1" t="s">
        <v>1984</v>
      </c>
      <c r="B988" s="1" t="s">
        <v>1982</v>
      </c>
      <c r="C988" s="1" t="s">
        <v>695</v>
      </c>
      <c r="D988" s="1" t="s">
        <v>768</v>
      </c>
      <c r="E988" s="1" t="s">
        <v>7</v>
      </c>
    </row>
    <row r="989" customFormat="false" ht="16" hidden="false" customHeight="false" outlineLevel="0" collapsed="false">
      <c r="A989" s="1" t="s">
        <v>1985</v>
      </c>
      <c r="B989" s="1" t="s">
        <v>1982</v>
      </c>
      <c r="C989" s="1" t="s">
        <v>695</v>
      </c>
      <c r="D989" s="1" t="s">
        <v>770</v>
      </c>
      <c r="E989" s="1" t="s">
        <v>7</v>
      </c>
    </row>
    <row r="990" customFormat="false" ht="16" hidden="false" customHeight="false" outlineLevel="0" collapsed="false">
      <c r="A990" s="1" t="s">
        <v>1986</v>
      </c>
      <c r="B990" s="1" t="s">
        <v>1982</v>
      </c>
      <c r="C990" s="1" t="s">
        <v>695</v>
      </c>
      <c r="D990" s="1" t="s">
        <v>696</v>
      </c>
      <c r="E990" s="1" t="s">
        <v>7</v>
      </c>
    </row>
    <row r="991" customFormat="false" ht="16" hidden="false" customHeight="false" outlineLevel="0" collapsed="false">
      <c r="A991" s="1" t="s">
        <v>1987</v>
      </c>
      <c r="B991" s="1" t="s">
        <v>1988</v>
      </c>
      <c r="C991" s="1" t="s">
        <v>695</v>
      </c>
      <c r="D991" s="1" t="s">
        <v>764</v>
      </c>
      <c r="E991" s="1" t="s">
        <v>7</v>
      </c>
    </row>
    <row r="992" customFormat="false" ht="16" hidden="false" customHeight="false" outlineLevel="0" collapsed="false">
      <c r="A992" s="1" t="s">
        <v>1989</v>
      </c>
      <c r="B992" s="1" t="s">
        <v>1988</v>
      </c>
      <c r="C992" s="1" t="s">
        <v>695</v>
      </c>
      <c r="D992" s="1" t="s">
        <v>766</v>
      </c>
      <c r="E992" s="1" t="s">
        <v>7</v>
      </c>
    </row>
    <row r="993" customFormat="false" ht="16" hidden="false" customHeight="false" outlineLevel="0" collapsed="false">
      <c r="A993" s="1" t="s">
        <v>1990</v>
      </c>
      <c r="B993" s="1" t="s">
        <v>1988</v>
      </c>
      <c r="C993" s="1" t="s">
        <v>695</v>
      </c>
      <c r="D993" s="1" t="s">
        <v>768</v>
      </c>
      <c r="E993" s="1" t="s">
        <v>7</v>
      </c>
    </row>
    <row r="994" customFormat="false" ht="16" hidden="false" customHeight="false" outlineLevel="0" collapsed="false">
      <c r="A994" s="1" t="s">
        <v>1991</v>
      </c>
      <c r="B994" s="1" t="s">
        <v>1988</v>
      </c>
      <c r="C994" s="1" t="s">
        <v>695</v>
      </c>
      <c r="D994" s="1" t="s">
        <v>770</v>
      </c>
      <c r="E994" s="1" t="s">
        <v>7</v>
      </c>
    </row>
    <row r="995" customFormat="false" ht="16" hidden="false" customHeight="false" outlineLevel="0" collapsed="false">
      <c r="A995" s="1" t="s">
        <v>1992</v>
      </c>
      <c r="B995" s="1" t="s">
        <v>1988</v>
      </c>
      <c r="C995" s="1" t="s">
        <v>695</v>
      </c>
      <c r="D995" s="1" t="s">
        <v>696</v>
      </c>
      <c r="E995" s="1" t="s">
        <v>7</v>
      </c>
    </row>
    <row r="996" customFormat="false" ht="16" hidden="false" customHeight="false" outlineLevel="0" collapsed="false">
      <c r="A996" s="1" t="s">
        <v>1993</v>
      </c>
      <c r="B996" s="1" t="s">
        <v>1994</v>
      </c>
      <c r="C996" s="1" t="s">
        <v>695</v>
      </c>
      <c r="D996" s="1" t="s">
        <v>764</v>
      </c>
      <c r="E996" s="1" t="s">
        <v>7</v>
      </c>
    </row>
    <row r="997" customFormat="false" ht="16" hidden="false" customHeight="false" outlineLevel="0" collapsed="false">
      <c r="A997" s="1" t="s">
        <v>1995</v>
      </c>
      <c r="B997" s="1" t="s">
        <v>1994</v>
      </c>
      <c r="C997" s="1" t="s">
        <v>695</v>
      </c>
      <c r="D997" s="1" t="s">
        <v>766</v>
      </c>
      <c r="E997" s="1" t="s">
        <v>7</v>
      </c>
    </row>
    <row r="998" customFormat="false" ht="16" hidden="false" customHeight="false" outlineLevel="0" collapsed="false">
      <c r="A998" s="1" t="s">
        <v>1996</v>
      </c>
      <c r="B998" s="1" t="s">
        <v>1994</v>
      </c>
      <c r="C998" s="1" t="s">
        <v>695</v>
      </c>
      <c r="D998" s="1" t="s">
        <v>768</v>
      </c>
      <c r="E998" s="1" t="s">
        <v>7</v>
      </c>
    </row>
    <row r="999" customFormat="false" ht="16" hidden="false" customHeight="false" outlineLevel="0" collapsed="false">
      <c r="A999" s="1" t="s">
        <v>1997</v>
      </c>
      <c r="B999" s="1" t="s">
        <v>1994</v>
      </c>
      <c r="C999" s="1" t="s">
        <v>695</v>
      </c>
      <c r="D999" s="1" t="s">
        <v>770</v>
      </c>
      <c r="E999" s="1" t="s">
        <v>7</v>
      </c>
    </row>
    <row r="1000" customFormat="false" ht="16" hidden="false" customHeight="false" outlineLevel="0" collapsed="false">
      <c r="A1000" s="1" t="s">
        <v>1998</v>
      </c>
      <c r="B1000" s="1" t="s">
        <v>1994</v>
      </c>
      <c r="C1000" s="1" t="s">
        <v>695</v>
      </c>
      <c r="D1000" s="1" t="s">
        <v>696</v>
      </c>
      <c r="E1000" s="1" t="s">
        <v>7</v>
      </c>
    </row>
    <row r="1001" customFormat="false" ht="16" hidden="false" customHeight="false" outlineLevel="0" collapsed="false">
      <c r="A1001" s="1" t="s">
        <v>1999</v>
      </c>
      <c r="B1001" s="1" t="s">
        <v>2000</v>
      </c>
      <c r="C1001" s="1" t="s">
        <v>695</v>
      </c>
      <c r="D1001" s="1" t="s">
        <v>764</v>
      </c>
      <c r="E1001" s="1" t="s">
        <v>7</v>
      </c>
    </row>
    <row r="1002" customFormat="false" ht="16" hidden="false" customHeight="false" outlineLevel="0" collapsed="false">
      <c r="A1002" s="1" t="s">
        <v>2001</v>
      </c>
      <c r="B1002" s="1" t="s">
        <v>2000</v>
      </c>
      <c r="C1002" s="1" t="s">
        <v>695</v>
      </c>
      <c r="D1002" s="1" t="s">
        <v>766</v>
      </c>
      <c r="E1002" s="1" t="s">
        <v>7</v>
      </c>
    </row>
    <row r="1003" customFormat="false" ht="16" hidden="false" customHeight="false" outlineLevel="0" collapsed="false">
      <c r="A1003" s="1" t="s">
        <v>2002</v>
      </c>
      <c r="B1003" s="1" t="s">
        <v>2000</v>
      </c>
      <c r="C1003" s="1" t="s">
        <v>695</v>
      </c>
      <c r="D1003" s="1" t="s">
        <v>768</v>
      </c>
      <c r="E1003" s="1" t="s">
        <v>7</v>
      </c>
    </row>
    <row r="1004" customFormat="false" ht="16" hidden="false" customHeight="false" outlineLevel="0" collapsed="false">
      <c r="A1004" s="1" t="s">
        <v>2003</v>
      </c>
      <c r="B1004" s="1" t="s">
        <v>2000</v>
      </c>
      <c r="C1004" s="1" t="s">
        <v>695</v>
      </c>
      <c r="D1004" s="1" t="s">
        <v>770</v>
      </c>
      <c r="E1004" s="1" t="s">
        <v>7</v>
      </c>
    </row>
    <row r="1005" customFormat="false" ht="16" hidden="false" customHeight="false" outlineLevel="0" collapsed="false">
      <c r="A1005" s="1" t="s">
        <v>2004</v>
      </c>
      <c r="B1005" s="1" t="s">
        <v>2000</v>
      </c>
      <c r="C1005" s="1" t="s">
        <v>695</v>
      </c>
      <c r="D1005" s="1" t="s">
        <v>696</v>
      </c>
      <c r="E1005" s="1" t="s">
        <v>7</v>
      </c>
    </row>
    <row r="1006" customFormat="false" ht="16" hidden="false" customHeight="false" outlineLevel="0" collapsed="false">
      <c r="A1006" s="1" t="s">
        <v>2005</v>
      </c>
      <c r="B1006" s="1" t="s">
        <v>2006</v>
      </c>
      <c r="C1006" s="1" t="s">
        <v>695</v>
      </c>
      <c r="D1006" s="1" t="s">
        <v>764</v>
      </c>
      <c r="E1006" s="1" t="s">
        <v>7</v>
      </c>
    </row>
    <row r="1007" customFormat="false" ht="16" hidden="false" customHeight="false" outlineLevel="0" collapsed="false">
      <c r="A1007" s="1" t="s">
        <v>2007</v>
      </c>
      <c r="B1007" s="1" t="s">
        <v>2006</v>
      </c>
      <c r="C1007" s="1" t="s">
        <v>695</v>
      </c>
      <c r="D1007" s="1" t="s">
        <v>766</v>
      </c>
      <c r="E1007" s="1" t="s">
        <v>7</v>
      </c>
    </row>
    <row r="1008" customFormat="false" ht="16" hidden="false" customHeight="false" outlineLevel="0" collapsed="false">
      <c r="A1008" s="1" t="s">
        <v>2008</v>
      </c>
      <c r="B1008" s="1" t="s">
        <v>2006</v>
      </c>
      <c r="C1008" s="1" t="s">
        <v>695</v>
      </c>
      <c r="D1008" s="1" t="s">
        <v>768</v>
      </c>
      <c r="E1008" s="1" t="s">
        <v>7</v>
      </c>
    </row>
    <row r="1009" customFormat="false" ht="16" hidden="false" customHeight="false" outlineLevel="0" collapsed="false">
      <c r="A1009" s="1" t="s">
        <v>2009</v>
      </c>
      <c r="B1009" s="1" t="s">
        <v>2006</v>
      </c>
      <c r="C1009" s="1" t="s">
        <v>695</v>
      </c>
      <c r="D1009" s="1" t="s">
        <v>770</v>
      </c>
      <c r="E1009" s="1" t="s">
        <v>7</v>
      </c>
    </row>
    <row r="1010" customFormat="false" ht="16" hidden="false" customHeight="false" outlineLevel="0" collapsed="false">
      <c r="A1010" s="1" t="s">
        <v>2010</v>
      </c>
      <c r="B1010" s="1" t="s">
        <v>2006</v>
      </c>
      <c r="C1010" s="1" t="s">
        <v>695</v>
      </c>
      <c r="D1010" s="1" t="s">
        <v>696</v>
      </c>
      <c r="E1010" s="1" t="s">
        <v>7</v>
      </c>
    </row>
    <row r="1011" customFormat="false" ht="16" hidden="false" customHeight="false" outlineLevel="0" collapsed="false">
      <c r="A1011" s="1" t="s">
        <v>2011</v>
      </c>
      <c r="B1011" s="1" t="s">
        <v>2012</v>
      </c>
      <c r="C1011" s="1" t="s">
        <v>695</v>
      </c>
      <c r="D1011" s="1" t="s">
        <v>764</v>
      </c>
      <c r="E1011" s="1" t="s">
        <v>7</v>
      </c>
    </row>
    <row r="1012" customFormat="false" ht="16" hidden="false" customHeight="false" outlineLevel="0" collapsed="false">
      <c r="A1012" s="1" t="s">
        <v>2013</v>
      </c>
      <c r="B1012" s="1" t="s">
        <v>2012</v>
      </c>
      <c r="C1012" s="1" t="s">
        <v>695</v>
      </c>
      <c r="D1012" s="1" t="s">
        <v>766</v>
      </c>
      <c r="E1012" s="1" t="s">
        <v>7</v>
      </c>
    </row>
    <row r="1013" customFormat="false" ht="16" hidden="false" customHeight="false" outlineLevel="0" collapsed="false">
      <c r="A1013" s="1" t="s">
        <v>2014</v>
      </c>
      <c r="B1013" s="1" t="s">
        <v>2012</v>
      </c>
      <c r="C1013" s="1" t="s">
        <v>695</v>
      </c>
      <c r="D1013" s="1" t="s">
        <v>768</v>
      </c>
      <c r="E1013" s="1" t="s">
        <v>7</v>
      </c>
    </row>
    <row r="1014" customFormat="false" ht="16" hidden="false" customHeight="false" outlineLevel="0" collapsed="false">
      <c r="A1014" s="1" t="s">
        <v>2015</v>
      </c>
      <c r="B1014" s="1" t="s">
        <v>2012</v>
      </c>
      <c r="C1014" s="1" t="s">
        <v>695</v>
      </c>
      <c r="D1014" s="1" t="s">
        <v>770</v>
      </c>
      <c r="E1014" s="1" t="s">
        <v>7</v>
      </c>
    </row>
    <row r="1015" customFormat="false" ht="16" hidden="false" customHeight="false" outlineLevel="0" collapsed="false">
      <c r="A1015" s="1" t="s">
        <v>2016</v>
      </c>
      <c r="B1015" s="1" t="s">
        <v>2012</v>
      </c>
      <c r="C1015" s="1" t="s">
        <v>695</v>
      </c>
      <c r="D1015" s="1" t="s">
        <v>696</v>
      </c>
      <c r="E1015" s="1" t="s">
        <v>7</v>
      </c>
    </row>
    <row r="1016" customFormat="false" ht="16" hidden="false" customHeight="false" outlineLevel="0" collapsed="false">
      <c r="A1016" s="1" t="s">
        <v>2017</v>
      </c>
      <c r="B1016" s="1" t="s">
        <v>2018</v>
      </c>
      <c r="C1016" s="1" t="s">
        <v>695</v>
      </c>
      <c r="D1016" s="1" t="s">
        <v>764</v>
      </c>
      <c r="E1016" s="1" t="s">
        <v>7</v>
      </c>
    </row>
    <row r="1017" customFormat="false" ht="16" hidden="false" customHeight="false" outlineLevel="0" collapsed="false">
      <c r="A1017" s="1" t="s">
        <v>2019</v>
      </c>
      <c r="B1017" s="1" t="s">
        <v>2018</v>
      </c>
      <c r="C1017" s="1" t="s">
        <v>695</v>
      </c>
      <c r="D1017" s="1" t="s">
        <v>766</v>
      </c>
      <c r="E1017" s="1" t="s">
        <v>7</v>
      </c>
    </row>
    <row r="1018" customFormat="false" ht="16" hidden="false" customHeight="false" outlineLevel="0" collapsed="false">
      <c r="A1018" s="1" t="s">
        <v>2020</v>
      </c>
      <c r="B1018" s="1" t="s">
        <v>2018</v>
      </c>
      <c r="C1018" s="1" t="s">
        <v>695</v>
      </c>
      <c r="D1018" s="1" t="s">
        <v>768</v>
      </c>
      <c r="E1018" s="1" t="s">
        <v>7</v>
      </c>
    </row>
    <row r="1019" customFormat="false" ht="16" hidden="false" customHeight="false" outlineLevel="0" collapsed="false">
      <c r="A1019" s="1" t="s">
        <v>2021</v>
      </c>
      <c r="B1019" s="1" t="s">
        <v>2018</v>
      </c>
      <c r="C1019" s="1" t="s">
        <v>695</v>
      </c>
      <c r="D1019" s="1" t="s">
        <v>770</v>
      </c>
      <c r="E1019" s="1" t="s">
        <v>7</v>
      </c>
    </row>
    <row r="1020" customFormat="false" ht="16" hidden="false" customHeight="false" outlineLevel="0" collapsed="false">
      <c r="A1020" s="1" t="s">
        <v>2022</v>
      </c>
      <c r="B1020" s="1" t="s">
        <v>2018</v>
      </c>
      <c r="C1020" s="1" t="s">
        <v>695</v>
      </c>
      <c r="D1020" s="1" t="s">
        <v>696</v>
      </c>
      <c r="E1020" s="1" t="s">
        <v>7</v>
      </c>
    </row>
    <row r="1021" customFormat="false" ht="16" hidden="false" customHeight="false" outlineLevel="0" collapsed="false">
      <c r="A1021" s="1" t="s">
        <v>2023</v>
      </c>
      <c r="B1021" s="1" t="s">
        <v>2024</v>
      </c>
      <c r="C1021" s="1" t="s">
        <v>695</v>
      </c>
      <c r="D1021" s="1" t="s">
        <v>764</v>
      </c>
      <c r="E1021" s="1" t="s">
        <v>7</v>
      </c>
    </row>
    <row r="1022" customFormat="false" ht="16" hidden="false" customHeight="false" outlineLevel="0" collapsed="false">
      <c r="A1022" s="1" t="s">
        <v>2025</v>
      </c>
      <c r="B1022" s="1" t="s">
        <v>2024</v>
      </c>
      <c r="C1022" s="1" t="s">
        <v>695</v>
      </c>
      <c r="D1022" s="1" t="s">
        <v>766</v>
      </c>
      <c r="E1022" s="1" t="s">
        <v>7</v>
      </c>
    </row>
    <row r="1023" customFormat="false" ht="16" hidden="false" customHeight="false" outlineLevel="0" collapsed="false">
      <c r="A1023" s="1" t="s">
        <v>2026</v>
      </c>
      <c r="B1023" s="1" t="s">
        <v>2024</v>
      </c>
      <c r="C1023" s="1" t="s">
        <v>695</v>
      </c>
      <c r="D1023" s="1" t="s">
        <v>768</v>
      </c>
      <c r="E1023" s="1" t="s">
        <v>7</v>
      </c>
    </row>
    <row r="1024" customFormat="false" ht="16" hidden="false" customHeight="false" outlineLevel="0" collapsed="false">
      <c r="A1024" s="1" t="s">
        <v>2027</v>
      </c>
      <c r="B1024" s="1" t="s">
        <v>2024</v>
      </c>
      <c r="C1024" s="1" t="s">
        <v>695</v>
      </c>
      <c r="D1024" s="1" t="s">
        <v>770</v>
      </c>
      <c r="E1024" s="1" t="s">
        <v>7</v>
      </c>
    </row>
    <row r="1025" customFormat="false" ht="16" hidden="false" customHeight="false" outlineLevel="0" collapsed="false">
      <c r="A1025" s="1" t="s">
        <v>2028</v>
      </c>
      <c r="B1025" s="1" t="s">
        <v>2024</v>
      </c>
      <c r="C1025" s="1" t="s">
        <v>695</v>
      </c>
      <c r="D1025" s="1" t="s">
        <v>696</v>
      </c>
      <c r="E1025" s="1" t="s">
        <v>7</v>
      </c>
    </row>
    <row r="1026" customFormat="false" ht="16" hidden="false" customHeight="false" outlineLevel="0" collapsed="false">
      <c r="A1026" s="1" t="s">
        <v>2029</v>
      </c>
      <c r="B1026" s="1" t="s">
        <v>2030</v>
      </c>
      <c r="C1026" s="1" t="s">
        <v>695</v>
      </c>
      <c r="D1026" s="1" t="s">
        <v>764</v>
      </c>
      <c r="E1026" s="1" t="s">
        <v>7</v>
      </c>
    </row>
    <row r="1027" customFormat="false" ht="16" hidden="false" customHeight="false" outlineLevel="0" collapsed="false">
      <c r="A1027" s="1" t="s">
        <v>2031</v>
      </c>
      <c r="B1027" s="1" t="s">
        <v>2030</v>
      </c>
      <c r="C1027" s="1" t="s">
        <v>695</v>
      </c>
      <c r="D1027" s="1" t="s">
        <v>766</v>
      </c>
      <c r="E1027" s="1" t="s">
        <v>7</v>
      </c>
    </row>
    <row r="1028" customFormat="false" ht="16" hidden="false" customHeight="false" outlineLevel="0" collapsed="false">
      <c r="A1028" s="1" t="s">
        <v>2032</v>
      </c>
      <c r="B1028" s="1" t="s">
        <v>2030</v>
      </c>
      <c r="C1028" s="1" t="s">
        <v>695</v>
      </c>
      <c r="D1028" s="1" t="s">
        <v>768</v>
      </c>
      <c r="E1028" s="1" t="s">
        <v>7</v>
      </c>
    </row>
    <row r="1029" customFormat="false" ht="16" hidden="false" customHeight="false" outlineLevel="0" collapsed="false">
      <c r="A1029" s="1" t="s">
        <v>2033</v>
      </c>
      <c r="B1029" s="1" t="s">
        <v>2030</v>
      </c>
      <c r="C1029" s="1" t="s">
        <v>695</v>
      </c>
      <c r="D1029" s="1" t="s">
        <v>770</v>
      </c>
      <c r="E1029" s="1" t="s">
        <v>7</v>
      </c>
    </row>
    <row r="1030" customFormat="false" ht="16" hidden="false" customHeight="false" outlineLevel="0" collapsed="false">
      <c r="A1030" s="1" t="s">
        <v>2034</v>
      </c>
      <c r="B1030" s="1" t="s">
        <v>2030</v>
      </c>
      <c r="C1030" s="1" t="s">
        <v>695</v>
      </c>
      <c r="D1030" s="1" t="s">
        <v>696</v>
      </c>
      <c r="E1030" s="1" t="s">
        <v>7</v>
      </c>
    </row>
    <row r="1031" customFormat="false" ht="16" hidden="false" customHeight="false" outlineLevel="0" collapsed="false">
      <c r="A1031" s="1" t="s">
        <v>2035</v>
      </c>
      <c r="B1031" s="1" t="s">
        <v>2036</v>
      </c>
      <c r="C1031" s="1" t="s">
        <v>695</v>
      </c>
      <c r="D1031" s="1" t="s">
        <v>764</v>
      </c>
      <c r="E1031" s="1" t="s">
        <v>7</v>
      </c>
    </row>
    <row r="1032" customFormat="false" ht="16" hidden="false" customHeight="false" outlineLevel="0" collapsed="false">
      <c r="A1032" s="1" t="s">
        <v>2037</v>
      </c>
      <c r="B1032" s="1" t="s">
        <v>2036</v>
      </c>
      <c r="C1032" s="1" t="s">
        <v>695</v>
      </c>
      <c r="D1032" s="1" t="s">
        <v>766</v>
      </c>
      <c r="E1032" s="1" t="s">
        <v>7</v>
      </c>
    </row>
    <row r="1033" customFormat="false" ht="16" hidden="false" customHeight="false" outlineLevel="0" collapsed="false">
      <c r="A1033" s="1" t="s">
        <v>2038</v>
      </c>
      <c r="B1033" s="1" t="s">
        <v>2036</v>
      </c>
      <c r="C1033" s="1" t="s">
        <v>695</v>
      </c>
      <c r="D1033" s="1" t="s">
        <v>768</v>
      </c>
      <c r="E1033" s="1" t="s">
        <v>7</v>
      </c>
    </row>
    <row r="1034" customFormat="false" ht="16" hidden="false" customHeight="false" outlineLevel="0" collapsed="false">
      <c r="A1034" s="1" t="s">
        <v>2039</v>
      </c>
      <c r="B1034" s="1" t="s">
        <v>2036</v>
      </c>
      <c r="C1034" s="1" t="s">
        <v>695</v>
      </c>
      <c r="D1034" s="1" t="s">
        <v>770</v>
      </c>
      <c r="E1034" s="1" t="s">
        <v>7</v>
      </c>
    </row>
    <row r="1035" customFormat="false" ht="16" hidden="false" customHeight="false" outlineLevel="0" collapsed="false">
      <c r="A1035" s="1" t="s">
        <v>2040</v>
      </c>
      <c r="B1035" s="1" t="s">
        <v>2036</v>
      </c>
      <c r="C1035" s="1" t="s">
        <v>695</v>
      </c>
      <c r="D1035" s="1" t="s">
        <v>696</v>
      </c>
      <c r="E1035" s="1" t="s">
        <v>7</v>
      </c>
    </row>
    <row r="1036" customFormat="false" ht="16" hidden="false" customHeight="false" outlineLevel="0" collapsed="false">
      <c r="A1036" s="1" t="s">
        <v>2041</v>
      </c>
      <c r="B1036" s="1" t="s">
        <v>2042</v>
      </c>
      <c r="C1036" s="1" t="s">
        <v>695</v>
      </c>
      <c r="D1036" s="1" t="s">
        <v>1173</v>
      </c>
      <c r="E1036" s="1" t="s">
        <v>7</v>
      </c>
    </row>
    <row r="1037" customFormat="false" ht="16" hidden="false" customHeight="false" outlineLevel="0" collapsed="false">
      <c r="A1037" s="1" t="s">
        <v>2043</v>
      </c>
      <c r="B1037" s="1" t="s">
        <v>2042</v>
      </c>
      <c r="C1037" s="1" t="s">
        <v>695</v>
      </c>
      <c r="D1037" s="1" t="s">
        <v>764</v>
      </c>
      <c r="E1037" s="1" t="s">
        <v>7</v>
      </c>
    </row>
    <row r="1038" customFormat="false" ht="16" hidden="false" customHeight="false" outlineLevel="0" collapsed="false">
      <c r="A1038" s="1" t="s">
        <v>2044</v>
      </c>
      <c r="B1038" s="1" t="s">
        <v>2042</v>
      </c>
      <c r="C1038" s="1" t="s">
        <v>695</v>
      </c>
      <c r="D1038" s="1" t="s">
        <v>766</v>
      </c>
      <c r="E1038" s="1" t="s">
        <v>7</v>
      </c>
    </row>
    <row r="1039" customFormat="false" ht="16" hidden="false" customHeight="false" outlineLevel="0" collapsed="false">
      <c r="A1039" s="1" t="s">
        <v>2045</v>
      </c>
      <c r="B1039" s="1" t="s">
        <v>2042</v>
      </c>
      <c r="C1039" s="1" t="s">
        <v>695</v>
      </c>
      <c r="D1039" s="1" t="s">
        <v>768</v>
      </c>
      <c r="E1039" s="1" t="s">
        <v>7</v>
      </c>
    </row>
    <row r="1040" customFormat="false" ht="16" hidden="false" customHeight="false" outlineLevel="0" collapsed="false">
      <c r="A1040" s="1" t="s">
        <v>2046</v>
      </c>
      <c r="B1040" s="1" t="s">
        <v>2042</v>
      </c>
      <c r="C1040" s="1" t="s">
        <v>695</v>
      </c>
      <c r="D1040" s="1" t="s">
        <v>770</v>
      </c>
      <c r="E1040" s="1" t="s">
        <v>7</v>
      </c>
    </row>
    <row r="1041" customFormat="false" ht="16" hidden="false" customHeight="false" outlineLevel="0" collapsed="false">
      <c r="A1041" s="1" t="s">
        <v>2047</v>
      </c>
      <c r="B1041" s="1" t="s">
        <v>2042</v>
      </c>
      <c r="C1041" s="1" t="s">
        <v>695</v>
      </c>
      <c r="D1041" s="1" t="s">
        <v>696</v>
      </c>
      <c r="E1041" s="1" t="s">
        <v>7</v>
      </c>
    </row>
    <row r="1042" customFormat="false" ht="16" hidden="false" customHeight="false" outlineLevel="0" collapsed="false">
      <c r="A1042" s="1" t="s">
        <v>2048</v>
      </c>
      <c r="B1042" s="1" t="s">
        <v>2049</v>
      </c>
      <c r="C1042" s="1" t="s">
        <v>695</v>
      </c>
      <c r="D1042" s="1" t="s">
        <v>764</v>
      </c>
      <c r="E1042" s="1" t="s">
        <v>7</v>
      </c>
    </row>
    <row r="1043" customFormat="false" ht="16" hidden="false" customHeight="false" outlineLevel="0" collapsed="false">
      <c r="A1043" s="1" t="s">
        <v>2050</v>
      </c>
      <c r="B1043" s="1" t="s">
        <v>2049</v>
      </c>
      <c r="C1043" s="1" t="s">
        <v>695</v>
      </c>
      <c r="D1043" s="1" t="s">
        <v>766</v>
      </c>
      <c r="E1043" s="1" t="s">
        <v>7</v>
      </c>
    </row>
    <row r="1044" customFormat="false" ht="16" hidden="false" customHeight="false" outlineLevel="0" collapsed="false">
      <c r="A1044" s="1" t="s">
        <v>2051</v>
      </c>
      <c r="B1044" s="1" t="s">
        <v>2049</v>
      </c>
      <c r="C1044" s="1" t="s">
        <v>695</v>
      </c>
      <c r="D1044" s="1" t="s">
        <v>768</v>
      </c>
      <c r="E1044" s="1" t="s">
        <v>7</v>
      </c>
    </row>
    <row r="1045" customFormat="false" ht="16" hidden="false" customHeight="false" outlineLevel="0" collapsed="false">
      <c r="A1045" s="1" t="s">
        <v>2052</v>
      </c>
      <c r="B1045" s="1" t="s">
        <v>2049</v>
      </c>
      <c r="C1045" s="1" t="s">
        <v>695</v>
      </c>
      <c r="D1045" s="1" t="s">
        <v>770</v>
      </c>
      <c r="E1045" s="1" t="s">
        <v>7</v>
      </c>
    </row>
    <row r="1046" customFormat="false" ht="16" hidden="false" customHeight="false" outlineLevel="0" collapsed="false">
      <c r="A1046" s="1" t="s">
        <v>2053</v>
      </c>
      <c r="B1046" s="1" t="s">
        <v>2049</v>
      </c>
      <c r="C1046" s="1" t="s">
        <v>695</v>
      </c>
      <c r="D1046" s="1" t="s">
        <v>696</v>
      </c>
      <c r="E1046" s="1" t="s">
        <v>7</v>
      </c>
    </row>
    <row r="1047" customFormat="false" ht="16" hidden="false" customHeight="false" outlineLevel="0" collapsed="false">
      <c r="A1047" s="1" t="s">
        <v>2054</v>
      </c>
      <c r="B1047" s="1" t="s">
        <v>2055</v>
      </c>
      <c r="C1047" s="1" t="s">
        <v>695</v>
      </c>
      <c r="D1047" s="1" t="s">
        <v>764</v>
      </c>
      <c r="E1047" s="1" t="s">
        <v>7</v>
      </c>
    </row>
    <row r="1048" customFormat="false" ht="16" hidden="false" customHeight="false" outlineLevel="0" collapsed="false">
      <c r="A1048" s="1" t="s">
        <v>2056</v>
      </c>
      <c r="B1048" s="1" t="s">
        <v>2055</v>
      </c>
      <c r="C1048" s="1" t="s">
        <v>695</v>
      </c>
      <c r="D1048" s="1" t="s">
        <v>766</v>
      </c>
      <c r="E1048" s="1" t="s">
        <v>7</v>
      </c>
    </row>
    <row r="1049" customFormat="false" ht="16" hidden="false" customHeight="false" outlineLevel="0" collapsed="false">
      <c r="A1049" s="1" t="s">
        <v>2057</v>
      </c>
      <c r="B1049" s="1" t="s">
        <v>2055</v>
      </c>
      <c r="C1049" s="1" t="s">
        <v>695</v>
      </c>
      <c r="D1049" s="1" t="s">
        <v>768</v>
      </c>
      <c r="E1049" s="1" t="s">
        <v>7</v>
      </c>
    </row>
    <row r="1050" customFormat="false" ht="16" hidden="false" customHeight="false" outlineLevel="0" collapsed="false">
      <c r="A1050" s="1" t="s">
        <v>2058</v>
      </c>
      <c r="B1050" s="1" t="s">
        <v>2055</v>
      </c>
      <c r="C1050" s="1" t="s">
        <v>695</v>
      </c>
      <c r="D1050" s="1" t="s">
        <v>770</v>
      </c>
      <c r="E1050" s="1" t="s">
        <v>7</v>
      </c>
    </row>
    <row r="1051" customFormat="false" ht="16" hidden="false" customHeight="false" outlineLevel="0" collapsed="false">
      <c r="A1051" s="1" t="s">
        <v>2059</v>
      </c>
      <c r="B1051" s="1" t="s">
        <v>2055</v>
      </c>
      <c r="C1051" s="1" t="s">
        <v>695</v>
      </c>
      <c r="D1051" s="1" t="s">
        <v>696</v>
      </c>
      <c r="E1051" s="1" t="s">
        <v>7</v>
      </c>
    </row>
    <row r="1052" customFormat="false" ht="16" hidden="false" customHeight="false" outlineLevel="0" collapsed="false">
      <c r="A1052" s="1" t="s">
        <v>2060</v>
      </c>
      <c r="B1052" s="1" t="s">
        <v>2061</v>
      </c>
      <c r="C1052" s="1" t="s">
        <v>695</v>
      </c>
      <c r="D1052" s="1" t="s">
        <v>764</v>
      </c>
      <c r="E1052" s="1" t="s">
        <v>7</v>
      </c>
    </row>
    <row r="1053" customFormat="false" ht="16" hidden="false" customHeight="false" outlineLevel="0" collapsed="false">
      <c r="A1053" s="1" t="s">
        <v>2062</v>
      </c>
      <c r="B1053" s="1" t="s">
        <v>2061</v>
      </c>
      <c r="C1053" s="1" t="s">
        <v>695</v>
      </c>
      <c r="D1053" s="1" t="s">
        <v>766</v>
      </c>
      <c r="E1053" s="1" t="s">
        <v>7</v>
      </c>
    </row>
    <row r="1054" customFormat="false" ht="16" hidden="false" customHeight="false" outlineLevel="0" collapsed="false">
      <c r="A1054" s="1" t="s">
        <v>2063</v>
      </c>
      <c r="B1054" s="1" t="s">
        <v>2061</v>
      </c>
      <c r="C1054" s="1" t="s">
        <v>695</v>
      </c>
      <c r="D1054" s="1" t="s">
        <v>768</v>
      </c>
      <c r="E1054" s="1" t="s">
        <v>7</v>
      </c>
    </row>
    <row r="1055" customFormat="false" ht="16" hidden="false" customHeight="false" outlineLevel="0" collapsed="false">
      <c r="A1055" s="1" t="s">
        <v>2064</v>
      </c>
      <c r="B1055" s="1" t="s">
        <v>2061</v>
      </c>
      <c r="C1055" s="1" t="s">
        <v>695</v>
      </c>
      <c r="D1055" s="1" t="s">
        <v>770</v>
      </c>
      <c r="E1055" s="1" t="s">
        <v>7</v>
      </c>
    </row>
    <row r="1056" customFormat="false" ht="16" hidden="false" customHeight="false" outlineLevel="0" collapsed="false">
      <c r="A1056" s="1" t="s">
        <v>2065</v>
      </c>
      <c r="B1056" s="1" t="s">
        <v>2061</v>
      </c>
      <c r="C1056" s="1" t="s">
        <v>695</v>
      </c>
      <c r="D1056" s="1" t="s">
        <v>696</v>
      </c>
      <c r="E1056" s="1" t="s">
        <v>7</v>
      </c>
    </row>
    <row r="1057" customFormat="false" ht="16" hidden="false" customHeight="false" outlineLevel="0" collapsed="false">
      <c r="A1057" s="1" t="s">
        <v>2066</v>
      </c>
      <c r="B1057" s="1" t="s">
        <v>2067</v>
      </c>
      <c r="C1057" s="1" t="s">
        <v>695</v>
      </c>
      <c r="D1057" s="1" t="s">
        <v>764</v>
      </c>
      <c r="E1057" s="1" t="s">
        <v>7</v>
      </c>
    </row>
    <row r="1058" customFormat="false" ht="16" hidden="false" customHeight="false" outlineLevel="0" collapsed="false">
      <c r="A1058" s="1" t="s">
        <v>2068</v>
      </c>
      <c r="B1058" s="1" t="s">
        <v>2067</v>
      </c>
      <c r="C1058" s="1" t="s">
        <v>695</v>
      </c>
      <c r="D1058" s="1" t="s">
        <v>766</v>
      </c>
      <c r="E1058" s="1" t="s">
        <v>7</v>
      </c>
    </row>
    <row r="1059" customFormat="false" ht="16" hidden="false" customHeight="false" outlineLevel="0" collapsed="false">
      <c r="A1059" s="1" t="s">
        <v>2069</v>
      </c>
      <c r="B1059" s="1" t="s">
        <v>2067</v>
      </c>
      <c r="C1059" s="1" t="s">
        <v>695</v>
      </c>
      <c r="D1059" s="1" t="s">
        <v>768</v>
      </c>
      <c r="E1059" s="1" t="s">
        <v>7</v>
      </c>
    </row>
    <row r="1060" customFormat="false" ht="16" hidden="false" customHeight="false" outlineLevel="0" collapsed="false">
      <c r="A1060" s="1" t="s">
        <v>2070</v>
      </c>
      <c r="B1060" s="1" t="s">
        <v>2067</v>
      </c>
      <c r="C1060" s="1" t="s">
        <v>695</v>
      </c>
      <c r="D1060" s="1" t="s">
        <v>770</v>
      </c>
      <c r="E1060" s="1" t="s">
        <v>7</v>
      </c>
    </row>
    <row r="1061" customFormat="false" ht="16" hidden="false" customHeight="false" outlineLevel="0" collapsed="false">
      <c r="A1061" s="1" t="s">
        <v>2071</v>
      </c>
      <c r="B1061" s="1" t="s">
        <v>2067</v>
      </c>
      <c r="C1061" s="1" t="s">
        <v>695</v>
      </c>
      <c r="D1061" s="1" t="s">
        <v>696</v>
      </c>
      <c r="E1061" s="1" t="s">
        <v>7</v>
      </c>
    </row>
    <row r="1062" customFormat="false" ht="16" hidden="false" customHeight="false" outlineLevel="0" collapsed="false">
      <c r="A1062" s="1" t="s">
        <v>2072</v>
      </c>
      <c r="B1062" s="1" t="s">
        <v>2073</v>
      </c>
      <c r="C1062" s="1" t="s">
        <v>695</v>
      </c>
      <c r="D1062" s="1" t="s">
        <v>764</v>
      </c>
      <c r="E1062" s="1" t="s">
        <v>7</v>
      </c>
    </row>
    <row r="1063" customFormat="false" ht="16" hidden="false" customHeight="false" outlineLevel="0" collapsed="false">
      <c r="A1063" s="1" t="s">
        <v>2074</v>
      </c>
      <c r="B1063" s="1" t="s">
        <v>2073</v>
      </c>
      <c r="C1063" s="1" t="s">
        <v>695</v>
      </c>
      <c r="D1063" s="1" t="s">
        <v>766</v>
      </c>
      <c r="E1063" s="1" t="s">
        <v>7</v>
      </c>
    </row>
    <row r="1064" customFormat="false" ht="16" hidden="false" customHeight="false" outlineLevel="0" collapsed="false">
      <c r="A1064" s="1" t="s">
        <v>2075</v>
      </c>
      <c r="B1064" s="1" t="s">
        <v>2073</v>
      </c>
      <c r="C1064" s="1" t="s">
        <v>695</v>
      </c>
      <c r="D1064" s="1" t="s">
        <v>768</v>
      </c>
      <c r="E1064" s="1" t="s">
        <v>7</v>
      </c>
    </row>
    <row r="1065" customFormat="false" ht="16" hidden="false" customHeight="false" outlineLevel="0" collapsed="false">
      <c r="A1065" s="1" t="s">
        <v>2076</v>
      </c>
      <c r="B1065" s="1" t="s">
        <v>2073</v>
      </c>
      <c r="C1065" s="1" t="s">
        <v>695</v>
      </c>
      <c r="D1065" s="1" t="s">
        <v>770</v>
      </c>
      <c r="E1065" s="1" t="s">
        <v>7</v>
      </c>
    </row>
    <row r="1066" customFormat="false" ht="16" hidden="false" customHeight="false" outlineLevel="0" collapsed="false">
      <c r="A1066" s="1" t="s">
        <v>2077</v>
      </c>
      <c r="B1066" s="1" t="s">
        <v>2073</v>
      </c>
      <c r="C1066" s="1" t="s">
        <v>695</v>
      </c>
      <c r="D1066" s="1" t="s">
        <v>696</v>
      </c>
      <c r="E1066" s="1" t="s">
        <v>7</v>
      </c>
    </row>
    <row r="1067" customFormat="false" ht="16" hidden="false" customHeight="false" outlineLevel="0" collapsed="false">
      <c r="A1067" s="1" t="s">
        <v>2078</v>
      </c>
      <c r="B1067" s="1" t="s">
        <v>2079</v>
      </c>
      <c r="C1067" s="1" t="s">
        <v>695</v>
      </c>
      <c r="D1067" s="1" t="s">
        <v>764</v>
      </c>
      <c r="E1067" s="1" t="s">
        <v>7</v>
      </c>
    </row>
    <row r="1068" customFormat="false" ht="16" hidden="false" customHeight="false" outlineLevel="0" collapsed="false">
      <c r="A1068" s="1" t="s">
        <v>2080</v>
      </c>
      <c r="B1068" s="1" t="s">
        <v>2079</v>
      </c>
      <c r="C1068" s="1" t="s">
        <v>695</v>
      </c>
      <c r="D1068" s="1" t="s">
        <v>766</v>
      </c>
      <c r="E1068" s="1" t="s">
        <v>7</v>
      </c>
    </row>
    <row r="1069" customFormat="false" ht="16" hidden="false" customHeight="false" outlineLevel="0" collapsed="false">
      <c r="A1069" s="1" t="s">
        <v>2081</v>
      </c>
      <c r="B1069" s="1" t="s">
        <v>2079</v>
      </c>
      <c r="C1069" s="1" t="s">
        <v>695</v>
      </c>
      <c r="D1069" s="1" t="s">
        <v>768</v>
      </c>
      <c r="E1069" s="1" t="s">
        <v>7</v>
      </c>
    </row>
    <row r="1070" customFormat="false" ht="16" hidden="false" customHeight="false" outlineLevel="0" collapsed="false">
      <c r="A1070" s="1" t="s">
        <v>2082</v>
      </c>
      <c r="B1070" s="1" t="s">
        <v>2079</v>
      </c>
      <c r="C1070" s="1" t="s">
        <v>695</v>
      </c>
      <c r="D1070" s="1" t="s">
        <v>770</v>
      </c>
      <c r="E1070" s="1" t="s">
        <v>7</v>
      </c>
    </row>
    <row r="1071" customFormat="false" ht="16" hidden="false" customHeight="false" outlineLevel="0" collapsed="false">
      <c r="A1071" s="1" t="s">
        <v>2083</v>
      </c>
      <c r="B1071" s="1" t="s">
        <v>2079</v>
      </c>
      <c r="C1071" s="1" t="s">
        <v>695</v>
      </c>
      <c r="D1071" s="1" t="s">
        <v>696</v>
      </c>
      <c r="E1071" s="1" t="s">
        <v>7</v>
      </c>
    </row>
    <row r="1072" customFormat="false" ht="16" hidden="false" customHeight="false" outlineLevel="0" collapsed="false">
      <c r="A1072" s="1" t="s">
        <v>2084</v>
      </c>
      <c r="B1072" s="1" t="s">
        <v>2085</v>
      </c>
      <c r="C1072" s="1" t="s">
        <v>695</v>
      </c>
      <c r="D1072" s="1" t="s">
        <v>764</v>
      </c>
      <c r="E1072" s="1" t="s">
        <v>7</v>
      </c>
    </row>
    <row r="1073" customFormat="false" ht="16" hidden="false" customHeight="false" outlineLevel="0" collapsed="false">
      <c r="A1073" s="1" t="s">
        <v>2086</v>
      </c>
      <c r="B1073" s="1" t="s">
        <v>2085</v>
      </c>
      <c r="C1073" s="1" t="s">
        <v>695</v>
      </c>
      <c r="D1073" s="1" t="s">
        <v>766</v>
      </c>
      <c r="E1073" s="1" t="s">
        <v>7</v>
      </c>
    </row>
    <row r="1074" customFormat="false" ht="16" hidden="false" customHeight="false" outlineLevel="0" collapsed="false">
      <c r="A1074" s="1" t="s">
        <v>2087</v>
      </c>
      <c r="B1074" s="1" t="s">
        <v>2085</v>
      </c>
      <c r="C1074" s="1" t="s">
        <v>695</v>
      </c>
      <c r="D1074" s="1" t="s">
        <v>768</v>
      </c>
      <c r="E1074" s="1" t="s">
        <v>7</v>
      </c>
    </row>
    <row r="1075" customFormat="false" ht="16" hidden="false" customHeight="false" outlineLevel="0" collapsed="false">
      <c r="A1075" s="1" t="s">
        <v>2088</v>
      </c>
      <c r="B1075" s="1" t="s">
        <v>2085</v>
      </c>
      <c r="C1075" s="1" t="s">
        <v>695</v>
      </c>
      <c r="D1075" s="1" t="s">
        <v>770</v>
      </c>
      <c r="E1075" s="1" t="s">
        <v>7</v>
      </c>
    </row>
    <row r="1076" customFormat="false" ht="16" hidden="false" customHeight="false" outlineLevel="0" collapsed="false">
      <c r="A1076" s="1" t="s">
        <v>2089</v>
      </c>
      <c r="B1076" s="1" t="s">
        <v>2085</v>
      </c>
      <c r="C1076" s="1" t="s">
        <v>695</v>
      </c>
      <c r="D1076" s="1" t="s">
        <v>696</v>
      </c>
      <c r="E1076" s="1" t="s">
        <v>7</v>
      </c>
    </row>
    <row r="1077" customFormat="false" ht="16" hidden="false" customHeight="false" outlineLevel="0" collapsed="false">
      <c r="A1077" s="1" t="s">
        <v>2090</v>
      </c>
      <c r="B1077" s="1" t="s">
        <v>2091</v>
      </c>
      <c r="C1077" s="1" t="s">
        <v>695</v>
      </c>
      <c r="D1077" s="1" t="s">
        <v>764</v>
      </c>
      <c r="E1077" s="1" t="s">
        <v>7</v>
      </c>
    </row>
    <row r="1078" customFormat="false" ht="16" hidden="false" customHeight="false" outlineLevel="0" collapsed="false">
      <c r="A1078" s="1" t="s">
        <v>2092</v>
      </c>
      <c r="B1078" s="1" t="s">
        <v>2091</v>
      </c>
      <c r="C1078" s="1" t="s">
        <v>695</v>
      </c>
      <c r="D1078" s="1" t="s">
        <v>766</v>
      </c>
      <c r="E1078" s="1" t="s">
        <v>7</v>
      </c>
    </row>
    <row r="1079" customFormat="false" ht="16" hidden="false" customHeight="false" outlineLevel="0" collapsed="false">
      <c r="A1079" s="1" t="s">
        <v>2093</v>
      </c>
      <c r="B1079" s="1" t="s">
        <v>2091</v>
      </c>
      <c r="C1079" s="1" t="s">
        <v>695</v>
      </c>
      <c r="D1079" s="1" t="s">
        <v>768</v>
      </c>
      <c r="E1079" s="1" t="s">
        <v>7</v>
      </c>
    </row>
    <row r="1080" customFormat="false" ht="16" hidden="false" customHeight="false" outlineLevel="0" collapsed="false">
      <c r="A1080" s="1" t="s">
        <v>2094</v>
      </c>
      <c r="B1080" s="1" t="s">
        <v>2091</v>
      </c>
      <c r="C1080" s="1" t="s">
        <v>695</v>
      </c>
      <c r="D1080" s="1" t="s">
        <v>770</v>
      </c>
      <c r="E1080" s="1" t="s">
        <v>7</v>
      </c>
    </row>
    <row r="1081" customFormat="false" ht="16" hidden="false" customHeight="false" outlineLevel="0" collapsed="false">
      <c r="A1081" s="1" t="s">
        <v>2095</v>
      </c>
      <c r="B1081" s="1" t="s">
        <v>2091</v>
      </c>
      <c r="C1081" s="1" t="s">
        <v>695</v>
      </c>
      <c r="D1081" s="1" t="s">
        <v>696</v>
      </c>
      <c r="E1081" s="1" t="s">
        <v>7</v>
      </c>
    </row>
    <row r="1082" customFormat="false" ht="16" hidden="false" customHeight="false" outlineLevel="0" collapsed="false">
      <c r="A1082" s="1" t="s">
        <v>2096</v>
      </c>
      <c r="B1082" s="1" t="s">
        <v>2097</v>
      </c>
      <c r="C1082" s="1" t="s">
        <v>695</v>
      </c>
      <c r="D1082" s="1" t="s">
        <v>768</v>
      </c>
      <c r="E1082" s="1" t="s">
        <v>7</v>
      </c>
    </row>
    <row r="1083" customFormat="false" ht="16" hidden="false" customHeight="false" outlineLevel="0" collapsed="false">
      <c r="A1083" s="1" t="s">
        <v>2098</v>
      </c>
      <c r="B1083" s="1" t="s">
        <v>2099</v>
      </c>
      <c r="C1083" s="1" t="s">
        <v>695</v>
      </c>
      <c r="D1083" s="1" t="s">
        <v>764</v>
      </c>
      <c r="E1083" s="1" t="s">
        <v>7</v>
      </c>
    </row>
    <row r="1084" customFormat="false" ht="16" hidden="false" customHeight="false" outlineLevel="0" collapsed="false">
      <c r="A1084" s="1" t="s">
        <v>2100</v>
      </c>
      <c r="B1084" s="1" t="s">
        <v>2099</v>
      </c>
      <c r="C1084" s="1" t="s">
        <v>695</v>
      </c>
      <c r="D1084" s="1" t="s">
        <v>766</v>
      </c>
      <c r="E1084" s="1" t="s">
        <v>7</v>
      </c>
    </row>
    <row r="1085" customFormat="false" ht="16" hidden="false" customHeight="false" outlineLevel="0" collapsed="false">
      <c r="A1085" s="1" t="s">
        <v>2101</v>
      </c>
      <c r="B1085" s="1" t="s">
        <v>2099</v>
      </c>
      <c r="C1085" s="1" t="s">
        <v>695</v>
      </c>
      <c r="D1085" s="1" t="s">
        <v>768</v>
      </c>
      <c r="E1085" s="1" t="s">
        <v>7</v>
      </c>
    </row>
    <row r="1086" customFormat="false" ht="16" hidden="false" customHeight="false" outlineLevel="0" collapsed="false">
      <c r="A1086" s="1" t="s">
        <v>2102</v>
      </c>
      <c r="B1086" s="1" t="s">
        <v>2099</v>
      </c>
      <c r="C1086" s="1" t="s">
        <v>695</v>
      </c>
      <c r="D1086" s="1" t="s">
        <v>770</v>
      </c>
      <c r="E1086" s="1" t="s">
        <v>7</v>
      </c>
    </row>
    <row r="1087" customFormat="false" ht="16" hidden="false" customHeight="false" outlineLevel="0" collapsed="false">
      <c r="A1087" s="1" t="s">
        <v>2103</v>
      </c>
      <c r="B1087" s="1" t="s">
        <v>2099</v>
      </c>
      <c r="C1087" s="1" t="s">
        <v>695</v>
      </c>
      <c r="D1087" s="1" t="s">
        <v>696</v>
      </c>
      <c r="E1087" s="1" t="s">
        <v>7</v>
      </c>
    </row>
    <row r="1088" customFormat="false" ht="16" hidden="false" customHeight="false" outlineLevel="0" collapsed="false">
      <c r="A1088" s="1" t="s">
        <v>2104</v>
      </c>
      <c r="B1088" s="1" t="s">
        <v>2105</v>
      </c>
      <c r="C1088" s="1" t="s">
        <v>695</v>
      </c>
      <c r="D1088" s="1" t="s">
        <v>764</v>
      </c>
      <c r="E1088" s="1" t="s">
        <v>7</v>
      </c>
    </row>
    <row r="1089" customFormat="false" ht="16" hidden="false" customHeight="false" outlineLevel="0" collapsed="false">
      <c r="A1089" s="1" t="s">
        <v>2106</v>
      </c>
      <c r="B1089" s="1" t="s">
        <v>2105</v>
      </c>
      <c r="C1089" s="1" t="s">
        <v>695</v>
      </c>
      <c r="D1089" s="1" t="s">
        <v>766</v>
      </c>
      <c r="E1089" s="1" t="s">
        <v>7</v>
      </c>
    </row>
    <row r="1090" customFormat="false" ht="16" hidden="false" customHeight="false" outlineLevel="0" collapsed="false">
      <c r="A1090" s="1" t="s">
        <v>2107</v>
      </c>
      <c r="B1090" s="1" t="s">
        <v>2105</v>
      </c>
      <c r="C1090" s="1" t="s">
        <v>695</v>
      </c>
      <c r="D1090" s="1" t="s">
        <v>768</v>
      </c>
      <c r="E1090" s="1" t="s">
        <v>7</v>
      </c>
    </row>
    <row r="1091" customFormat="false" ht="16" hidden="false" customHeight="false" outlineLevel="0" collapsed="false">
      <c r="A1091" s="1" t="s">
        <v>2108</v>
      </c>
      <c r="B1091" s="1" t="s">
        <v>2105</v>
      </c>
      <c r="C1091" s="1" t="s">
        <v>695</v>
      </c>
      <c r="D1091" s="1" t="s">
        <v>770</v>
      </c>
      <c r="E1091" s="1" t="s">
        <v>7</v>
      </c>
    </row>
    <row r="1092" customFormat="false" ht="16" hidden="false" customHeight="false" outlineLevel="0" collapsed="false">
      <c r="A1092" s="1" t="s">
        <v>2109</v>
      </c>
      <c r="B1092" s="1" t="s">
        <v>2105</v>
      </c>
      <c r="C1092" s="1" t="s">
        <v>695</v>
      </c>
      <c r="D1092" s="1" t="s">
        <v>696</v>
      </c>
      <c r="E1092" s="1" t="s">
        <v>7</v>
      </c>
    </row>
    <row r="1093" customFormat="false" ht="16" hidden="false" customHeight="false" outlineLevel="0" collapsed="false">
      <c r="A1093" s="1" t="s">
        <v>2110</v>
      </c>
      <c r="B1093" s="1" t="s">
        <v>2111</v>
      </c>
      <c r="C1093" s="1" t="s">
        <v>695</v>
      </c>
      <c r="D1093" s="1" t="s">
        <v>764</v>
      </c>
      <c r="E1093" s="1" t="s">
        <v>7</v>
      </c>
    </row>
    <row r="1094" customFormat="false" ht="16" hidden="false" customHeight="false" outlineLevel="0" collapsed="false">
      <c r="A1094" s="1" t="s">
        <v>2112</v>
      </c>
      <c r="B1094" s="1" t="s">
        <v>2111</v>
      </c>
      <c r="C1094" s="1" t="s">
        <v>695</v>
      </c>
      <c r="D1094" s="1" t="s">
        <v>766</v>
      </c>
      <c r="E1094" s="1" t="s">
        <v>7</v>
      </c>
    </row>
    <row r="1095" customFormat="false" ht="16" hidden="false" customHeight="false" outlineLevel="0" collapsed="false">
      <c r="A1095" s="1" t="s">
        <v>2113</v>
      </c>
      <c r="B1095" s="1" t="s">
        <v>2111</v>
      </c>
      <c r="C1095" s="1" t="s">
        <v>695</v>
      </c>
      <c r="D1095" s="1" t="s">
        <v>768</v>
      </c>
      <c r="E1095" s="1" t="s">
        <v>7</v>
      </c>
    </row>
    <row r="1096" customFormat="false" ht="16" hidden="false" customHeight="false" outlineLevel="0" collapsed="false">
      <c r="A1096" s="1" t="s">
        <v>2114</v>
      </c>
      <c r="B1096" s="1" t="s">
        <v>2111</v>
      </c>
      <c r="C1096" s="1" t="s">
        <v>695</v>
      </c>
      <c r="D1096" s="1" t="s">
        <v>770</v>
      </c>
      <c r="E1096" s="1" t="s">
        <v>7</v>
      </c>
    </row>
    <row r="1097" customFormat="false" ht="16" hidden="false" customHeight="false" outlineLevel="0" collapsed="false">
      <c r="A1097" s="1" t="s">
        <v>2115</v>
      </c>
      <c r="B1097" s="1" t="s">
        <v>2111</v>
      </c>
      <c r="C1097" s="1" t="s">
        <v>695</v>
      </c>
      <c r="D1097" s="1" t="s">
        <v>696</v>
      </c>
      <c r="E1097" s="1" t="s">
        <v>7</v>
      </c>
    </row>
    <row r="1098" customFormat="false" ht="16" hidden="false" customHeight="false" outlineLevel="0" collapsed="false">
      <c r="A1098" s="1" t="s">
        <v>2116</v>
      </c>
      <c r="B1098" s="1" t="s">
        <v>2117</v>
      </c>
      <c r="C1098" s="1" t="s">
        <v>695</v>
      </c>
      <c r="D1098" s="1" t="s">
        <v>764</v>
      </c>
      <c r="E1098" s="1" t="s">
        <v>7</v>
      </c>
    </row>
    <row r="1099" customFormat="false" ht="16" hidden="false" customHeight="false" outlineLevel="0" collapsed="false">
      <c r="A1099" s="1" t="s">
        <v>2118</v>
      </c>
      <c r="B1099" s="1" t="s">
        <v>2117</v>
      </c>
      <c r="C1099" s="1" t="s">
        <v>695</v>
      </c>
      <c r="D1099" s="1" t="s">
        <v>766</v>
      </c>
      <c r="E1099" s="1" t="s">
        <v>7</v>
      </c>
    </row>
    <row r="1100" customFormat="false" ht="16" hidden="false" customHeight="false" outlineLevel="0" collapsed="false">
      <c r="A1100" s="1" t="s">
        <v>2119</v>
      </c>
      <c r="B1100" s="1" t="s">
        <v>2117</v>
      </c>
      <c r="C1100" s="1" t="s">
        <v>695</v>
      </c>
      <c r="D1100" s="1" t="s">
        <v>768</v>
      </c>
      <c r="E1100" s="1" t="s">
        <v>7</v>
      </c>
    </row>
    <row r="1101" customFormat="false" ht="16" hidden="false" customHeight="false" outlineLevel="0" collapsed="false">
      <c r="A1101" s="1" t="s">
        <v>2120</v>
      </c>
      <c r="B1101" s="1" t="s">
        <v>2117</v>
      </c>
      <c r="C1101" s="1" t="s">
        <v>695</v>
      </c>
      <c r="D1101" s="1" t="s">
        <v>770</v>
      </c>
      <c r="E1101" s="1" t="s">
        <v>7</v>
      </c>
    </row>
    <row r="1102" customFormat="false" ht="16" hidden="false" customHeight="false" outlineLevel="0" collapsed="false">
      <c r="A1102" s="1" t="s">
        <v>2121</v>
      </c>
      <c r="B1102" s="1" t="s">
        <v>2117</v>
      </c>
      <c r="C1102" s="1" t="s">
        <v>695</v>
      </c>
      <c r="D1102" s="1" t="s">
        <v>696</v>
      </c>
      <c r="E1102" s="1" t="s">
        <v>7</v>
      </c>
    </row>
    <row r="1103" customFormat="false" ht="16" hidden="false" customHeight="false" outlineLevel="0" collapsed="false">
      <c r="A1103" s="1" t="s">
        <v>2122</v>
      </c>
      <c r="B1103" s="1" t="s">
        <v>2123</v>
      </c>
      <c r="C1103" s="1" t="s">
        <v>695</v>
      </c>
      <c r="D1103" s="1" t="s">
        <v>764</v>
      </c>
      <c r="E1103" s="1" t="s">
        <v>7</v>
      </c>
    </row>
    <row r="1104" customFormat="false" ht="16" hidden="false" customHeight="false" outlineLevel="0" collapsed="false">
      <c r="A1104" s="1" t="s">
        <v>2124</v>
      </c>
      <c r="B1104" s="1" t="s">
        <v>2123</v>
      </c>
      <c r="C1104" s="1" t="s">
        <v>695</v>
      </c>
      <c r="D1104" s="1" t="s">
        <v>766</v>
      </c>
      <c r="E1104" s="1" t="s">
        <v>7</v>
      </c>
    </row>
    <row r="1105" customFormat="false" ht="16" hidden="false" customHeight="false" outlineLevel="0" collapsed="false">
      <c r="A1105" s="1" t="s">
        <v>2125</v>
      </c>
      <c r="B1105" s="1" t="s">
        <v>2123</v>
      </c>
      <c r="C1105" s="1" t="s">
        <v>695</v>
      </c>
      <c r="D1105" s="1" t="s">
        <v>768</v>
      </c>
      <c r="E1105" s="1" t="s">
        <v>7</v>
      </c>
    </row>
    <row r="1106" customFormat="false" ht="16" hidden="false" customHeight="false" outlineLevel="0" collapsed="false">
      <c r="A1106" s="1" t="s">
        <v>2126</v>
      </c>
      <c r="B1106" s="1" t="s">
        <v>2123</v>
      </c>
      <c r="C1106" s="1" t="s">
        <v>695</v>
      </c>
      <c r="D1106" s="1" t="s">
        <v>770</v>
      </c>
      <c r="E1106" s="1" t="s">
        <v>7</v>
      </c>
    </row>
    <row r="1107" customFormat="false" ht="16" hidden="false" customHeight="false" outlineLevel="0" collapsed="false">
      <c r="A1107" s="1" t="s">
        <v>2127</v>
      </c>
      <c r="B1107" s="1" t="s">
        <v>2123</v>
      </c>
      <c r="C1107" s="1" t="s">
        <v>695</v>
      </c>
      <c r="D1107" s="1" t="s">
        <v>696</v>
      </c>
      <c r="E1107" s="1" t="s">
        <v>7</v>
      </c>
    </row>
    <row r="1108" customFormat="false" ht="16" hidden="false" customHeight="false" outlineLevel="0" collapsed="false">
      <c r="A1108" s="1" t="s">
        <v>2128</v>
      </c>
      <c r="B1108" s="1" t="s">
        <v>2129</v>
      </c>
      <c r="C1108" s="1" t="s">
        <v>695</v>
      </c>
      <c r="D1108" s="1" t="s">
        <v>764</v>
      </c>
      <c r="E1108" s="1" t="s">
        <v>7</v>
      </c>
    </row>
    <row r="1109" customFormat="false" ht="16" hidden="false" customHeight="false" outlineLevel="0" collapsed="false">
      <c r="A1109" s="1" t="s">
        <v>2130</v>
      </c>
      <c r="B1109" s="1" t="s">
        <v>2129</v>
      </c>
      <c r="C1109" s="1" t="s">
        <v>695</v>
      </c>
      <c r="D1109" s="1" t="s">
        <v>766</v>
      </c>
      <c r="E1109" s="1" t="s">
        <v>7</v>
      </c>
    </row>
    <row r="1110" customFormat="false" ht="16" hidden="false" customHeight="false" outlineLevel="0" collapsed="false">
      <c r="A1110" s="1" t="s">
        <v>2131</v>
      </c>
      <c r="B1110" s="1" t="s">
        <v>2129</v>
      </c>
      <c r="C1110" s="1" t="s">
        <v>695</v>
      </c>
      <c r="D1110" s="1" t="s">
        <v>768</v>
      </c>
      <c r="E1110" s="1" t="s">
        <v>7</v>
      </c>
    </row>
    <row r="1111" customFormat="false" ht="16" hidden="false" customHeight="false" outlineLevel="0" collapsed="false">
      <c r="A1111" s="1" t="s">
        <v>2132</v>
      </c>
      <c r="B1111" s="1" t="s">
        <v>2129</v>
      </c>
      <c r="C1111" s="1" t="s">
        <v>695</v>
      </c>
      <c r="D1111" s="1" t="s">
        <v>770</v>
      </c>
      <c r="E1111" s="1" t="s">
        <v>7</v>
      </c>
    </row>
    <row r="1112" customFormat="false" ht="16" hidden="false" customHeight="false" outlineLevel="0" collapsed="false">
      <c r="A1112" s="1" t="s">
        <v>2133</v>
      </c>
      <c r="B1112" s="1" t="s">
        <v>2129</v>
      </c>
      <c r="C1112" s="1" t="s">
        <v>695</v>
      </c>
      <c r="D1112" s="1" t="s">
        <v>696</v>
      </c>
      <c r="E1112" s="1" t="s">
        <v>7</v>
      </c>
    </row>
    <row r="1113" customFormat="false" ht="16" hidden="false" customHeight="false" outlineLevel="0" collapsed="false">
      <c r="A1113" s="1" t="s">
        <v>2134</v>
      </c>
      <c r="B1113" s="1" t="s">
        <v>2135</v>
      </c>
      <c r="C1113" s="1" t="s">
        <v>695</v>
      </c>
      <c r="D1113" s="1" t="s">
        <v>764</v>
      </c>
      <c r="E1113" s="1" t="s">
        <v>7</v>
      </c>
    </row>
    <row r="1114" customFormat="false" ht="16" hidden="false" customHeight="false" outlineLevel="0" collapsed="false">
      <c r="A1114" s="1" t="s">
        <v>2136</v>
      </c>
      <c r="B1114" s="1" t="s">
        <v>2135</v>
      </c>
      <c r="C1114" s="1" t="s">
        <v>695</v>
      </c>
      <c r="D1114" s="1" t="s">
        <v>766</v>
      </c>
      <c r="E1114" s="1" t="s">
        <v>7</v>
      </c>
    </row>
    <row r="1115" customFormat="false" ht="16" hidden="false" customHeight="false" outlineLevel="0" collapsed="false">
      <c r="A1115" s="1" t="s">
        <v>2137</v>
      </c>
      <c r="B1115" s="1" t="s">
        <v>2135</v>
      </c>
      <c r="C1115" s="1" t="s">
        <v>695</v>
      </c>
      <c r="D1115" s="1" t="s">
        <v>768</v>
      </c>
      <c r="E1115" s="1" t="s">
        <v>7</v>
      </c>
    </row>
    <row r="1116" customFormat="false" ht="16" hidden="false" customHeight="false" outlineLevel="0" collapsed="false">
      <c r="A1116" s="1" t="s">
        <v>2138</v>
      </c>
      <c r="B1116" s="1" t="s">
        <v>2135</v>
      </c>
      <c r="C1116" s="1" t="s">
        <v>695</v>
      </c>
      <c r="D1116" s="1" t="s">
        <v>770</v>
      </c>
      <c r="E1116" s="1" t="s">
        <v>7</v>
      </c>
    </row>
    <row r="1117" customFormat="false" ht="16" hidden="false" customHeight="false" outlineLevel="0" collapsed="false">
      <c r="A1117" s="1" t="s">
        <v>2139</v>
      </c>
      <c r="B1117" s="1" t="s">
        <v>2135</v>
      </c>
      <c r="C1117" s="1" t="s">
        <v>695</v>
      </c>
      <c r="D1117" s="1" t="s">
        <v>696</v>
      </c>
      <c r="E1117" s="1" t="s">
        <v>7</v>
      </c>
    </row>
    <row r="1118" customFormat="false" ht="16" hidden="false" customHeight="false" outlineLevel="0" collapsed="false">
      <c r="A1118" s="1" t="s">
        <v>2140</v>
      </c>
      <c r="B1118" s="1" t="s">
        <v>2141</v>
      </c>
      <c r="C1118" s="1" t="s">
        <v>695</v>
      </c>
      <c r="D1118" s="1" t="s">
        <v>768</v>
      </c>
      <c r="E1118" s="1" t="s">
        <v>7</v>
      </c>
    </row>
    <row r="1119" customFormat="false" ht="16" hidden="false" customHeight="false" outlineLevel="0" collapsed="false">
      <c r="A1119" s="1" t="s">
        <v>2142</v>
      </c>
      <c r="B1119" s="1" t="s">
        <v>2143</v>
      </c>
      <c r="C1119" s="1" t="s">
        <v>695</v>
      </c>
      <c r="D1119" s="1" t="s">
        <v>770</v>
      </c>
      <c r="E1119" s="1" t="s">
        <v>7</v>
      </c>
    </row>
    <row r="1120" customFormat="false" ht="16" hidden="false" customHeight="false" outlineLevel="0" collapsed="false">
      <c r="A1120" s="1" t="s">
        <v>2144</v>
      </c>
      <c r="B1120" s="1" t="s">
        <v>2145</v>
      </c>
      <c r="C1120" s="1" t="s">
        <v>695</v>
      </c>
      <c r="D1120" s="1" t="s">
        <v>768</v>
      </c>
      <c r="E1120" s="1" t="s">
        <v>7</v>
      </c>
    </row>
    <row r="1121" customFormat="false" ht="16" hidden="false" customHeight="false" outlineLevel="0" collapsed="false">
      <c r="A1121" s="1" t="s">
        <v>2146</v>
      </c>
      <c r="B1121" s="1" t="s">
        <v>2147</v>
      </c>
      <c r="C1121" s="1" t="s">
        <v>695</v>
      </c>
      <c r="D1121" s="1" t="s">
        <v>768</v>
      </c>
      <c r="E1121" s="1" t="s">
        <v>7</v>
      </c>
    </row>
    <row r="1122" customFormat="false" ht="16" hidden="false" customHeight="false" outlineLevel="0" collapsed="false">
      <c r="A1122" s="1" t="s">
        <v>2148</v>
      </c>
      <c r="B1122" s="1" t="s">
        <v>55</v>
      </c>
      <c r="C1122" s="1" t="s">
        <v>695</v>
      </c>
      <c r="D1122" s="1" t="s">
        <v>764</v>
      </c>
      <c r="E1122" s="1" t="s">
        <v>7</v>
      </c>
    </row>
    <row r="1123" customFormat="false" ht="16" hidden="false" customHeight="false" outlineLevel="0" collapsed="false">
      <c r="A1123" s="1" t="s">
        <v>2149</v>
      </c>
      <c r="B1123" s="1" t="s">
        <v>55</v>
      </c>
      <c r="C1123" s="1" t="s">
        <v>695</v>
      </c>
      <c r="D1123" s="1" t="s">
        <v>766</v>
      </c>
      <c r="E1123" s="1" t="s">
        <v>7</v>
      </c>
    </row>
    <row r="1124" customFormat="false" ht="16" hidden="false" customHeight="false" outlineLevel="0" collapsed="false">
      <c r="A1124" s="1" t="s">
        <v>2150</v>
      </c>
      <c r="B1124" s="1" t="s">
        <v>55</v>
      </c>
      <c r="C1124" s="1" t="s">
        <v>695</v>
      </c>
      <c r="D1124" s="1" t="s">
        <v>768</v>
      </c>
      <c r="E1124" s="1" t="s">
        <v>7</v>
      </c>
    </row>
    <row r="1125" customFormat="false" ht="16" hidden="false" customHeight="false" outlineLevel="0" collapsed="false">
      <c r="A1125" s="1" t="s">
        <v>2151</v>
      </c>
      <c r="B1125" s="1" t="s">
        <v>55</v>
      </c>
      <c r="C1125" s="1" t="s">
        <v>695</v>
      </c>
      <c r="D1125" s="1" t="s">
        <v>770</v>
      </c>
      <c r="E1125" s="1" t="s">
        <v>7</v>
      </c>
    </row>
    <row r="1126" customFormat="false" ht="16" hidden="false" customHeight="false" outlineLevel="0" collapsed="false">
      <c r="A1126" s="1" t="s">
        <v>2152</v>
      </c>
      <c r="B1126" s="1" t="s">
        <v>55</v>
      </c>
      <c r="C1126" s="1" t="s">
        <v>695</v>
      </c>
      <c r="D1126" s="1" t="s">
        <v>696</v>
      </c>
      <c r="E1126" s="1" t="s">
        <v>7</v>
      </c>
    </row>
    <row r="1127" customFormat="false" ht="16" hidden="false" customHeight="false" outlineLevel="0" collapsed="false">
      <c r="A1127" s="1" t="s">
        <v>2153</v>
      </c>
      <c r="B1127" s="1" t="s">
        <v>2154</v>
      </c>
      <c r="C1127" s="1" t="s">
        <v>695</v>
      </c>
      <c r="D1127" s="1" t="s">
        <v>764</v>
      </c>
      <c r="E1127" s="1" t="s">
        <v>7</v>
      </c>
    </row>
    <row r="1128" customFormat="false" ht="16" hidden="false" customHeight="false" outlineLevel="0" collapsed="false">
      <c r="A1128" s="1" t="s">
        <v>2155</v>
      </c>
      <c r="B1128" s="1" t="s">
        <v>2154</v>
      </c>
      <c r="C1128" s="1" t="s">
        <v>695</v>
      </c>
      <c r="D1128" s="1" t="s">
        <v>766</v>
      </c>
      <c r="E1128" s="1" t="s">
        <v>7</v>
      </c>
    </row>
    <row r="1129" customFormat="false" ht="16" hidden="false" customHeight="false" outlineLevel="0" collapsed="false">
      <c r="A1129" s="1" t="s">
        <v>2156</v>
      </c>
      <c r="B1129" s="1" t="s">
        <v>2154</v>
      </c>
      <c r="C1129" s="1" t="s">
        <v>695</v>
      </c>
      <c r="D1129" s="1" t="s">
        <v>768</v>
      </c>
      <c r="E1129" s="1" t="s">
        <v>7</v>
      </c>
    </row>
    <row r="1130" customFormat="false" ht="16" hidden="false" customHeight="false" outlineLevel="0" collapsed="false">
      <c r="A1130" s="1" t="s">
        <v>2157</v>
      </c>
      <c r="B1130" s="1" t="s">
        <v>2154</v>
      </c>
      <c r="C1130" s="1" t="s">
        <v>695</v>
      </c>
      <c r="D1130" s="1" t="s">
        <v>770</v>
      </c>
      <c r="E1130" s="1" t="s">
        <v>7</v>
      </c>
    </row>
    <row r="1131" customFormat="false" ht="16" hidden="false" customHeight="false" outlineLevel="0" collapsed="false">
      <c r="A1131" s="1" t="s">
        <v>2158</v>
      </c>
      <c r="B1131" s="1" t="s">
        <v>2154</v>
      </c>
      <c r="C1131" s="1" t="s">
        <v>695</v>
      </c>
      <c r="D1131" s="1" t="s">
        <v>696</v>
      </c>
      <c r="E1131" s="1" t="s">
        <v>7</v>
      </c>
    </row>
    <row r="1132" customFormat="false" ht="16" hidden="false" customHeight="false" outlineLevel="0" collapsed="false">
      <c r="A1132" s="1" t="s">
        <v>2159</v>
      </c>
      <c r="B1132" s="1" t="s">
        <v>2160</v>
      </c>
      <c r="C1132" s="1" t="s">
        <v>695</v>
      </c>
      <c r="D1132" s="1" t="s">
        <v>764</v>
      </c>
      <c r="E1132" s="1" t="s">
        <v>7</v>
      </c>
    </row>
    <row r="1133" customFormat="false" ht="16" hidden="false" customHeight="false" outlineLevel="0" collapsed="false">
      <c r="A1133" s="1" t="s">
        <v>2161</v>
      </c>
      <c r="B1133" s="1" t="s">
        <v>2160</v>
      </c>
      <c r="C1133" s="1" t="s">
        <v>695</v>
      </c>
      <c r="D1133" s="1" t="s">
        <v>766</v>
      </c>
      <c r="E1133" s="1" t="s">
        <v>7</v>
      </c>
    </row>
    <row r="1134" customFormat="false" ht="16" hidden="false" customHeight="false" outlineLevel="0" collapsed="false">
      <c r="A1134" s="1" t="s">
        <v>2162</v>
      </c>
      <c r="B1134" s="1" t="s">
        <v>2160</v>
      </c>
      <c r="C1134" s="1" t="s">
        <v>695</v>
      </c>
      <c r="D1134" s="1" t="s">
        <v>768</v>
      </c>
      <c r="E1134" s="1" t="s">
        <v>7</v>
      </c>
    </row>
    <row r="1135" customFormat="false" ht="16" hidden="false" customHeight="false" outlineLevel="0" collapsed="false">
      <c r="A1135" s="1" t="s">
        <v>2163</v>
      </c>
      <c r="B1135" s="1" t="s">
        <v>2160</v>
      </c>
      <c r="C1135" s="1" t="s">
        <v>695</v>
      </c>
      <c r="D1135" s="1" t="s">
        <v>770</v>
      </c>
      <c r="E1135" s="1" t="s">
        <v>7</v>
      </c>
    </row>
    <row r="1136" customFormat="false" ht="16" hidden="false" customHeight="false" outlineLevel="0" collapsed="false">
      <c r="A1136" s="1" t="s">
        <v>2164</v>
      </c>
      <c r="B1136" s="1" t="s">
        <v>2160</v>
      </c>
      <c r="C1136" s="1" t="s">
        <v>695</v>
      </c>
      <c r="D1136" s="1" t="s">
        <v>696</v>
      </c>
      <c r="E1136" s="1" t="s">
        <v>7</v>
      </c>
    </row>
    <row r="1137" customFormat="false" ht="16" hidden="false" customHeight="false" outlineLevel="0" collapsed="false">
      <c r="A1137" s="1" t="s">
        <v>2165</v>
      </c>
      <c r="B1137" s="1" t="s">
        <v>2166</v>
      </c>
      <c r="C1137" s="1" t="s">
        <v>695</v>
      </c>
      <c r="D1137" s="1" t="s">
        <v>764</v>
      </c>
      <c r="E1137" s="1" t="s">
        <v>7</v>
      </c>
    </row>
    <row r="1138" customFormat="false" ht="16" hidden="false" customHeight="false" outlineLevel="0" collapsed="false">
      <c r="A1138" s="1" t="s">
        <v>2167</v>
      </c>
      <c r="B1138" s="1" t="s">
        <v>2166</v>
      </c>
      <c r="C1138" s="1" t="s">
        <v>695</v>
      </c>
      <c r="D1138" s="1" t="s">
        <v>766</v>
      </c>
      <c r="E1138" s="1" t="s">
        <v>7</v>
      </c>
    </row>
    <row r="1139" customFormat="false" ht="16" hidden="false" customHeight="false" outlineLevel="0" collapsed="false">
      <c r="A1139" s="1" t="s">
        <v>2168</v>
      </c>
      <c r="B1139" s="1" t="s">
        <v>2166</v>
      </c>
      <c r="C1139" s="1" t="s">
        <v>695</v>
      </c>
      <c r="D1139" s="1" t="s">
        <v>768</v>
      </c>
      <c r="E1139" s="1" t="s">
        <v>7</v>
      </c>
    </row>
    <row r="1140" customFormat="false" ht="16" hidden="false" customHeight="false" outlineLevel="0" collapsed="false">
      <c r="A1140" s="1" t="s">
        <v>2169</v>
      </c>
      <c r="B1140" s="1" t="s">
        <v>2166</v>
      </c>
      <c r="C1140" s="1" t="s">
        <v>695</v>
      </c>
      <c r="D1140" s="1" t="s">
        <v>770</v>
      </c>
      <c r="E1140" s="1" t="s">
        <v>7</v>
      </c>
    </row>
    <row r="1141" customFormat="false" ht="16" hidden="false" customHeight="false" outlineLevel="0" collapsed="false">
      <c r="A1141" s="1" t="s">
        <v>2170</v>
      </c>
      <c r="B1141" s="1" t="s">
        <v>2166</v>
      </c>
      <c r="C1141" s="1" t="s">
        <v>695</v>
      </c>
      <c r="D1141" s="1" t="s">
        <v>696</v>
      </c>
      <c r="E1141" s="1" t="s">
        <v>7</v>
      </c>
    </row>
    <row r="1142" customFormat="false" ht="16" hidden="false" customHeight="false" outlineLevel="0" collapsed="false">
      <c r="A1142" s="1" t="s">
        <v>2171</v>
      </c>
      <c r="B1142" s="1" t="s">
        <v>2172</v>
      </c>
      <c r="C1142" s="1" t="s">
        <v>695</v>
      </c>
      <c r="D1142" s="1" t="s">
        <v>764</v>
      </c>
      <c r="E1142" s="1" t="s">
        <v>7</v>
      </c>
    </row>
    <row r="1143" customFormat="false" ht="16" hidden="false" customHeight="false" outlineLevel="0" collapsed="false">
      <c r="A1143" s="1" t="s">
        <v>2173</v>
      </c>
      <c r="B1143" s="1" t="s">
        <v>2172</v>
      </c>
      <c r="C1143" s="1" t="s">
        <v>695</v>
      </c>
      <c r="D1143" s="1" t="s">
        <v>766</v>
      </c>
      <c r="E1143" s="1" t="s">
        <v>7</v>
      </c>
    </row>
    <row r="1144" customFormat="false" ht="16" hidden="false" customHeight="false" outlineLevel="0" collapsed="false">
      <c r="A1144" s="1" t="s">
        <v>2174</v>
      </c>
      <c r="B1144" s="1" t="s">
        <v>2172</v>
      </c>
      <c r="C1144" s="1" t="s">
        <v>695</v>
      </c>
      <c r="D1144" s="1" t="s">
        <v>768</v>
      </c>
      <c r="E1144" s="1" t="s">
        <v>7</v>
      </c>
    </row>
    <row r="1145" customFormat="false" ht="16" hidden="false" customHeight="false" outlineLevel="0" collapsed="false">
      <c r="A1145" s="1" t="s">
        <v>2175</v>
      </c>
      <c r="B1145" s="1" t="s">
        <v>2172</v>
      </c>
      <c r="C1145" s="1" t="s">
        <v>695</v>
      </c>
      <c r="D1145" s="1" t="s">
        <v>770</v>
      </c>
      <c r="E1145" s="1" t="s">
        <v>7</v>
      </c>
    </row>
    <row r="1146" customFormat="false" ht="16" hidden="false" customHeight="false" outlineLevel="0" collapsed="false">
      <c r="A1146" s="1" t="s">
        <v>2176</v>
      </c>
      <c r="B1146" s="1" t="s">
        <v>2172</v>
      </c>
      <c r="C1146" s="1" t="s">
        <v>695</v>
      </c>
      <c r="D1146" s="1" t="s">
        <v>696</v>
      </c>
      <c r="E1146" s="1" t="s">
        <v>7</v>
      </c>
    </row>
    <row r="1147" customFormat="false" ht="16" hidden="false" customHeight="false" outlineLevel="0" collapsed="false">
      <c r="A1147" s="1" t="s">
        <v>2177</v>
      </c>
      <c r="B1147" s="1" t="s">
        <v>2178</v>
      </c>
      <c r="C1147" s="1" t="s">
        <v>695</v>
      </c>
      <c r="D1147" s="1" t="s">
        <v>770</v>
      </c>
      <c r="E1147" s="1" t="s">
        <v>7</v>
      </c>
    </row>
    <row r="1148" customFormat="false" ht="16" hidden="false" customHeight="false" outlineLevel="0" collapsed="false">
      <c r="A1148" s="1" t="s">
        <v>2179</v>
      </c>
      <c r="B1148" s="1" t="s">
        <v>2180</v>
      </c>
      <c r="C1148" s="1" t="s">
        <v>695</v>
      </c>
      <c r="D1148" s="1" t="s">
        <v>770</v>
      </c>
      <c r="E1148" s="1" t="s">
        <v>7</v>
      </c>
    </row>
    <row r="1149" customFormat="false" ht="16" hidden="false" customHeight="false" outlineLevel="0" collapsed="false">
      <c r="A1149" s="1" t="s">
        <v>2181</v>
      </c>
      <c r="B1149" s="1" t="s">
        <v>2182</v>
      </c>
      <c r="C1149" s="1" t="s">
        <v>695</v>
      </c>
      <c r="D1149" s="1" t="s">
        <v>764</v>
      </c>
      <c r="E1149" s="1" t="s">
        <v>906</v>
      </c>
    </row>
    <row r="1150" customFormat="false" ht="16" hidden="false" customHeight="false" outlineLevel="0" collapsed="false">
      <c r="A1150" s="1" t="s">
        <v>2183</v>
      </c>
      <c r="B1150" s="1" t="s">
        <v>2182</v>
      </c>
      <c r="C1150" s="1" t="s">
        <v>695</v>
      </c>
      <c r="D1150" s="1" t="s">
        <v>766</v>
      </c>
      <c r="E1150" s="1" t="s">
        <v>906</v>
      </c>
    </row>
    <row r="1151" customFormat="false" ht="16" hidden="false" customHeight="false" outlineLevel="0" collapsed="false">
      <c r="A1151" s="1" t="s">
        <v>2184</v>
      </c>
      <c r="B1151" s="1" t="s">
        <v>2182</v>
      </c>
      <c r="C1151" s="1" t="s">
        <v>695</v>
      </c>
      <c r="D1151" s="1" t="s">
        <v>768</v>
      </c>
      <c r="E1151" s="1" t="s">
        <v>906</v>
      </c>
    </row>
    <row r="1152" customFormat="false" ht="16" hidden="false" customHeight="false" outlineLevel="0" collapsed="false">
      <c r="A1152" s="1" t="s">
        <v>2185</v>
      </c>
      <c r="B1152" s="1" t="s">
        <v>2182</v>
      </c>
      <c r="C1152" s="1" t="s">
        <v>695</v>
      </c>
      <c r="D1152" s="1" t="s">
        <v>770</v>
      </c>
      <c r="E1152" s="1" t="s">
        <v>906</v>
      </c>
    </row>
    <row r="1153" customFormat="false" ht="16" hidden="false" customHeight="false" outlineLevel="0" collapsed="false">
      <c r="A1153" s="1" t="s">
        <v>2186</v>
      </c>
      <c r="B1153" s="1" t="s">
        <v>2182</v>
      </c>
      <c r="C1153" s="1" t="s">
        <v>695</v>
      </c>
      <c r="D1153" s="1" t="s">
        <v>696</v>
      </c>
      <c r="E1153" s="1" t="s">
        <v>906</v>
      </c>
    </row>
    <row r="1154" customFormat="false" ht="16" hidden="false" customHeight="false" outlineLevel="0" collapsed="false">
      <c r="A1154" s="1" t="s">
        <v>2187</v>
      </c>
      <c r="B1154" s="1" t="s">
        <v>57</v>
      </c>
      <c r="C1154" s="1" t="s">
        <v>695</v>
      </c>
      <c r="D1154" s="1" t="s">
        <v>764</v>
      </c>
      <c r="E1154" s="1" t="s">
        <v>7</v>
      </c>
    </row>
    <row r="1155" customFormat="false" ht="16" hidden="false" customHeight="false" outlineLevel="0" collapsed="false">
      <c r="A1155" s="1" t="s">
        <v>2188</v>
      </c>
      <c r="B1155" s="1" t="s">
        <v>57</v>
      </c>
      <c r="C1155" s="1" t="s">
        <v>695</v>
      </c>
      <c r="D1155" s="1" t="s">
        <v>766</v>
      </c>
      <c r="E1155" s="1" t="s">
        <v>7</v>
      </c>
    </row>
    <row r="1156" customFormat="false" ht="16" hidden="false" customHeight="false" outlineLevel="0" collapsed="false">
      <c r="A1156" s="1" t="s">
        <v>2189</v>
      </c>
      <c r="B1156" s="1" t="s">
        <v>57</v>
      </c>
      <c r="C1156" s="1" t="s">
        <v>695</v>
      </c>
      <c r="D1156" s="1" t="s">
        <v>768</v>
      </c>
      <c r="E1156" s="1" t="s">
        <v>7</v>
      </c>
    </row>
    <row r="1157" customFormat="false" ht="16" hidden="false" customHeight="false" outlineLevel="0" collapsed="false">
      <c r="A1157" s="1" t="s">
        <v>2190</v>
      </c>
      <c r="B1157" s="1" t="s">
        <v>57</v>
      </c>
      <c r="C1157" s="1" t="s">
        <v>695</v>
      </c>
      <c r="D1157" s="1" t="s">
        <v>770</v>
      </c>
      <c r="E1157" s="1" t="s">
        <v>7</v>
      </c>
    </row>
    <row r="1158" customFormat="false" ht="16" hidden="false" customHeight="false" outlineLevel="0" collapsed="false">
      <c r="A1158" s="1" t="s">
        <v>2191</v>
      </c>
      <c r="B1158" s="1" t="s">
        <v>57</v>
      </c>
      <c r="C1158" s="1" t="s">
        <v>695</v>
      </c>
      <c r="D1158" s="1" t="s">
        <v>696</v>
      </c>
      <c r="E1158" s="1" t="s">
        <v>7</v>
      </c>
    </row>
    <row r="1159" customFormat="false" ht="16" hidden="false" customHeight="false" outlineLevel="0" collapsed="false">
      <c r="A1159" s="1" t="s">
        <v>2192</v>
      </c>
      <c r="B1159" s="1" t="s">
        <v>2193</v>
      </c>
      <c r="C1159" s="1" t="s">
        <v>695</v>
      </c>
      <c r="D1159" s="1" t="s">
        <v>764</v>
      </c>
      <c r="E1159" s="1" t="s">
        <v>906</v>
      </c>
    </row>
    <row r="1160" customFormat="false" ht="16" hidden="false" customHeight="false" outlineLevel="0" collapsed="false">
      <c r="A1160" s="1" t="s">
        <v>2194</v>
      </c>
      <c r="B1160" s="1" t="s">
        <v>2193</v>
      </c>
      <c r="C1160" s="1" t="s">
        <v>695</v>
      </c>
      <c r="D1160" s="1" t="s">
        <v>766</v>
      </c>
      <c r="E1160" s="1" t="s">
        <v>906</v>
      </c>
    </row>
    <row r="1161" customFormat="false" ht="16" hidden="false" customHeight="false" outlineLevel="0" collapsed="false">
      <c r="A1161" s="1" t="s">
        <v>2195</v>
      </c>
      <c r="B1161" s="1" t="s">
        <v>2193</v>
      </c>
      <c r="C1161" s="1" t="s">
        <v>695</v>
      </c>
      <c r="D1161" s="1" t="s">
        <v>768</v>
      </c>
      <c r="E1161" s="1" t="s">
        <v>906</v>
      </c>
    </row>
    <row r="1162" customFormat="false" ht="16" hidden="false" customHeight="false" outlineLevel="0" collapsed="false">
      <c r="A1162" s="1" t="s">
        <v>2196</v>
      </c>
      <c r="B1162" s="1" t="s">
        <v>2193</v>
      </c>
      <c r="C1162" s="1" t="s">
        <v>695</v>
      </c>
      <c r="D1162" s="1" t="s">
        <v>770</v>
      </c>
      <c r="E1162" s="1" t="s">
        <v>906</v>
      </c>
    </row>
    <row r="1163" customFormat="false" ht="16" hidden="false" customHeight="false" outlineLevel="0" collapsed="false">
      <c r="A1163" s="1" t="s">
        <v>2197</v>
      </c>
      <c r="B1163" s="1" t="s">
        <v>2193</v>
      </c>
      <c r="C1163" s="1" t="s">
        <v>695</v>
      </c>
      <c r="D1163" s="1" t="s">
        <v>696</v>
      </c>
      <c r="E1163" s="1" t="s">
        <v>906</v>
      </c>
    </row>
    <row r="1164" customFormat="false" ht="16" hidden="false" customHeight="false" outlineLevel="0" collapsed="false">
      <c r="A1164" s="1" t="s">
        <v>2198</v>
      </c>
      <c r="B1164" s="1" t="s">
        <v>2199</v>
      </c>
      <c r="C1164" s="1" t="s">
        <v>695</v>
      </c>
      <c r="D1164" s="1" t="s">
        <v>764</v>
      </c>
      <c r="E1164" s="1" t="s">
        <v>7</v>
      </c>
    </row>
    <row r="1165" customFormat="false" ht="16" hidden="false" customHeight="false" outlineLevel="0" collapsed="false">
      <c r="A1165" s="1" t="s">
        <v>2200</v>
      </c>
      <c r="B1165" s="1" t="s">
        <v>2199</v>
      </c>
      <c r="C1165" s="1" t="s">
        <v>695</v>
      </c>
      <c r="D1165" s="1" t="s">
        <v>766</v>
      </c>
      <c r="E1165" s="1" t="s">
        <v>7</v>
      </c>
    </row>
    <row r="1166" customFormat="false" ht="16" hidden="false" customHeight="false" outlineLevel="0" collapsed="false">
      <c r="A1166" s="1" t="s">
        <v>2201</v>
      </c>
      <c r="B1166" s="1" t="s">
        <v>2199</v>
      </c>
      <c r="C1166" s="1" t="s">
        <v>695</v>
      </c>
      <c r="D1166" s="1" t="s">
        <v>768</v>
      </c>
      <c r="E1166" s="1" t="s">
        <v>7</v>
      </c>
    </row>
    <row r="1167" customFormat="false" ht="16" hidden="false" customHeight="false" outlineLevel="0" collapsed="false">
      <c r="A1167" s="1" t="s">
        <v>2202</v>
      </c>
      <c r="B1167" s="1" t="s">
        <v>2199</v>
      </c>
      <c r="C1167" s="1" t="s">
        <v>695</v>
      </c>
      <c r="D1167" s="1" t="s">
        <v>770</v>
      </c>
      <c r="E1167" s="1" t="s">
        <v>7</v>
      </c>
    </row>
    <row r="1168" customFormat="false" ht="16" hidden="false" customHeight="false" outlineLevel="0" collapsed="false">
      <c r="A1168" s="1" t="s">
        <v>2203</v>
      </c>
      <c r="B1168" s="1" t="s">
        <v>2199</v>
      </c>
      <c r="C1168" s="1" t="s">
        <v>695</v>
      </c>
      <c r="D1168" s="1" t="s">
        <v>696</v>
      </c>
      <c r="E1168" s="1" t="s">
        <v>7</v>
      </c>
    </row>
    <row r="1169" customFormat="false" ht="16" hidden="false" customHeight="false" outlineLevel="0" collapsed="false">
      <c r="A1169" s="1" t="s">
        <v>2204</v>
      </c>
      <c r="B1169" s="1" t="s">
        <v>2205</v>
      </c>
      <c r="C1169" s="1" t="s">
        <v>695</v>
      </c>
      <c r="D1169" s="1" t="s">
        <v>770</v>
      </c>
      <c r="E1169" s="1" t="s">
        <v>7</v>
      </c>
    </row>
    <row r="1170" customFormat="false" ht="16" hidden="false" customHeight="false" outlineLevel="0" collapsed="false">
      <c r="A1170" s="1" t="s">
        <v>2206</v>
      </c>
      <c r="B1170" s="1" t="s">
        <v>2207</v>
      </c>
      <c r="C1170" s="1" t="s">
        <v>695</v>
      </c>
      <c r="D1170" s="1" t="s">
        <v>764</v>
      </c>
      <c r="E1170" s="1" t="s">
        <v>7</v>
      </c>
    </row>
    <row r="1171" customFormat="false" ht="16" hidden="false" customHeight="false" outlineLevel="0" collapsed="false">
      <c r="A1171" s="1" t="s">
        <v>2208</v>
      </c>
      <c r="B1171" s="1" t="s">
        <v>2207</v>
      </c>
      <c r="C1171" s="1" t="s">
        <v>695</v>
      </c>
      <c r="D1171" s="1" t="s">
        <v>766</v>
      </c>
      <c r="E1171" s="1" t="s">
        <v>7</v>
      </c>
    </row>
    <row r="1172" customFormat="false" ht="16" hidden="false" customHeight="false" outlineLevel="0" collapsed="false">
      <c r="A1172" s="1" t="s">
        <v>2209</v>
      </c>
      <c r="B1172" s="1" t="s">
        <v>2207</v>
      </c>
      <c r="C1172" s="1" t="s">
        <v>695</v>
      </c>
      <c r="D1172" s="1" t="s">
        <v>768</v>
      </c>
      <c r="E1172" s="1" t="s">
        <v>7</v>
      </c>
    </row>
    <row r="1173" customFormat="false" ht="16" hidden="false" customHeight="false" outlineLevel="0" collapsed="false">
      <c r="A1173" s="1" t="s">
        <v>2210</v>
      </c>
      <c r="B1173" s="1" t="s">
        <v>2207</v>
      </c>
      <c r="C1173" s="1" t="s">
        <v>695</v>
      </c>
      <c r="D1173" s="1" t="s">
        <v>770</v>
      </c>
      <c r="E1173" s="1" t="s">
        <v>7</v>
      </c>
    </row>
    <row r="1174" customFormat="false" ht="16" hidden="false" customHeight="false" outlineLevel="0" collapsed="false">
      <c r="A1174" s="1" t="s">
        <v>2211</v>
      </c>
      <c r="B1174" s="1" t="s">
        <v>2207</v>
      </c>
      <c r="C1174" s="1" t="s">
        <v>695</v>
      </c>
      <c r="D1174" s="1" t="s">
        <v>696</v>
      </c>
      <c r="E1174" s="1" t="s">
        <v>7</v>
      </c>
    </row>
    <row r="1175" customFormat="false" ht="16" hidden="false" customHeight="false" outlineLevel="0" collapsed="false">
      <c r="A1175" s="1" t="s">
        <v>2212</v>
      </c>
      <c r="B1175" s="1" t="s">
        <v>21</v>
      </c>
      <c r="C1175" s="1" t="s">
        <v>695</v>
      </c>
      <c r="D1175" s="1" t="s">
        <v>770</v>
      </c>
      <c r="E1175" s="1" t="s">
        <v>7</v>
      </c>
    </row>
    <row r="1176" customFormat="false" ht="16" hidden="false" customHeight="false" outlineLevel="0" collapsed="false">
      <c r="A1176" s="1" t="s">
        <v>2213</v>
      </c>
      <c r="B1176" s="1" t="s">
        <v>2214</v>
      </c>
      <c r="C1176" s="1" t="s">
        <v>695</v>
      </c>
      <c r="D1176" s="1" t="s">
        <v>764</v>
      </c>
      <c r="E1176" s="1" t="s">
        <v>7</v>
      </c>
    </row>
    <row r="1177" customFormat="false" ht="16" hidden="false" customHeight="false" outlineLevel="0" collapsed="false">
      <c r="A1177" s="1" t="s">
        <v>2215</v>
      </c>
      <c r="B1177" s="1" t="s">
        <v>2214</v>
      </c>
      <c r="C1177" s="1" t="s">
        <v>695</v>
      </c>
      <c r="D1177" s="1" t="s">
        <v>766</v>
      </c>
      <c r="E1177" s="1" t="s">
        <v>7</v>
      </c>
    </row>
    <row r="1178" customFormat="false" ht="16" hidden="false" customHeight="false" outlineLevel="0" collapsed="false">
      <c r="A1178" s="1" t="s">
        <v>2216</v>
      </c>
      <c r="B1178" s="1" t="s">
        <v>2214</v>
      </c>
      <c r="C1178" s="1" t="s">
        <v>695</v>
      </c>
      <c r="D1178" s="1" t="s">
        <v>768</v>
      </c>
      <c r="E1178" s="1" t="s">
        <v>7</v>
      </c>
    </row>
    <row r="1179" customFormat="false" ht="16" hidden="false" customHeight="false" outlineLevel="0" collapsed="false">
      <c r="A1179" s="1" t="s">
        <v>2217</v>
      </c>
      <c r="B1179" s="1" t="s">
        <v>2214</v>
      </c>
      <c r="C1179" s="1" t="s">
        <v>695</v>
      </c>
      <c r="D1179" s="1" t="s">
        <v>770</v>
      </c>
      <c r="E1179" s="1" t="s">
        <v>7</v>
      </c>
    </row>
    <row r="1180" customFormat="false" ht="16" hidden="false" customHeight="false" outlineLevel="0" collapsed="false">
      <c r="A1180" s="1" t="s">
        <v>2218</v>
      </c>
      <c r="B1180" s="1" t="s">
        <v>2214</v>
      </c>
      <c r="C1180" s="1" t="s">
        <v>695</v>
      </c>
      <c r="D1180" s="1" t="s">
        <v>696</v>
      </c>
      <c r="E1180" s="1" t="s">
        <v>7</v>
      </c>
    </row>
    <row r="1181" customFormat="false" ht="16" hidden="false" customHeight="false" outlineLevel="0" collapsed="false">
      <c r="A1181" s="1" t="s">
        <v>2219</v>
      </c>
      <c r="B1181" s="1" t="s">
        <v>701</v>
      </c>
      <c r="C1181" s="1" t="s">
        <v>695</v>
      </c>
      <c r="D1181" s="1" t="s">
        <v>764</v>
      </c>
      <c r="E1181" s="1" t="s">
        <v>7</v>
      </c>
    </row>
    <row r="1182" customFormat="false" ht="16" hidden="false" customHeight="false" outlineLevel="0" collapsed="false">
      <c r="A1182" s="1" t="s">
        <v>2220</v>
      </c>
      <c r="B1182" s="1" t="s">
        <v>701</v>
      </c>
      <c r="C1182" s="1" t="s">
        <v>695</v>
      </c>
      <c r="D1182" s="1" t="s">
        <v>766</v>
      </c>
      <c r="E1182" s="1" t="s">
        <v>7</v>
      </c>
    </row>
    <row r="1183" customFormat="false" ht="16" hidden="false" customHeight="false" outlineLevel="0" collapsed="false">
      <c r="A1183" s="1" t="s">
        <v>2221</v>
      </c>
      <c r="B1183" s="1" t="s">
        <v>701</v>
      </c>
      <c r="C1183" s="1" t="s">
        <v>695</v>
      </c>
      <c r="D1183" s="1" t="s">
        <v>768</v>
      </c>
      <c r="E1183" s="1" t="s">
        <v>7</v>
      </c>
    </row>
    <row r="1184" customFormat="false" ht="16" hidden="false" customHeight="false" outlineLevel="0" collapsed="false">
      <c r="A1184" s="1" t="s">
        <v>2222</v>
      </c>
      <c r="B1184" s="1" t="s">
        <v>701</v>
      </c>
      <c r="C1184" s="1" t="s">
        <v>695</v>
      </c>
      <c r="D1184" s="1" t="s">
        <v>770</v>
      </c>
      <c r="E1184" s="1" t="s">
        <v>7</v>
      </c>
    </row>
    <row r="1185" customFormat="false" ht="16" hidden="false" customHeight="false" outlineLevel="0" collapsed="false">
      <c r="A1185" s="1" t="s">
        <v>700</v>
      </c>
      <c r="B1185" s="1" t="s">
        <v>701</v>
      </c>
      <c r="C1185" s="1" t="s">
        <v>695</v>
      </c>
      <c r="D1185" s="1" t="s">
        <v>696</v>
      </c>
      <c r="E1185" s="1" t="s">
        <v>7</v>
      </c>
    </row>
    <row r="1186" customFormat="false" ht="16" hidden="false" customHeight="false" outlineLevel="0" collapsed="false">
      <c r="A1186" s="1" t="s">
        <v>2223</v>
      </c>
      <c r="B1186" s="1" t="s">
        <v>2224</v>
      </c>
      <c r="C1186" s="1" t="s">
        <v>695</v>
      </c>
      <c r="D1186" s="1" t="s">
        <v>764</v>
      </c>
      <c r="E1186" s="1" t="s">
        <v>906</v>
      </c>
    </row>
    <row r="1187" customFormat="false" ht="16" hidden="false" customHeight="false" outlineLevel="0" collapsed="false">
      <c r="A1187" s="1" t="s">
        <v>2225</v>
      </c>
      <c r="B1187" s="1" t="s">
        <v>2224</v>
      </c>
      <c r="C1187" s="1" t="s">
        <v>695</v>
      </c>
      <c r="D1187" s="1" t="s">
        <v>766</v>
      </c>
      <c r="E1187" s="1" t="s">
        <v>906</v>
      </c>
    </row>
    <row r="1188" customFormat="false" ht="16" hidden="false" customHeight="false" outlineLevel="0" collapsed="false">
      <c r="A1188" s="1" t="s">
        <v>2226</v>
      </c>
      <c r="B1188" s="1" t="s">
        <v>2224</v>
      </c>
      <c r="C1188" s="1" t="s">
        <v>695</v>
      </c>
      <c r="D1188" s="1" t="s">
        <v>768</v>
      </c>
      <c r="E1188" s="1" t="s">
        <v>906</v>
      </c>
    </row>
    <row r="1189" customFormat="false" ht="16" hidden="false" customHeight="false" outlineLevel="0" collapsed="false">
      <c r="A1189" s="1" t="s">
        <v>2227</v>
      </c>
      <c r="B1189" s="1" t="s">
        <v>2224</v>
      </c>
      <c r="C1189" s="1" t="s">
        <v>695</v>
      </c>
      <c r="D1189" s="1" t="s">
        <v>770</v>
      </c>
      <c r="E1189" s="1" t="s">
        <v>906</v>
      </c>
    </row>
    <row r="1190" customFormat="false" ht="16" hidden="false" customHeight="false" outlineLevel="0" collapsed="false">
      <c r="A1190" s="1" t="s">
        <v>2228</v>
      </c>
      <c r="B1190" s="1" t="s">
        <v>2224</v>
      </c>
      <c r="C1190" s="1" t="s">
        <v>695</v>
      </c>
      <c r="D1190" s="1" t="s">
        <v>696</v>
      </c>
      <c r="E1190" s="1" t="s">
        <v>906</v>
      </c>
    </row>
    <row r="1191" customFormat="false" ht="16" hidden="false" customHeight="false" outlineLevel="0" collapsed="false">
      <c r="A1191" s="1" t="s">
        <v>2229</v>
      </c>
      <c r="B1191" s="1" t="s">
        <v>2230</v>
      </c>
      <c r="C1191" s="1" t="s">
        <v>695</v>
      </c>
      <c r="D1191" s="1" t="s">
        <v>770</v>
      </c>
      <c r="E1191" s="1" t="s">
        <v>7</v>
      </c>
    </row>
    <row r="1192" customFormat="false" ht="16" hidden="false" customHeight="false" outlineLevel="0" collapsed="false">
      <c r="A1192" s="1" t="s">
        <v>2231</v>
      </c>
      <c r="B1192" s="1" t="s">
        <v>2232</v>
      </c>
      <c r="C1192" s="1" t="s">
        <v>695</v>
      </c>
      <c r="D1192" s="1" t="s">
        <v>696</v>
      </c>
      <c r="E1192" s="1" t="s">
        <v>7</v>
      </c>
    </row>
    <row r="1193" customFormat="false" ht="16" hidden="false" customHeight="false" outlineLevel="0" collapsed="false">
      <c r="A1193" s="1" t="s">
        <v>2233</v>
      </c>
      <c r="B1193" s="1" t="s">
        <v>2234</v>
      </c>
      <c r="C1193" s="1" t="s">
        <v>695</v>
      </c>
      <c r="D1193" s="1" t="s">
        <v>764</v>
      </c>
      <c r="E1193" s="1" t="s">
        <v>7</v>
      </c>
    </row>
    <row r="1194" customFormat="false" ht="16" hidden="false" customHeight="false" outlineLevel="0" collapsed="false">
      <c r="A1194" s="1" t="s">
        <v>2235</v>
      </c>
      <c r="B1194" s="1" t="s">
        <v>2234</v>
      </c>
      <c r="C1194" s="1" t="s">
        <v>695</v>
      </c>
      <c r="D1194" s="1" t="s">
        <v>766</v>
      </c>
      <c r="E1194" s="1" t="s">
        <v>7</v>
      </c>
    </row>
    <row r="1195" customFormat="false" ht="16" hidden="false" customHeight="false" outlineLevel="0" collapsed="false">
      <c r="A1195" s="1" t="s">
        <v>2236</v>
      </c>
      <c r="B1195" s="1" t="s">
        <v>2234</v>
      </c>
      <c r="C1195" s="1" t="s">
        <v>695</v>
      </c>
      <c r="D1195" s="1" t="s">
        <v>768</v>
      </c>
      <c r="E1195" s="1" t="s">
        <v>7</v>
      </c>
    </row>
    <row r="1196" customFormat="false" ht="16" hidden="false" customHeight="false" outlineLevel="0" collapsed="false">
      <c r="A1196" s="1" t="s">
        <v>2237</v>
      </c>
      <c r="B1196" s="1" t="s">
        <v>2234</v>
      </c>
      <c r="C1196" s="1" t="s">
        <v>695</v>
      </c>
      <c r="D1196" s="1" t="s">
        <v>770</v>
      </c>
      <c r="E1196" s="1" t="s">
        <v>7</v>
      </c>
    </row>
    <row r="1197" customFormat="false" ht="16" hidden="false" customHeight="false" outlineLevel="0" collapsed="false">
      <c r="A1197" s="1" t="s">
        <v>2238</v>
      </c>
      <c r="B1197" s="1" t="s">
        <v>2234</v>
      </c>
      <c r="C1197" s="1" t="s">
        <v>695</v>
      </c>
      <c r="D1197" s="1" t="s">
        <v>696</v>
      </c>
      <c r="E1197" s="1" t="s">
        <v>7</v>
      </c>
    </row>
    <row r="1198" customFormat="false" ht="16" hidden="false" customHeight="false" outlineLevel="0" collapsed="false">
      <c r="A1198" s="1" t="s">
        <v>2239</v>
      </c>
      <c r="B1198" s="1" t="s">
        <v>2240</v>
      </c>
      <c r="C1198" s="1" t="s">
        <v>695</v>
      </c>
      <c r="D1198" s="1" t="s">
        <v>764</v>
      </c>
      <c r="E1198" s="1" t="s">
        <v>7</v>
      </c>
    </row>
    <row r="1199" customFormat="false" ht="16" hidden="false" customHeight="false" outlineLevel="0" collapsed="false">
      <c r="A1199" s="1" t="s">
        <v>2241</v>
      </c>
      <c r="B1199" s="1" t="s">
        <v>2240</v>
      </c>
      <c r="C1199" s="1" t="s">
        <v>695</v>
      </c>
      <c r="D1199" s="1" t="s">
        <v>766</v>
      </c>
      <c r="E1199" s="1" t="s">
        <v>7</v>
      </c>
    </row>
    <row r="1200" customFormat="false" ht="16" hidden="false" customHeight="false" outlineLevel="0" collapsed="false">
      <c r="A1200" s="1" t="s">
        <v>2242</v>
      </c>
      <c r="B1200" s="1" t="s">
        <v>2240</v>
      </c>
      <c r="C1200" s="1" t="s">
        <v>695</v>
      </c>
      <c r="D1200" s="1" t="s">
        <v>768</v>
      </c>
      <c r="E1200" s="1" t="s">
        <v>7</v>
      </c>
    </row>
    <row r="1201" customFormat="false" ht="16" hidden="false" customHeight="false" outlineLevel="0" collapsed="false">
      <c r="A1201" s="1" t="s">
        <v>2243</v>
      </c>
      <c r="B1201" s="1" t="s">
        <v>2240</v>
      </c>
      <c r="C1201" s="1" t="s">
        <v>695</v>
      </c>
      <c r="D1201" s="1" t="s">
        <v>770</v>
      </c>
      <c r="E1201" s="1" t="s">
        <v>7</v>
      </c>
    </row>
    <row r="1202" customFormat="false" ht="16" hidden="false" customHeight="false" outlineLevel="0" collapsed="false">
      <c r="A1202" s="1" t="s">
        <v>2244</v>
      </c>
      <c r="B1202" s="1" t="s">
        <v>2240</v>
      </c>
      <c r="C1202" s="1" t="s">
        <v>695</v>
      </c>
      <c r="D1202" s="1" t="s">
        <v>696</v>
      </c>
      <c r="E1202" s="1" t="s">
        <v>7</v>
      </c>
    </row>
    <row r="1203" customFormat="false" ht="16" hidden="false" customHeight="false" outlineLevel="0" collapsed="false">
      <c r="A1203" s="1" t="s">
        <v>2245</v>
      </c>
      <c r="B1203" s="1" t="s">
        <v>107</v>
      </c>
      <c r="C1203" s="1" t="s">
        <v>695</v>
      </c>
      <c r="D1203" s="1" t="s">
        <v>770</v>
      </c>
      <c r="E1203" s="1" t="s">
        <v>7</v>
      </c>
    </row>
    <row r="1204" customFormat="false" ht="16" hidden="false" customHeight="false" outlineLevel="0" collapsed="false">
      <c r="A1204" s="1" t="s">
        <v>2246</v>
      </c>
      <c r="B1204" s="1" t="s">
        <v>2247</v>
      </c>
      <c r="C1204" s="1" t="s">
        <v>695</v>
      </c>
      <c r="D1204" s="1" t="s">
        <v>764</v>
      </c>
      <c r="E1204" s="1" t="s">
        <v>7</v>
      </c>
    </row>
    <row r="1205" customFormat="false" ht="16" hidden="false" customHeight="false" outlineLevel="0" collapsed="false">
      <c r="A1205" s="1" t="s">
        <v>2248</v>
      </c>
      <c r="B1205" s="1" t="s">
        <v>2247</v>
      </c>
      <c r="C1205" s="1" t="s">
        <v>695</v>
      </c>
      <c r="D1205" s="1" t="s">
        <v>766</v>
      </c>
      <c r="E1205" s="1" t="s">
        <v>7</v>
      </c>
    </row>
    <row r="1206" customFormat="false" ht="16" hidden="false" customHeight="false" outlineLevel="0" collapsed="false">
      <c r="A1206" s="1" t="s">
        <v>2249</v>
      </c>
      <c r="B1206" s="1" t="s">
        <v>2247</v>
      </c>
      <c r="C1206" s="1" t="s">
        <v>695</v>
      </c>
      <c r="D1206" s="1" t="s">
        <v>768</v>
      </c>
      <c r="E1206" s="1" t="s">
        <v>7</v>
      </c>
    </row>
    <row r="1207" customFormat="false" ht="16" hidden="false" customHeight="false" outlineLevel="0" collapsed="false">
      <c r="A1207" s="1" t="s">
        <v>2250</v>
      </c>
      <c r="B1207" s="1" t="s">
        <v>2247</v>
      </c>
      <c r="C1207" s="1" t="s">
        <v>695</v>
      </c>
      <c r="D1207" s="1" t="s">
        <v>770</v>
      </c>
      <c r="E1207" s="1" t="s">
        <v>7</v>
      </c>
    </row>
    <row r="1208" customFormat="false" ht="16" hidden="false" customHeight="false" outlineLevel="0" collapsed="false">
      <c r="A1208" s="1" t="s">
        <v>2251</v>
      </c>
      <c r="B1208" s="1" t="s">
        <v>2247</v>
      </c>
      <c r="C1208" s="1" t="s">
        <v>695</v>
      </c>
      <c r="D1208" s="1" t="s">
        <v>696</v>
      </c>
      <c r="E1208" s="1" t="s">
        <v>7</v>
      </c>
    </row>
    <row r="1209" customFormat="false" ht="16" hidden="false" customHeight="false" outlineLevel="0" collapsed="false">
      <c r="A1209" s="1" t="s">
        <v>2252</v>
      </c>
      <c r="B1209" s="1" t="s">
        <v>2253</v>
      </c>
      <c r="C1209" s="1" t="s">
        <v>695</v>
      </c>
      <c r="D1209" s="1" t="s">
        <v>768</v>
      </c>
      <c r="E1209" s="1" t="s">
        <v>7</v>
      </c>
    </row>
    <row r="1210" customFormat="false" ht="16" hidden="false" customHeight="false" outlineLevel="0" collapsed="false">
      <c r="A1210" s="1" t="s">
        <v>2254</v>
      </c>
      <c r="B1210" s="1" t="s">
        <v>2255</v>
      </c>
      <c r="C1210" s="1" t="s">
        <v>695</v>
      </c>
      <c r="D1210" s="1" t="s">
        <v>764</v>
      </c>
      <c r="E1210" s="1" t="s">
        <v>7</v>
      </c>
    </row>
    <row r="1211" customFormat="false" ht="16" hidden="false" customHeight="false" outlineLevel="0" collapsed="false">
      <c r="A1211" s="1" t="s">
        <v>2256</v>
      </c>
      <c r="B1211" s="1" t="s">
        <v>2255</v>
      </c>
      <c r="C1211" s="1" t="s">
        <v>695</v>
      </c>
      <c r="D1211" s="1" t="s">
        <v>766</v>
      </c>
      <c r="E1211" s="1" t="s">
        <v>7</v>
      </c>
    </row>
    <row r="1212" customFormat="false" ht="16" hidden="false" customHeight="false" outlineLevel="0" collapsed="false">
      <c r="A1212" s="1" t="s">
        <v>2257</v>
      </c>
      <c r="B1212" s="1" t="s">
        <v>2255</v>
      </c>
      <c r="C1212" s="1" t="s">
        <v>695</v>
      </c>
      <c r="D1212" s="1" t="s">
        <v>768</v>
      </c>
      <c r="E1212" s="1" t="s">
        <v>7</v>
      </c>
    </row>
    <row r="1213" customFormat="false" ht="16" hidden="false" customHeight="false" outlineLevel="0" collapsed="false">
      <c r="A1213" s="1" t="s">
        <v>2258</v>
      </c>
      <c r="B1213" s="1" t="s">
        <v>2255</v>
      </c>
      <c r="C1213" s="1" t="s">
        <v>695</v>
      </c>
      <c r="D1213" s="1" t="s">
        <v>770</v>
      </c>
      <c r="E1213" s="1" t="s">
        <v>7</v>
      </c>
    </row>
    <row r="1214" customFormat="false" ht="16" hidden="false" customHeight="false" outlineLevel="0" collapsed="false">
      <c r="A1214" s="1" t="s">
        <v>2259</v>
      </c>
      <c r="B1214" s="1" t="s">
        <v>2255</v>
      </c>
      <c r="C1214" s="1" t="s">
        <v>695</v>
      </c>
      <c r="D1214" s="1" t="s">
        <v>696</v>
      </c>
      <c r="E1214" s="1" t="s">
        <v>7</v>
      </c>
    </row>
    <row r="1215" customFormat="false" ht="16" hidden="false" customHeight="false" outlineLevel="0" collapsed="false">
      <c r="A1215" s="1" t="s">
        <v>2260</v>
      </c>
      <c r="B1215" s="1" t="s">
        <v>2261</v>
      </c>
      <c r="C1215" s="1" t="s">
        <v>695</v>
      </c>
      <c r="D1215" s="1" t="s">
        <v>764</v>
      </c>
      <c r="E1215" s="1" t="s">
        <v>7</v>
      </c>
    </row>
    <row r="1216" customFormat="false" ht="16" hidden="false" customHeight="false" outlineLevel="0" collapsed="false">
      <c r="A1216" s="1" t="s">
        <v>2262</v>
      </c>
      <c r="B1216" s="1" t="s">
        <v>2261</v>
      </c>
      <c r="C1216" s="1" t="s">
        <v>695</v>
      </c>
      <c r="D1216" s="1" t="s">
        <v>766</v>
      </c>
      <c r="E1216" s="1" t="s">
        <v>7</v>
      </c>
    </row>
    <row r="1217" customFormat="false" ht="16" hidden="false" customHeight="false" outlineLevel="0" collapsed="false">
      <c r="A1217" s="1" t="s">
        <v>2263</v>
      </c>
      <c r="B1217" s="1" t="s">
        <v>2261</v>
      </c>
      <c r="C1217" s="1" t="s">
        <v>695</v>
      </c>
      <c r="D1217" s="1" t="s">
        <v>768</v>
      </c>
      <c r="E1217" s="1" t="s">
        <v>7</v>
      </c>
    </row>
    <row r="1218" customFormat="false" ht="16" hidden="false" customHeight="false" outlineLevel="0" collapsed="false">
      <c r="A1218" s="1" t="s">
        <v>2264</v>
      </c>
      <c r="B1218" s="1" t="s">
        <v>2261</v>
      </c>
      <c r="C1218" s="1" t="s">
        <v>695</v>
      </c>
      <c r="D1218" s="1" t="s">
        <v>770</v>
      </c>
      <c r="E1218" s="1" t="s">
        <v>7</v>
      </c>
    </row>
    <row r="1219" customFormat="false" ht="16" hidden="false" customHeight="false" outlineLevel="0" collapsed="false">
      <c r="A1219" s="1" t="s">
        <v>2265</v>
      </c>
      <c r="B1219" s="1" t="s">
        <v>2261</v>
      </c>
      <c r="C1219" s="1" t="s">
        <v>695</v>
      </c>
      <c r="D1219" s="1" t="s">
        <v>696</v>
      </c>
      <c r="E1219" s="1" t="s">
        <v>7</v>
      </c>
    </row>
    <row r="1220" customFormat="false" ht="16" hidden="false" customHeight="false" outlineLevel="0" collapsed="false">
      <c r="A1220" s="1" t="s">
        <v>2266</v>
      </c>
      <c r="B1220" s="1" t="s">
        <v>2267</v>
      </c>
      <c r="C1220" s="1" t="s">
        <v>695</v>
      </c>
      <c r="D1220" s="1" t="s">
        <v>764</v>
      </c>
      <c r="E1220" s="1" t="s">
        <v>7</v>
      </c>
    </row>
    <row r="1221" customFormat="false" ht="16" hidden="false" customHeight="false" outlineLevel="0" collapsed="false">
      <c r="A1221" s="1" t="s">
        <v>2268</v>
      </c>
      <c r="B1221" s="1" t="s">
        <v>2267</v>
      </c>
      <c r="C1221" s="1" t="s">
        <v>695</v>
      </c>
      <c r="D1221" s="1" t="s">
        <v>766</v>
      </c>
      <c r="E1221" s="1" t="s">
        <v>7</v>
      </c>
    </row>
    <row r="1222" customFormat="false" ht="16" hidden="false" customHeight="false" outlineLevel="0" collapsed="false">
      <c r="A1222" s="1" t="s">
        <v>2269</v>
      </c>
      <c r="B1222" s="1" t="s">
        <v>2267</v>
      </c>
      <c r="C1222" s="1" t="s">
        <v>695</v>
      </c>
      <c r="D1222" s="1" t="s">
        <v>768</v>
      </c>
      <c r="E1222" s="1" t="s">
        <v>7</v>
      </c>
    </row>
    <row r="1223" customFormat="false" ht="16" hidden="false" customHeight="false" outlineLevel="0" collapsed="false">
      <c r="A1223" s="1" t="s">
        <v>2270</v>
      </c>
      <c r="B1223" s="1" t="s">
        <v>2267</v>
      </c>
      <c r="C1223" s="1" t="s">
        <v>695</v>
      </c>
      <c r="D1223" s="1" t="s">
        <v>770</v>
      </c>
      <c r="E1223" s="1" t="s">
        <v>7</v>
      </c>
    </row>
    <row r="1224" customFormat="false" ht="16" hidden="false" customHeight="false" outlineLevel="0" collapsed="false">
      <c r="A1224" s="1" t="s">
        <v>2271</v>
      </c>
      <c r="B1224" s="1" t="s">
        <v>2267</v>
      </c>
      <c r="C1224" s="1" t="s">
        <v>695</v>
      </c>
      <c r="D1224" s="1" t="s">
        <v>696</v>
      </c>
      <c r="E1224" s="1" t="s">
        <v>7</v>
      </c>
    </row>
    <row r="1225" customFormat="false" ht="16" hidden="false" customHeight="false" outlineLevel="0" collapsed="false">
      <c r="A1225" s="1" t="s">
        <v>2272</v>
      </c>
      <c r="B1225" s="1" t="s">
        <v>2273</v>
      </c>
      <c r="C1225" s="1" t="s">
        <v>695</v>
      </c>
      <c r="D1225" s="1" t="s">
        <v>768</v>
      </c>
      <c r="E1225" s="1" t="s">
        <v>7</v>
      </c>
    </row>
    <row r="1226" customFormat="false" ht="16" hidden="false" customHeight="false" outlineLevel="0" collapsed="false">
      <c r="A1226" s="1" t="s">
        <v>2274</v>
      </c>
      <c r="B1226" s="1" t="s">
        <v>2275</v>
      </c>
      <c r="C1226" s="1" t="s">
        <v>695</v>
      </c>
      <c r="D1226" s="1" t="s">
        <v>764</v>
      </c>
      <c r="E1226" s="1" t="s">
        <v>7</v>
      </c>
    </row>
    <row r="1227" customFormat="false" ht="16" hidden="false" customHeight="false" outlineLevel="0" collapsed="false">
      <c r="A1227" s="1" t="s">
        <v>2276</v>
      </c>
      <c r="B1227" s="1" t="s">
        <v>2275</v>
      </c>
      <c r="C1227" s="1" t="s">
        <v>695</v>
      </c>
      <c r="D1227" s="1" t="s">
        <v>766</v>
      </c>
      <c r="E1227" s="1" t="s">
        <v>7</v>
      </c>
    </row>
    <row r="1228" customFormat="false" ht="16" hidden="false" customHeight="false" outlineLevel="0" collapsed="false">
      <c r="A1228" s="1" t="s">
        <v>2277</v>
      </c>
      <c r="B1228" s="1" t="s">
        <v>2275</v>
      </c>
      <c r="C1228" s="1" t="s">
        <v>695</v>
      </c>
      <c r="D1228" s="1" t="s">
        <v>768</v>
      </c>
      <c r="E1228" s="1" t="s">
        <v>7</v>
      </c>
    </row>
    <row r="1229" customFormat="false" ht="16" hidden="false" customHeight="false" outlineLevel="0" collapsed="false">
      <c r="A1229" s="1" t="s">
        <v>2278</v>
      </c>
      <c r="B1229" s="1" t="s">
        <v>2275</v>
      </c>
      <c r="C1229" s="1" t="s">
        <v>695</v>
      </c>
      <c r="D1229" s="1" t="s">
        <v>770</v>
      </c>
      <c r="E1229" s="1" t="s">
        <v>7</v>
      </c>
    </row>
    <row r="1230" customFormat="false" ht="16" hidden="false" customHeight="false" outlineLevel="0" collapsed="false">
      <c r="A1230" s="1" t="s">
        <v>2279</v>
      </c>
      <c r="B1230" s="1" t="s">
        <v>2275</v>
      </c>
      <c r="C1230" s="1" t="s">
        <v>695</v>
      </c>
      <c r="D1230" s="1" t="s">
        <v>696</v>
      </c>
      <c r="E1230" s="1" t="s">
        <v>7</v>
      </c>
    </row>
    <row r="1231" customFormat="false" ht="16" hidden="false" customHeight="false" outlineLevel="0" collapsed="false">
      <c r="A1231" s="1" t="s">
        <v>2280</v>
      </c>
      <c r="B1231" s="1" t="s">
        <v>2281</v>
      </c>
      <c r="C1231" s="1" t="s">
        <v>695</v>
      </c>
      <c r="D1231" s="1" t="s">
        <v>770</v>
      </c>
      <c r="E1231" s="1" t="s">
        <v>7</v>
      </c>
    </row>
    <row r="1232" customFormat="false" ht="16" hidden="false" customHeight="false" outlineLevel="0" collapsed="false">
      <c r="A1232" s="1" t="s">
        <v>2282</v>
      </c>
      <c r="B1232" s="1" t="s">
        <v>2283</v>
      </c>
      <c r="C1232" s="1" t="s">
        <v>695</v>
      </c>
      <c r="D1232" s="1" t="s">
        <v>768</v>
      </c>
      <c r="E1232" s="1" t="s">
        <v>7</v>
      </c>
    </row>
    <row r="1233" customFormat="false" ht="16" hidden="false" customHeight="false" outlineLevel="0" collapsed="false">
      <c r="A1233" s="1" t="s">
        <v>2284</v>
      </c>
      <c r="B1233" s="1" t="s">
        <v>2285</v>
      </c>
      <c r="C1233" s="1" t="s">
        <v>695</v>
      </c>
      <c r="D1233" s="1" t="s">
        <v>770</v>
      </c>
      <c r="E1233" s="1" t="s">
        <v>7</v>
      </c>
    </row>
    <row r="1234" customFormat="false" ht="16" hidden="false" customHeight="false" outlineLevel="0" collapsed="false">
      <c r="A1234" s="1" t="s">
        <v>2286</v>
      </c>
      <c r="B1234" s="1" t="s">
        <v>2287</v>
      </c>
      <c r="C1234" s="1" t="s">
        <v>695</v>
      </c>
      <c r="D1234" s="1" t="s">
        <v>764</v>
      </c>
      <c r="E1234" s="1" t="s">
        <v>7</v>
      </c>
    </row>
    <row r="1235" customFormat="false" ht="16" hidden="false" customHeight="false" outlineLevel="0" collapsed="false">
      <c r="A1235" s="1" t="s">
        <v>2288</v>
      </c>
      <c r="B1235" s="1" t="s">
        <v>2287</v>
      </c>
      <c r="C1235" s="1" t="s">
        <v>695</v>
      </c>
      <c r="D1235" s="1" t="s">
        <v>766</v>
      </c>
      <c r="E1235" s="1" t="s">
        <v>7</v>
      </c>
    </row>
    <row r="1236" customFormat="false" ht="16" hidden="false" customHeight="false" outlineLevel="0" collapsed="false">
      <c r="A1236" s="1" t="s">
        <v>2289</v>
      </c>
      <c r="B1236" s="1" t="s">
        <v>2287</v>
      </c>
      <c r="C1236" s="1" t="s">
        <v>695</v>
      </c>
      <c r="D1236" s="1" t="s">
        <v>768</v>
      </c>
      <c r="E1236" s="1" t="s">
        <v>7</v>
      </c>
    </row>
    <row r="1237" customFormat="false" ht="16" hidden="false" customHeight="false" outlineLevel="0" collapsed="false">
      <c r="A1237" s="1" t="s">
        <v>2290</v>
      </c>
      <c r="B1237" s="1" t="s">
        <v>2287</v>
      </c>
      <c r="C1237" s="1" t="s">
        <v>695</v>
      </c>
      <c r="D1237" s="1" t="s">
        <v>770</v>
      </c>
      <c r="E1237" s="1" t="s">
        <v>7</v>
      </c>
    </row>
    <row r="1238" customFormat="false" ht="16" hidden="false" customHeight="false" outlineLevel="0" collapsed="false">
      <c r="A1238" s="1" t="s">
        <v>2291</v>
      </c>
      <c r="B1238" s="1" t="s">
        <v>2287</v>
      </c>
      <c r="C1238" s="1" t="s">
        <v>695</v>
      </c>
      <c r="D1238" s="1" t="s">
        <v>696</v>
      </c>
      <c r="E1238" s="1" t="s">
        <v>7</v>
      </c>
    </row>
    <row r="1239" customFormat="false" ht="16" hidden="false" customHeight="false" outlineLevel="0" collapsed="false">
      <c r="A1239" s="1" t="s">
        <v>2292</v>
      </c>
      <c r="B1239" s="1" t="s">
        <v>2293</v>
      </c>
      <c r="C1239" s="1" t="s">
        <v>695</v>
      </c>
      <c r="D1239" s="1" t="s">
        <v>764</v>
      </c>
      <c r="E1239" s="1" t="s">
        <v>7</v>
      </c>
    </row>
    <row r="1240" customFormat="false" ht="16" hidden="false" customHeight="false" outlineLevel="0" collapsed="false">
      <c r="A1240" s="1" t="s">
        <v>2294</v>
      </c>
      <c r="B1240" s="1" t="s">
        <v>2293</v>
      </c>
      <c r="C1240" s="1" t="s">
        <v>695</v>
      </c>
      <c r="D1240" s="1" t="s">
        <v>766</v>
      </c>
      <c r="E1240" s="1" t="s">
        <v>7</v>
      </c>
    </row>
    <row r="1241" customFormat="false" ht="16" hidden="false" customHeight="false" outlineLevel="0" collapsed="false">
      <c r="A1241" s="1" t="s">
        <v>2295</v>
      </c>
      <c r="B1241" s="1" t="s">
        <v>2293</v>
      </c>
      <c r="C1241" s="1" t="s">
        <v>695</v>
      </c>
      <c r="D1241" s="1" t="s">
        <v>768</v>
      </c>
      <c r="E1241" s="1" t="s">
        <v>7</v>
      </c>
    </row>
    <row r="1242" customFormat="false" ht="16" hidden="false" customHeight="false" outlineLevel="0" collapsed="false">
      <c r="A1242" s="1" t="s">
        <v>2296</v>
      </c>
      <c r="B1242" s="1" t="s">
        <v>2293</v>
      </c>
      <c r="C1242" s="1" t="s">
        <v>695</v>
      </c>
      <c r="D1242" s="1" t="s">
        <v>770</v>
      </c>
      <c r="E1242" s="1" t="s">
        <v>7</v>
      </c>
    </row>
    <row r="1243" customFormat="false" ht="16" hidden="false" customHeight="false" outlineLevel="0" collapsed="false">
      <c r="A1243" s="1" t="s">
        <v>2297</v>
      </c>
      <c r="B1243" s="1" t="s">
        <v>2293</v>
      </c>
      <c r="C1243" s="1" t="s">
        <v>695</v>
      </c>
      <c r="D1243" s="1" t="s">
        <v>696</v>
      </c>
      <c r="E1243" s="1" t="s">
        <v>7</v>
      </c>
    </row>
    <row r="1244" customFormat="false" ht="16" hidden="false" customHeight="false" outlineLevel="0" collapsed="false">
      <c r="A1244" s="1" t="s">
        <v>2298</v>
      </c>
      <c r="B1244" s="1" t="s">
        <v>2299</v>
      </c>
      <c r="C1244" s="1" t="s">
        <v>695</v>
      </c>
      <c r="D1244" s="1" t="s">
        <v>764</v>
      </c>
      <c r="E1244" s="1" t="s">
        <v>7</v>
      </c>
    </row>
    <row r="1245" customFormat="false" ht="16" hidden="false" customHeight="false" outlineLevel="0" collapsed="false">
      <c r="A1245" s="1" t="s">
        <v>2300</v>
      </c>
      <c r="B1245" s="1" t="s">
        <v>2299</v>
      </c>
      <c r="C1245" s="1" t="s">
        <v>695</v>
      </c>
      <c r="D1245" s="1" t="s">
        <v>766</v>
      </c>
      <c r="E1245" s="1" t="s">
        <v>7</v>
      </c>
    </row>
    <row r="1246" customFormat="false" ht="16" hidden="false" customHeight="false" outlineLevel="0" collapsed="false">
      <c r="A1246" s="1" t="s">
        <v>2301</v>
      </c>
      <c r="B1246" s="1" t="s">
        <v>2299</v>
      </c>
      <c r="C1246" s="1" t="s">
        <v>695</v>
      </c>
      <c r="D1246" s="1" t="s">
        <v>768</v>
      </c>
      <c r="E1246" s="1" t="s">
        <v>7</v>
      </c>
    </row>
    <row r="1247" customFormat="false" ht="16" hidden="false" customHeight="false" outlineLevel="0" collapsed="false">
      <c r="A1247" s="1" t="s">
        <v>2302</v>
      </c>
      <c r="B1247" s="1" t="s">
        <v>2299</v>
      </c>
      <c r="C1247" s="1" t="s">
        <v>695</v>
      </c>
      <c r="D1247" s="1" t="s">
        <v>770</v>
      </c>
      <c r="E1247" s="1" t="s">
        <v>7</v>
      </c>
    </row>
    <row r="1248" customFormat="false" ht="16" hidden="false" customHeight="false" outlineLevel="0" collapsed="false">
      <c r="A1248" s="1" t="s">
        <v>2303</v>
      </c>
      <c r="B1248" s="1" t="s">
        <v>2299</v>
      </c>
      <c r="C1248" s="1" t="s">
        <v>695</v>
      </c>
      <c r="D1248" s="1" t="s">
        <v>696</v>
      </c>
      <c r="E1248" s="1" t="s">
        <v>7</v>
      </c>
    </row>
    <row r="1249" customFormat="false" ht="16" hidden="false" customHeight="false" outlineLevel="0" collapsed="false">
      <c r="A1249" s="1" t="s">
        <v>2304</v>
      </c>
      <c r="B1249" s="1" t="s">
        <v>2305</v>
      </c>
      <c r="C1249" s="1" t="s">
        <v>695</v>
      </c>
      <c r="D1249" s="1" t="s">
        <v>770</v>
      </c>
      <c r="E1249" s="1" t="s">
        <v>7</v>
      </c>
    </row>
    <row r="1250" customFormat="false" ht="16" hidden="false" customHeight="false" outlineLevel="0" collapsed="false">
      <c r="A1250" s="1" t="s">
        <v>2306</v>
      </c>
      <c r="B1250" s="1" t="s">
        <v>2307</v>
      </c>
      <c r="C1250" s="1" t="s">
        <v>695</v>
      </c>
      <c r="D1250" s="1" t="s">
        <v>764</v>
      </c>
      <c r="E1250" s="1" t="s">
        <v>7</v>
      </c>
    </row>
    <row r="1251" customFormat="false" ht="16" hidden="false" customHeight="false" outlineLevel="0" collapsed="false">
      <c r="A1251" s="1" t="s">
        <v>2308</v>
      </c>
      <c r="B1251" s="1" t="s">
        <v>2307</v>
      </c>
      <c r="C1251" s="1" t="s">
        <v>695</v>
      </c>
      <c r="D1251" s="1" t="s">
        <v>766</v>
      </c>
      <c r="E1251" s="1" t="s">
        <v>7</v>
      </c>
    </row>
    <row r="1252" customFormat="false" ht="16" hidden="false" customHeight="false" outlineLevel="0" collapsed="false">
      <c r="A1252" s="1" t="s">
        <v>2309</v>
      </c>
      <c r="B1252" s="1" t="s">
        <v>2307</v>
      </c>
      <c r="C1252" s="1" t="s">
        <v>695</v>
      </c>
      <c r="D1252" s="1" t="s">
        <v>768</v>
      </c>
      <c r="E1252" s="1" t="s">
        <v>7</v>
      </c>
    </row>
    <row r="1253" customFormat="false" ht="16" hidden="false" customHeight="false" outlineLevel="0" collapsed="false">
      <c r="A1253" s="1" t="s">
        <v>2310</v>
      </c>
      <c r="B1253" s="1" t="s">
        <v>2307</v>
      </c>
      <c r="C1253" s="1" t="s">
        <v>695</v>
      </c>
      <c r="D1253" s="1" t="s">
        <v>770</v>
      </c>
      <c r="E1253" s="1" t="s">
        <v>7</v>
      </c>
    </row>
    <row r="1254" customFormat="false" ht="16" hidden="false" customHeight="false" outlineLevel="0" collapsed="false">
      <c r="A1254" s="1" t="s">
        <v>2311</v>
      </c>
      <c r="B1254" s="1" t="s">
        <v>2307</v>
      </c>
      <c r="C1254" s="1" t="s">
        <v>695</v>
      </c>
      <c r="D1254" s="1" t="s">
        <v>696</v>
      </c>
      <c r="E1254" s="1" t="s">
        <v>7</v>
      </c>
    </row>
    <row r="1255" customFormat="false" ht="16" hidden="false" customHeight="false" outlineLevel="0" collapsed="false">
      <c r="A1255" s="1" t="s">
        <v>2312</v>
      </c>
      <c r="B1255" s="1" t="s">
        <v>2313</v>
      </c>
      <c r="C1255" s="1" t="s">
        <v>695</v>
      </c>
      <c r="D1255" s="1" t="s">
        <v>764</v>
      </c>
      <c r="E1255" s="1" t="s">
        <v>7</v>
      </c>
    </row>
    <row r="1256" customFormat="false" ht="16" hidden="false" customHeight="false" outlineLevel="0" collapsed="false">
      <c r="A1256" s="1" t="s">
        <v>2314</v>
      </c>
      <c r="B1256" s="1" t="s">
        <v>2313</v>
      </c>
      <c r="C1256" s="1" t="s">
        <v>695</v>
      </c>
      <c r="D1256" s="1" t="s">
        <v>766</v>
      </c>
      <c r="E1256" s="1" t="s">
        <v>7</v>
      </c>
    </row>
    <row r="1257" customFormat="false" ht="16" hidden="false" customHeight="false" outlineLevel="0" collapsed="false">
      <c r="A1257" s="1" t="s">
        <v>2315</v>
      </c>
      <c r="B1257" s="1" t="s">
        <v>2313</v>
      </c>
      <c r="C1257" s="1" t="s">
        <v>695</v>
      </c>
      <c r="D1257" s="1" t="s">
        <v>768</v>
      </c>
      <c r="E1257" s="1" t="s">
        <v>7</v>
      </c>
    </row>
    <row r="1258" customFormat="false" ht="16" hidden="false" customHeight="false" outlineLevel="0" collapsed="false">
      <c r="A1258" s="1" t="s">
        <v>2316</v>
      </c>
      <c r="B1258" s="1" t="s">
        <v>2313</v>
      </c>
      <c r="C1258" s="1" t="s">
        <v>695</v>
      </c>
      <c r="D1258" s="1" t="s">
        <v>770</v>
      </c>
      <c r="E1258" s="1" t="s">
        <v>7</v>
      </c>
    </row>
    <row r="1259" customFormat="false" ht="16" hidden="false" customHeight="false" outlineLevel="0" collapsed="false">
      <c r="A1259" s="1" t="s">
        <v>2317</v>
      </c>
      <c r="B1259" s="1" t="s">
        <v>2313</v>
      </c>
      <c r="C1259" s="1" t="s">
        <v>695</v>
      </c>
      <c r="D1259" s="1" t="s">
        <v>696</v>
      </c>
      <c r="E1259" s="1" t="s">
        <v>7</v>
      </c>
    </row>
    <row r="1260" customFormat="false" ht="16" hidden="false" customHeight="false" outlineLevel="0" collapsed="false">
      <c r="A1260" s="1" t="s">
        <v>2318</v>
      </c>
      <c r="B1260" s="1" t="s">
        <v>27</v>
      </c>
      <c r="C1260" s="1" t="s">
        <v>695</v>
      </c>
      <c r="D1260" s="1" t="s">
        <v>764</v>
      </c>
      <c r="E1260" s="1" t="s">
        <v>7</v>
      </c>
    </row>
    <row r="1261" customFormat="false" ht="16" hidden="false" customHeight="false" outlineLevel="0" collapsed="false">
      <c r="A1261" s="1" t="s">
        <v>2319</v>
      </c>
      <c r="B1261" s="1" t="s">
        <v>27</v>
      </c>
      <c r="C1261" s="1" t="s">
        <v>695</v>
      </c>
      <c r="D1261" s="1" t="s">
        <v>766</v>
      </c>
      <c r="E1261" s="1" t="s">
        <v>7</v>
      </c>
    </row>
    <row r="1262" customFormat="false" ht="16" hidden="false" customHeight="false" outlineLevel="0" collapsed="false">
      <c r="A1262" s="1" t="s">
        <v>2320</v>
      </c>
      <c r="B1262" s="1" t="s">
        <v>27</v>
      </c>
      <c r="C1262" s="1" t="s">
        <v>695</v>
      </c>
      <c r="D1262" s="1" t="s">
        <v>768</v>
      </c>
      <c r="E1262" s="1" t="s">
        <v>7</v>
      </c>
    </row>
    <row r="1263" customFormat="false" ht="16" hidden="false" customHeight="false" outlineLevel="0" collapsed="false">
      <c r="A1263" s="1" t="s">
        <v>2321</v>
      </c>
      <c r="B1263" s="1" t="s">
        <v>27</v>
      </c>
      <c r="C1263" s="1" t="s">
        <v>695</v>
      </c>
      <c r="D1263" s="1" t="s">
        <v>770</v>
      </c>
      <c r="E1263" s="1" t="s">
        <v>7</v>
      </c>
    </row>
    <row r="1264" customFormat="false" ht="16" hidden="false" customHeight="false" outlineLevel="0" collapsed="false">
      <c r="A1264" s="1" t="s">
        <v>2322</v>
      </c>
      <c r="B1264" s="1" t="s">
        <v>27</v>
      </c>
      <c r="C1264" s="1" t="s">
        <v>695</v>
      </c>
      <c r="D1264" s="1" t="s">
        <v>696</v>
      </c>
      <c r="E1264" s="1" t="s">
        <v>7</v>
      </c>
    </row>
    <row r="1265" customFormat="false" ht="16" hidden="false" customHeight="false" outlineLevel="0" collapsed="false">
      <c r="A1265" s="1" t="s">
        <v>2323</v>
      </c>
      <c r="B1265" s="1" t="s">
        <v>2324</v>
      </c>
      <c r="C1265" s="1" t="s">
        <v>695</v>
      </c>
      <c r="D1265" s="1" t="s">
        <v>764</v>
      </c>
      <c r="E1265" s="1" t="s">
        <v>7</v>
      </c>
    </row>
    <row r="1266" customFormat="false" ht="16" hidden="false" customHeight="false" outlineLevel="0" collapsed="false">
      <c r="A1266" s="1" t="s">
        <v>2325</v>
      </c>
      <c r="B1266" s="1" t="s">
        <v>2324</v>
      </c>
      <c r="C1266" s="1" t="s">
        <v>695</v>
      </c>
      <c r="D1266" s="1" t="s">
        <v>766</v>
      </c>
      <c r="E1266" s="1" t="s">
        <v>7</v>
      </c>
    </row>
    <row r="1267" customFormat="false" ht="16" hidden="false" customHeight="false" outlineLevel="0" collapsed="false">
      <c r="A1267" s="1" t="s">
        <v>2326</v>
      </c>
      <c r="B1267" s="1" t="s">
        <v>2324</v>
      </c>
      <c r="C1267" s="1" t="s">
        <v>695</v>
      </c>
      <c r="D1267" s="1" t="s">
        <v>768</v>
      </c>
      <c r="E1267" s="1" t="s">
        <v>7</v>
      </c>
    </row>
    <row r="1268" customFormat="false" ht="16" hidden="false" customHeight="false" outlineLevel="0" collapsed="false">
      <c r="A1268" s="1" t="s">
        <v>2327</v>
      </c>
      <c r="B1268" s="1" t="s">
        <v>2324</v>
      </c>
      <c r="C1268" s="1" t="s">
        <v>695</v>
      </c>
      <c r="D1268" s="1" t="s">
        <v>770</v>
      </c>
      <c r="E1268" s="1" t="s">
        <v>7</v>
      </c>
    </row>
    <row r="1269" customFormat="false" ht="16" hidden="false" customHeight="false" outlineLevel="0" collapsed="false">
      <c r="A1269" s="1" t="s">
        <v>2328</v>
      </c>
      <c r="B1269" s="1" t="s">
        <v>2324</v>
      </c>
      <c r="C1269" s="1" t="s">
        <v>695</v>
      </c>
      <c r="D1269" s="1" t="s">
        <v>696</v>
      </c>
      <c r="E1269" s="1" t="s">
        <v>7</v>
      </c>
    </row>
    <row r="1270" customFormat="false" ht="16" hidden="false" customHeight="false" outlineLevel="0" collapsed="false">
      <c r="A1270" s="1" t="s">
        <v>2329</v>
      </c>
      <c r="B1270" s="1" t="s">
        <v>167</v>
      </c>
      <c r="C1270" s="1" t="s">
        <v>695</v>
      </c>
      <c r="D1270" s="1" t="s">
        <v>764</v>
      </c>
      <c r="E1270" s="1" t="s">
        <v>7</v>
      </c>
    </row>
    <row r="1271" customFormat="false" ht="16" hidden="false" customHeight="false" outlineLevel="0" collapsed="false">
      <c r="A1271" s="1" t="s">
        <v>2330</v>
      </c>
      <c r="B1271" s="1" t="s">
        <v>167</v>
      </c>
      <c r="C1271" s="1" t="s">
        <v>695</v>
      </c>
      <c r="D1271" s="1" t="s">
        <v>766</v>
      </c>
      <c r="E1271" s="1" t="s">
        <v>7</v>
      </c>
    </row>
    <row r="1272" customFormat="false" ht="16" hidden="false" customHeight="false" outlineLevel="0" collapsed="false">
      <c r="A1272" s="1" t="s">
        <v>2331</v>
      </c>
      <c r="B1272" s="1" t="s">
        <v>167</v>
      </c>
      <c r="C1272" s="1" t="s">
        <v>695</v>
      </c>
      <c r="D1272" s="1" t="s">
        <v>768</v>
      </c>
      <c r="E1272" s="1" t="s">
        <v>7</v>
      </c>
    </row>
    <row r="1273" customFormat="false" ht="16" hidden="false" customHeight="false" outlineLevel="0" collapsed="false">
      <c r="A1273" s="1" t="s">
        <v>2332</v>
      </c>
      <c r="B1273" s="1" t="s">
        <v>167</v>
      </c>
      <c r="C1273" s="1" t="s">
        <v>695</v>
      </c>
      <c r="D1273" s="1" t="s">
        <v>770</v>
      </c>
      <c r="E1273" s="1" t="s">
        <v>7</v>
      </c>
    </row>
    <row r="1274" customFormat="false" ht="16" hidden="false" customHeight="false" outlineLevel="0" collapsed="false">
      <c r="A1274" s="1" t="s">
        <v>2333</v>
      </c>
      <c r="B1274" s="1" t="s">
        <v>167</v>
      </c>
      <c r="C1274" s="1" t="s">
        <v>695</v>
      </c>
      <c r="D1274" s="1" t="s">
        <v>696</v>
      </c>
      <c r="E1274" s="1" t="s">
        <v>7</v>
      </c>
    </row>
    <row r="1275" customFormat="false" ht="16" hidden="false" customHeight="false" outlineLevel="0" collapsed="false">
      <c r="A1275" s="1" t="s">
        <v>2334</v>
      </c>
      <c r="B1275" s="1" t="s">
        <v>2335</v>
      </c>
      <c r="C1275" s="1" t="s">
        <v>695</v>
      </c>
      <c r="D1275" s="1" t="s">
        <v>764</v>
      </c>
      <c r="E1275" s="1" t="s">
        <v>906</v>
      </c>
    </row>
    <row r="1276" customFormat="false" ht="16" hidden="false" customHeight="false" outlineLevel="0" collapsed="false">
      <c r="A1276" s="1" t="s">
        <v>2336</v>
      </c>
      <c r="B1276" s="1" t="s">
        <v>2335</v>
      </c>
      <c r="C1276" s="1" t="s">
        <v>695</v>
      </c>
      <c r="D1276" s="1" t="s">
        <v>766</v>
      </c>
      <c r="E1276" s="1" t="s">
        <v>906</v>
      </c>
    </row>
    <row r="1277" customFormat="false" ht="16" hidden="false" customHeight="false" outlineLevel="0" collapsed="false">
      <c r="A1277" s="1" t="s">
        <v>2337</v>
      </c>
      <c r="B1277" s="1" t="s">
        <v>2335</v>
      </c>
      <c r="C1277" s="1" t="s">
        <v>695</v>
      </c>
      <c r="D1277" s="1" t="s">
        <v>768</v>
      </c>
      <c r="E1277" s="1" t="s">
        <v>906</v>
      </c>
    </row>
    <row r="1278" customFormat="false" ht="16" hidden="false" customHeight="false" outlineLevel="0" collapsed="false">
      <c r="A1278" s="1" t="s">
        <v>2338</v>
      </c>
      <c r="B1278" s="1" t="s">
        <v>2335</v>
      </c>
      <c r="C1278" s="1" t="s">
        <v>695</v>
      </c>
      <c r="D1278" s="1" t="s">
        <v>770</v>
      </c>
      <c r="E1278" s="1" t="s">
        <v>906</v>
      </c>
    </row>
    <row r="1279" customFormat="false" ht="16" hidden="false" customHeight="false" outlineLevel="0" collapsed="false">
      <c r="A1279" s="1" t="s">
        <v>2339</v>
      </c>
      <c r="B1279" s="1" t="s">
        <v>2335</v>
      </c>
      <c r="C1279" s="1" t="s">
        <v>695</v>
      </c>
      <c r="D1279" s="1" t="s">
        <v>696</v>
      </c>
      <c r="E1279" s="1" t="s">
        <v>906</v>
      </c>
    </row>
    <row r="1280" customFormat="false" ht="16" hidden="false" customHeight="false" outlineLevel="0" collapsed="false">
      <c r="A1280" s="1" t="s">
        <v>2340</v>
      </c>
      <c r="B1280" s="1" t="s">
        <v>2341</v>
      </c>
      <c r="C1280" s="1" t="s">
        <v>695</v>
      </c>
      <c r="D1280" s="1" t="s">
        <v>764</v>
      </c>
      <c r="E1280" s="1" t="s">
        <v>906</v>
      </c>
    </row>
    <row r="1281" customFormat="false" ht="16" hidden="false" customHeight="false" outlineLevel="0" collapsed="false">
      <c r="A1281" s="1" t="s">
        <v>2342</v>
      </c>
      <c r="B1281" s="1" t="s">
        <v>2341</v>
      </c>
      <c r="C1281" s="1" t="s">
        <v>695</v>
      </c>
      <c r="D1281" s="1" t="s">
        <v>766</v>
      </c>
      <c r="E1281" s="1" t="s">
        <v>906</v>
      </c>
    </row>
    <row r="1282" customFormat="false" ht="16" hidden="false" customHeight="false" outlineLevel="0" collapsed="false">
      <c r="A1282" s="1" t="s">
        <v>2343</v>
      </c>
      <c r="B1282" s="1" t="s">
        <v>2341</v>
      </c>
      <c r="C1282" s="1" t="s">
        <v>695</v>
      </c>
      <c r="D1282" s="1" t="s">
        <v>768</v>
      </c>
      <c r="E1282" s="1" t="s">
        <v>906</v>
      </c>
    </row>
    <row r="1283" customFormat="false" ht="16" hidden="false" customHeight="false" outlineLevel="0" collapsed="false">
      <c r="A1283" s="1" t="s">
        <v>2344</v>
      </c>
      <c r="B1283" s="1" t="s">
        <v>2341</v>
      </c>
      <c r="C1283" s="1" t="s">
        <v>695</v>
      </c>
      <c r="D1283" s="1" t="s">
        <v>770</v>
      </c>
      <c r="E1283" s="1" t="s">
        <v>906</v>
      </c>
    </row>
    <row r="1284" customFormat="false" ht="16" hidden="false" customHeight="false" outlineLevel="0" collapsed="false">
      <c r="A1284" s="1" t="s">
        <v>2345</v>
      </c>
      <c r="B1284" s="1" t="s">
        <v>2341</v>
      </c>
      <c r="C1284" s="1" t="s">
        <v>695</v>
      </c>
      <c r="D1284" s="1" t="s">
        <v>696</v>
      </c>
      <c r="E1284" s="1" t="s">
        <v>906</v>
      </c>
    </row>
    <row r="1285" customFormat="false" ht="16" hidden="false" customHeight="false" outlineLevel="0" collapsed="false">
      <c r="A1285" s="1" t="s">
        <v>2346</v>
      </c>
      <c r="B1285" s="1" t="s">
        <v>2347</v>
      </c>
      <c r="C1285" s="1" t="s">
        <v>695</v>
      </c>
      <c r="D1285" s="1" t="s">
        <v>764</v>
      </c>
      <c r="E1285" s="1" t="s">
        <v>906</v>
      </c>
    </row>
    <row r="1286" customFormat="false" ht="16" hidden="false" customHeight="false" outlineLevel="0" collapsed="false">
      <c r="A1286" s="1" t="s">
        <v>2348</v>
      </c>
      <c r="B1286" s="1" t="s">
        <v>2347</v>
      </c>
      <c r="C1286" s="1" t="s">
        <v>695</v>
      </c>
      <c r="D1286" s="1" t="s">
        <v>766</v>
      </c>
      <c r="E1286" s="1" t="s">
        <v>906</v>
      </c>
    </row>
    <row r="1287" customFormat="false" ht="16" hidden="false" customHeight="false" outlineLevel="0" collapsed="false">
      <c r="A1287" s="1" t="s">
        <v>2349</v>
      </c>
      <c r="B1287" s="1" t="s">
        <v>2347</v>
      </c>
      <c r="C1287" s="1" t="s">
        <v>695</v>
      </c>
      <c r="D1287" s="1" t="s">
        <v>768</v>
      </c>
      <c r="E1287" s="1" t="s">
        <v>906</v>
      </c>
    </row>
    <row r="1288" customFormat="false" ht="16" hidden="false" customHeight="false" outlineLevel="0" collapsed="false">
      <c r="A1288" s="1" t="s">
        <v>2350</v>
      </c>
      <c r="B1288" s="1" t="s">
        <v>2347</v>
      </c>
      <c r="C1288" s="1" t="s">
        <v>695</v>
      </c>
      <c r="D1288" s="1" t="s">
        <v>770</v>
      </c>
      <c r="E1288" s="1" t="s">
        <v>906</v>
      </c>
    </row>
    <row r="1289" customFormat="false" ht="16" hidden="false" customHeight="false" outlineLevel="0" collapsed="false">
      <c r="A1289" s="1" t="s">
        <v>2351</v>
      </c>
      <c r="B1289" s="1" t="s">
        <v>2347</v>
      </c>
      <c r="C1289" s="1" t="s">
        <v>695</v>
      </c>
      <c r="D1289" s="1" t="s">
        <v>696</v>
      </c>
      <c r="E1289" s="1" t="s">
        <v>906</v>
      </c>
    </row>
    <row r="1290" customFormat="false" ht="16" hidden="false" customHeight="false" outlineLevel="0" collapsed="false">
      <c r="A1290" s="1" t="s">
        <v>2352</v>
      </c>
      <c r="B1290" s="1" t="s">
        <v>2353</v>
      </c>
      <c r="C1290" s="1" t="s">
        <v>695</v>
      </c>
      <c r="D1290" s="1" t="s">
        <v>764</v>
      </c>
      <c r="E1290" s="1" t="s">
        <v>906</v>
      </c>
    </row>
    <row r="1291" customFormat="false" ht="16" hidden="false" customHeight="false" outlineLevel="0" collapsed="false">
      <c r="A1291" s="1" t="s">
        <v>2354</v>
      </c>
      <c r="B1291" s="1" t="s">
        <v>2353</v>
      </c>
      <c r="C1291" s="1" t="s">
        <v>695</v>
      </c>
      <c r="D1291" s="1" t="s">
        <v>766</v>
      </c>
      <c r="E1291" s="1" t="s">
        <v>906</v>
      </c>
    </row>
    <row r="1292" customFormat="false" ht="16" hidden="false" customHeight="false" outlineLevel="0" collapsed="false">
      <c r="A1292" s="1" t="s">
        <v>2355</v>
      </c>
      <c r="B1292" s="1" t="s">
        <v>2353</v>
      </c>
      <c r="C1292" s="1" t="s">
        <v>695</v>
      </c>
      <c r="D1292" s="1" t="s">
        <v>768</v>
      </c>
      <c r="E1292" s="1" t="s">
        <v>906</v>
      </c>
    </row>
    <row r="1293" customFormat="false" ht="16" hidden="false" customHeight="false" outlineLevel="0" collapsed="false">
      <c r="A1293" s="1" t="s">
        <v>2356</v>
      </c>
      <c r="B1293" s="1" t="s">
        <v>2353</v>
      </c>
      <c r="C1293" s="1" t="s">
        <v>695</v>
      </c>
      <c r="D1293" s="1" t="s">
        <v>770</v>
      </c>
      <c r="E1293" s="1" t="s">
        <v>906</v>
      </c>
    </row>
    <row r="1294" customFormat="false" ht="16" hidden="false" customHeight="false" outlineLevel="0" collapsed="false">
      <c r="A1294" s="1" t="s">
        <v>2357</v>
      </c>
      <c r="B1294" s="1" t="s">
        <v>2353</v>
      </c>
      <c r="C1294" s="1" t="s">
        <v>695</v>
      </c>
      <c r="D1294" s="1" t="s">
        <v>696</v>
      </c>
      <c r="E1294" s="1" t="s">
        <v>906</v>
      </c>
    </row>
    <row r="1295" customFormat="false" ht="16" hidden="false" customHeight="false" outlineLevel="0" collapsed="false">
      <c r="A1295" s="1" t="s">
        <v>2358</v>
      </c>
      <c r="B1295" s="1" t="s">
        <v>2359</v>
      </c>
      <c r="C1295" s="1" t="s">
        <v>695</v>
      </c>
      <c r="D1295" s="1" t="s">
        <v>764</v>
      </c>
      <c r="E1295" s="1" t="s">
        <v>7</v>
      </c>
    </row>
    <row r="1296" customFormat="false" ht="16" hidden="false" customHeight="false" outlineLevel="0" collapsed="false">
      <c r="A1296" s="1" t="s">
        <v>2360</v>
      </c>
      <c r="B1296" s="1" t="s">
        <v>2359</v>
      </c>
      <c r="C1296" s="1" t="s">
        <v>695</v>
      </c>
      <c r="D1296" s="1" t="s">
        <v>766</v>
      </c>
      <c r="E1296" s="1" t="s">
        <v>7</v>
      </c>
    </row>
    <row r="1297" customFormat="false" ht="16" hidden="false" customHeight="false" outlineLevel="0" collapsed="false">
      <c r="A1297" s="1" t="s">
        <v>2361</v>
      </c>
      <c r="B1297" s="1" t="s">
        <v>2359</v>
      </c>
      <c r="C1297" s="1" t="s">
        <v>695</v>
      </c>
      <c r="D1297" s="1" t="s">
        <v>768</v>
      </c>
      <c r="E1297" s="1" t="s">
        <v>7</v>
      </c>
    </row>
    <row r="1298" customFormat="false" ht="16" hidden="false" customHeight="false" outlineLevel="0" collapsed="false">
      <c r="A1298" s="1" t="s">
        <v>2362</v>
      </c>
      <c r="B1298" s="1" t="s">
        <v>2359</v>
      </c>
      <c r="C1298" s="1" t="s">
        <v>695</v>
      </c>
      <c r="D1298" s="1" t="s">
        <v>770</v>
      </c>
      <c r="E1298" s="1" t="s">
        <v>7</v>
      </c>
    </row>
    <row r="1299" customFormat="false" ht="16" hidden="false" customHeight="false" outlineLevel="0" collapsed="false">
      <c r="A1299" s="1" t="s">
        <v>2363</v>
      </c>
      <c r="B1299" s="1" t="s">
        <v>2359</v>
      </c>
      <c r="C1299" s="1" t="s">
        <v>695</v>
      </c>
      <c r="D1299" s="1" t="s">
        <v>696</v>
      </c>
      <c r="E1299" s="1" t="s">
        <v>7</v>
      </c>
    </row>
    <row r="1300" customFormat="false" ht="16" hidden="false" customHeight="false" outlineLevel="0" collapsed="false">
      <c r="A1300" s="1" t="s">
        <v>2364</v>
      </c>
      <c r="B1300" s="1" t="s">
        <v>19</v>
      </c>
      <c r="C1300" s="1" t="s">
        <v>695</v>
      </c>
      <c r="D1300" s="1" t="s">
        <v>764</v>
      </c>
      <c r="E1300" s="1" t="s">
        <v>7</v>
      </c>
    </row>
    <row r="1301" customFormat="false" ht="16" hidden="false" customHeight="false" outlineLevel="0" collapsed="false">
      <c r="A1301" s="1" t="s">
        <v>2365</v>
      </c>
      <c r="B1301" s="1" t="s">
        <v>19</v>
      </c>
      <c r="C1301" s="1" t="s">
        <v>695</v>
      </c>
      <c r="D1301" s="1" t="s">
        <v>766</v>
      </c>
      <c r="E1301" s="1" t="s">
        <v>7</v>
      </c>
    </row>
    <row r="1302" customFormat="false" ht="16" hidden="false" customHeight="false" outlineLevel="0" collapsed="false">
      <c r="A1302" s="1" t="s">
        <v>2366</v>
      </c>
      <c r="B1302" s="1" t="s">
        <v>19</v>
      </c>
      <c r="C1302" s="1" t="s">
        <v>695</v>
      </c>
      <c r="D1302" s="1" t="s">
        <v>768</v>
      </c>
      <c r="E1302" s="1" t="s">
        <v>7</v>
      </c>
    </row>
    <row r="1303" customFormat="false" ht="16" hidden="false" customHeight="false" outlineLevel="0" collapsed="false">
      <c r="A1303" s="1" t="s">
        <v>2367</v>
      </c>
      <c r="B1303" s="1" t="s">
        <v>19</v>
      </c>
      <c r="C1303" s="1" t="s">
        <v>695</v>
      </c>
      <c r="D1303" s="1" t="s">
        <v>770</v>
      </c>
      <c r="E1303" s="1" t="s">
        <v>7</v>
      </c>
    </row>
    <row r="1304" customFormat="false" ht="16" hidden="false" customHeight="false" outlineLevel="0" collapsed="false">
      <c r="A1304" s="1" t="s">
        <v>2368</v>
      </c>
      <c r="B1304" s="1" t="s">
        <v>19</v>
      </c>
      <c r="C1304" s="1" t="s">
        <v>695</v>
      </c>
      <c r="D1304" s="1" t="s">
        <v>696</v>
      </c>
      <c r="E1304" s="1" t="s">
        <v>7</v>
      </c>
    </row>
    <row r="1305" customFormat="false" ht="16" hidden="false" customHeight="false" outlineLevel="0" collapsed="false">
      <c r="A1305" s="1" t="s">
        <v>2369</v>
      </c>
      <c r="B1305" s="1" t="s">
        <v>2370</v>
      </c>
      <c r="C1305" s="1" t="s">
        <v>695</v>
      </c>
      <c r="D1305" s="1" t="s">
        <v>764</v>
      </c>
      <c r="E1305" s="1" t="s">
        <v>7</v>
      </c>
    </row>
    <row r="1306" customFormat="false" ht="16" hidden="false" customHeight="false" outlineLevel="0" collapsed="false">
      <c r="A1306" s="1" t="s">
        <v>2371</v>
      </c>
      <c r="B1306" s="1" t="s">
        <v>2370</v>
      </c>
      <c r="C1306" s="1" t="s">
        <v>695</v>
      </c>
      <c r="D1306" s="1" t="s">
        <v>766</v>
      </c>
      <c r="E1306" s="1" t="s">
        <v>7</v>
      </c>
    </row>
    <row r="1307" customFormat="false" ht="16" hidden="false" customHeight="false" outlineLevel="0" collapsed="false">
      <c r="A1307" s="1" t="s">
        <v>2372</v>
      </c>
      <c r="B1307" s="1" t="s">
        <v>2370</v>
      </c>
      <c r="C1307" s="1" t="s">
        <v>695</v>
      </c>
      <c r="D1307" s="1" t="s">
        <v>768</v>
      </c>
      <c r="E1307" s="1" t="s">
        <v>7</v>
      </c>
    </row>
    <row r="1308" customFormat="false" ht="16" hidden="false" customHeight="false" outlineLevel="0" collapsed="false">
      <c r="A1308" s="1" t="s">
        <v>2373</v>
      </c>
      <c r="B1308" s="1" t="s">
        <v>2370</v>
      </c>
      <c r="C1308" s="1" t="s">
        <v>695</v>
      </c>
      <c r="D1308" s="1" t="s">
        <v>770</v>
      </c>
      <c r="E1308" s="1" t="s">
        <v>7</v>
      </c>
    </row>
    <row r="1309" customFormat="false" ht="16" hidden="false" customHeight="false" outlineLevel="0" collapsed="false">
      <c r="A1309" s="1" t="s">
        <v>2374</v>
      </c>
      <c r="B1309" s="1" t="s">
        <v>2370</v>
      </c>
      <c r="C1309" s="1" t="s">
        <v>695</v>
      </c>
      <c r="D1309" s="1" t="s">
        <v>696</v>
      </c>
      <c r="E1309" s="1" t="s">
        <v>7</v>
      </c>
    </row>
    <row r="1310" customFormat="false" ht="16" hidden="false" customHeight="false" outlineLevel="0" collapsed="false">
      <c r="A1310" s="1" t="s">
        <v>2375</v>
      </c>
      <c r="B1310" s="1" t="s">
        <v>2376</v>
      </c>
      <c r="C1310" s="1" t="s">
        <v>695</v>
      </c>
      <c r="D1310" s="1" t="s">
        <v>764</v>
      </c>
      <c r="E1310" s="1" t="s">
        <v>7</v>
      </c>
    </row>
    <row r="1311" customFormat="false" ht="16" hidden="false" customHeight="false" outlineLevel="0" collapsed="false">
      <c r="A1311" s="1" t="s">
        <v>2377</v>
      </c>
      <c r="B1311" s="1" t="s">
        <v>2376</v>
      </c>
      <c r="C1311" s="1" t="s">
        <v>695</v>
      </c>
      <c r="D1311" s="1" t="s">
        <v>766</v>
      </c>
      <c r="E1311" s="1" t="s">
        <v>7</v>
      </c>
    </row>
    <row r="1312" customFormat="false" ht="16" hidden="false" customHeight="false" outlineLevel="0" collapsed="false">
      <c r="A1312" s="1" t="s">
        <v>2378</v>
      </c>
      <c r="B1312" s="1" t="s">
        <v>2376</v>
      </c>
      <c r="C1312" s="1" t="s">
        <v>695</v>
      </c>
      <c r="D1312" s="1" t="s">
        <v>768</v>
      </c>
      <c r="E1312" s="1" t="s">
        <v>7</v>
      </c>
    </row>
    <row r="1313" customFormat="false" ht="16" hidden="false" customHeight="false" outlineLevel="0" collapsed="false">
      <c r="A1313" s="1" t="s">
        <v>2379</v>
      </c>
      <c r="B1313" s="1" t="s">
        <v>2376</v>
      </c>
      <c r="C1313" s="1" t="s">
        <v>695</v>
      </c>
      <c r="D1313" s="1" t="s">
        <v>770</v>
      </c>
      <c r="E1313" s="1" t="s">
        <v>7</v>
      </c>
    </row>
    <row r="1314" customFormat="false" ht="16" hidden="false" customHeight="false" outlineLevel="0" collapsed="false">
      <c r="A1314" s="1" t="s">
        <v>2380</v>
      </c>
      <c r="B1314" s="1" t="s">
        <v>2376</v>
      </c>
      <c r="C1314" s="1" t="s">
        <v>695</v>
      </c>
      <c r="D1314" s="1" t="s">
        <v>696</v>
      </c>
      <c r="E1314" s="1" t="s">
        <v>7</v>
      </c>
    </row>
    <row r="1315" customFormat="false" ht="16" hidden="false" customHeight="false" outlineLevel="0" collapsed="false">
      <c r="A1315" s="1" t="s">
        <v>2381</v>
      </c>
      <c r="B1315" s="1" t="s">
        <v>2382</v>
      </c>
      <c r="C1315" s="1" t="s">
        <v>695</v>
      </c>
      <c r="D1315" s="1" t="s">
        <v>764</v>
      </c>
      <c r="E1315" s="1" t="s">
        <v>906</v>
      </c>
    </row>
    <row r="1316" customFormat="false" ht="16" hidden="false" customHeight="false" outlineLevel="0" collapsed="false">
      <c r="A1316" s="1" t="s">
        <v>2383</v>
      </c>
      <c r="B1316" s="1" t="s">
        <v>2382</v>
      </c>
      <c r="C1316" s="1" t="s">
        <v>695</v>
      </c>
      <c r="D1316" s="1" t="s">
        <v>766</v>
      </c>
      <c r="E1316" s="1" t="s">
        <v>906</v>
      </c>
    </row>
    <row r="1317" customFormat="false" ht="16" hidden="false" customHeight="false" outlineLevel="0" collapsed="false">
      <c r="A1317" s="1" t="s">
        <v>2384</v>
      </c>
      <c r="B1317" s="1" t="s">
        <v>2382</v>
      </c>
      <c r="C1317" s="1" t="s">
        <v>695</v>
      </c>
      <c r="D1317" s="1" t="s">
        <v>768</v>
      </c>
      <c r="E1317" s="1" t="s">
        <v>906</v>
      </c>
    </row>
    <row r="1318" customFormat="false" ht="16" hidden="false" customHeight="false" outlineLevel="0" collapsed="false">
      <c r="A1318" s="1" t="s">
        <v>2385</v>
      </c>
      <c r="B1318" s="1" t="s">
        <v>2382</v>
      </c>
      <c r="C1318" s="1" t="s">
        <v>695</v>
      </c>
      <c r="D1318" s="1" t="s">
        <v>770</v>
      </c>
      <c r="E1318" s="1" t="s">
        <v>906</v>
      </c>
    </row>
    <row r="1319" customFormat="false" ht="16" hidden="false" customHeight="false" outlineLevel="0" collapsed="false">
      <c r="A1319" s="1" t="s">
        <v>2386</v>
      </c>
      <c r="B1319" s="1" t="s">
        <v>2382</v>
      </c>
      <c r="C1319" s="1" t="s">
        <v>695</v>
      </c>
      <c r="D1319" s="1" t="s">
        <v>696</v>
      </c>
      <c r="E1319" s="1" t="s">
        <v>906</v>
      </c>
    </row>
    <row r="1320" customFormat="false" ht="16" hidden="false" customHeight="false" outlineLevel="0" collapsed="false">
      <c r="A1320" s="1" t="s">
        <v>2387</v>
      </c>
      <c r="B1320" s="1" t="s">
        <v>2388</v>
      </c>
      <c r="C1320" s="1" t="s">
        <v>695</v>
      </c>
      <c r="D1320" s="1" t="s">
        <v>764</v>
      </c>
      <c r="E1320" s="1" t="s">
        <v>906</v>
      </c>
    </row>
    <row r="1321" customFormat="false" ht="16" hidden="false" customHeight="false" outlineLevel="0" collapsed="false">
      <c r="A1321" s="1" t="s">
        <v>2389</v>
      </c>
      <c r="B1321" s="1" t="s">
        <v>2388</v>
      </c>
      <c r="C1321" s="1" t="s">
        <v>695</v>
      </c>
      <c r="D1321" s="1" t="s">
        <v>766</v>
      </c>
      <c r="E1321" s="1" t="s">
        <v>906</v>
      </c>
    </row>
    <row r="1322" customFormat="false" ht="16" hidden="false" customHeight="false" outlineLevel="0" collapsed="false">
      <c r="A1322" s="1" t="s">
        <v>2390</v>
      </c>
      <c r="B1322" s="1" t="s">
        <v>2388</v>
      </c>
      <c r="C1322" s="1" t="s">
        <v>695</v>
      </c>
      <c r="D1322" s="1" t="s">
        <v>768</v>
      </c>
      <c r="E1322" s="1" t="s">
        <v>906</v>
      </c>
    </row>
    <row r="1323" customFormat="false" ht="16" hidden="false" customHeight="false" outlineLevel="0" collapsed="false">
      <c r="A1323" s="1" t="s">
        <v>2391</v>
      </c>
      <c r="B1323" s="1" t="s">
        <v>2388</v>
      </c>
      <c r="C1323" s="1" t="s">
        <v>695</v>
      </c>
      <c r="D1323" s="1" t="s">
        <v>770</v>
      </c>
      <c r="E1323" s="1" t="s">
        <v>906</v>
      </c>
    </row>
    <row r="1324" customFormat="false" ht="16" hidden="false" customHeight="false" outlineLevel="0" collapsed="false">
      <c r="A1324" s="1" t="s">
        <v>2392</v>
      </c>
      <c r="B1324" s="1" t="s">
        <v>2388</v>
      </c>
      <c r="C1324" s="1" t="s">
        <v>695</v>
      </c>
      <c r="D1324" s="1" t="s">
        <v>696</v>
      </c>
      <c r="E1324" s="1" t="s">
        <v>906</v>
      </c>
    </row>
    <row r="1325" customFormat="false" ht="16" hidden="false" customHeight="false" outlineLevel="0" collapsed="false">
      <c r="A1325" s="1" t="s">
        <v>2393</v>
      </c>
      <c r="B1325" s="1" t="s">
        <v>2394</v>
      </c>
      <c r="C1325" s="1" t="s">
        <v>695</v>
      </c>
      <c r="D1325" s="1" t="s">
        <v>764</v>
      </c>
      <c r="E1325" s="1" t="s">
        <v>7</v>
      </c>
    </row>
    <row r="1326" customFormat="false" ht="16" hidden="false" customHeight="false" outlineLevel="0" collapsed="false">
      <c r="A1326" s="1" t="s">
        <v>2395</v>
      </c>
      <c r="B1326" s="1" t="s">
        <v>2394</v>
      </c>
      <c r="C1326" s="1" t="s">
        <v>695</v>
      </c>
      <c r="D1326" s="1" t="s">
        <v>766</v>
      </c>
      <c r="E1326" s="1" t="s">
        <v>7</v>
      </c>
    </row>
    <row r="1327" customFormat="false" ht="16" hidden="false" customHeight="false" outlineLevel="0" collapsed="false">
      <c r="A1327" s="1" t="s">
        <v>2396</v>
      </c>
      <c r="B1327" s="1" t="s">
        <v>2394</v>
      </c>
      <c r="C1327" s="1" t="s">
        <v>695</v>
      </c>
      <c r="D1327" s="1" t="s">
        <v>768</v>
      </c>
      <c r="E1327" s="1" t="s">
        <v>7</v>
      </c>
    </row>
    <row r="1328" customFormat="false" ht="16" hidden="false" customHeight="false" outlineLevel="0" collapsed="false">
      <c r="A1328" s="1" t="s">
        <v>2397</v>
      </c>
      <c r="B1328" s="1" t="s">
        <v>2394</v>
      </c>
      <c r="C1328" s="1" t="s">
        <v>695</v>
      </c>
      <c r="D1328" s="1" t="s">
        <v>770</v>
      </c>
      <c r="E1328" s="1" t="s">
        <v>7</v>
      </c>
    </row>
    <row r="1329" customFormat="false" ht="16" hidden="false" customHeight="false" outlineLevel="0" collapsed="false">
      <c r="A1329" s="1" t="s">
        <v>2398</v>
      </c>
      <c r="B1329" s="1" t="s">
        <v>2394</v>
      </c>
      <c r="C1329" s="1" t="s">
        <v>695</v>
      </c>
      <c r="D1329" s="1" t="s">
        <v>696</v>
      </c>
      <c r="E1329" s="1" t="s">
        <v>7</v>
      </c>
    </row>
    <row r="1330" customFormat="false" ht="16" hidden="false" customHeight="false" outlineLevel="0" collapsed="false">
      <c r="A1330" s="1" t="s">
        <v>2399</v>
      </c>
      <c r="B1330" s="1" t="s">
        <v>2400</v>
      </c>
      <c r="C1330" s="1" t="s">
        <v>695</v>
      </c>
      <c r="D1330" s="1" t="s">
        <v>764</v>
      </c>
      <c r="E1330" s="1" t="s">
        <v>7</v>
      </c>
    </row>
    <row r="1331" customFormat="false" ht="16" hidden="false" customHeight="false" outlineLevel="0" collapsed="false">
      <c r="A1331" s="1" t="s">
        <v>2401</v>
      </c>
      <c r="B1331" s="1" t="s">
        <v>2400</v>
      </c>
      <c r="C1331" s="1" t="s">
        <v>695</v>
      </c>
      <c r="D1331" s="1" t="s">
        <v>766</v>
      </c>
      <c r="E1331" s="1" t="s">
        <v>7</v>
      </c>
    </row>
    <row r="1332" customFormat="false" ht="16" hidden="false" customHeight="false" outlineLevel="0" collapsed="false">
      <c r="A1332" s="1" t="s">
        <v>2402</v>
      </c>
      <c r="B1332" s="1" t="s">
        <v>2400</v>
      </c>
      <c r="C1332" s="1" t="s">
        <v>695</v>
      </c>
      <c r="D1332" s="1" t="s">
        <v>768</v>
      </c>
      <c r="E1332" s="1" t="s">
        <v>7</v>
      </c>
    </row>
    <row r="1333" customFormat="false" ht="16" hidden="false" customHeight="false" outlineLevel="0" collapsed="false">
      <c r="A1333" s="1" t="s">
        <v>2403</v>
      </c>
      <c r="B1333" s="1" t="s">
        <v>2400</v>
      </c>
      <c r="C1333" s="1" t="s">
        <v>695</v>
      </c>
      <c r="D1333" s="1" t="s">
        <v>770</v>
      </c>
      <c r="E1333" s="1" t="s">
        <v>7</v>
      </c>
    </row>
    <row r="1334" customFormat="false" ht="16" hidden="false" customHeight="false" outlineLevel="0" collapsed="false">
      <c r="A1334" s="1" t="s">
        <v>2404</v>
      </c>
      <c r="B1334" s="1" t="s">
        <v>2400</v>
      </c>
      <c r="C1334" s="1" t="s">
        <v>695</v>
      </c>
      <c r="D1334" s="1" t="s">
        <v>696</v>
      </c>
      <c r="E1334" s="1" t="s">
        <v>7</v>
      </c>
    </row>
    <row r="1335" customFormat="false" ht="16" hidden="false" customHeight="false" outlineLevel="0" collapsed="false">
      <c r="A1335" s="1" t="s">
        <v>2405</v>
      </c>
      <c r="B1335" s="1" t="s">
        <v>2406</v>
      </c>
      <c r="C1335" s="1" t="s">
        <v>695</v>
      </c>
      <c r="D1335" s="1" t="s">
        <v>764</v>
      </c>
      <c r="E1335" s="1" t="s">
        <v>7</v>
      </c>
    </row>
    <row r="1336" customFormat="false" ht="16" hidden="false" customHeight="false" outlineLevel="0" collapsed="false">
      <c r="A1336" s="1" t="s">
        <v>2407</v>
      </c>
      <c r="B1336" s="1" t="s">
        <v>2406</v>
      </c>
      <c r="C1336" s="1" t="s">
        <v>695</v>
      </c>
      <c r="D1336" s="1" t="s">
        <v>766</v>
      </c>
      <c r="E1336" s="1" t="s">
        <v>7</v>
      </c>
    </row>
    <row r="1337" customFormat="false" ht="16" hidden="false" customHeight="false" outlineLevel="0" collapsed="false">
      <c r="A1337" s="1" t="s">
        <v>2408</v>
      </c>
      <c r="B1337" s="1" t="s">
        <v>2406</v>
      </c>
      <c r="C1337" s="1" t="s">
        <v>695</v>
      </c>
      <c r="D1337" s="1" t="s">
        <v>768</v>
      </c>
      <c r="E1337" s="1" t="s">
        <v>7</v>
      </c>
    </row>
    <row r="1338" customFormat="false" ht="16" hidden="false" customHeight="false" outlineLevel="0" collapsed="false">
      <c r="A1338" s="1" t="s">
        <v>2409</v>
      </c>
      <c r="B1338" s="1" t="s">
        <v>2406</v>
      </c>
      <c r="C1338" s="1" t="s">
        <v>695</v>
      </c>
      <c r="D1338" s="1" t="s">
        <v>770</v>
      </c>
      <c r="E1338" s="1" t="s">
        <v>7</v>
      </c>
    </row>
    <row r="1339" customFormat="false" ht="16" hidden="false" customHeight="false" outlineLevel="0" collapsed="false">
      <c r="A1339" s="1" t="s">
        <v>2410</v>
      </c>
      <c r="B1339" s="1" t="s">
        <v>2406</v>
      </c>
      <c r="C1339" s="1" t="s">
        <v>695</v>
      </c>
      <c r="D1339" s="1" t="s">
        <v>696</v>
      </c>
      <c r="E1339" s="1" t="s">
        <v>7</v>
      </c>
    </row>
    <row r="1340" customFormat="false" ht="16" hidden="false" customHeight="false" outlineLevel="0" collapsed="false">
      <c r="A1340" s="1" t="s">
        <v>2411</v>
      </c>
      <c r="B1340" s="1" t="s">
        <v>2412</v>
      </c>
      <c r="C1340" s="1" t="s">
        <v>695</v>
      </c>
      <c r="D1340" s="1" t="s">
        <v>764</v>
      </c>
      <c r="E1340" s="1" t="s">
        <v>7</v>
      </c>
    </row>
    <row r="1341" customFormat="false" ht="16" hidden="false" customHeight="false" outlineLevel="0" collapsed="false">
      <c r="A1341" s="1" t="s">
        <v>2413</v>
      </c>
      <c r="B1341" s="1" t="s">
        <v>2412</v>
      </c>
      <c r="C1341" s="1" t="s">
        <v>695</v>
      </c>
      <c r="D1341" s="1" t="s">
        <v>766</v>
      </c>
      <c r="E1341" s="1" t="s">
        <v>7</v>
      </c>
    </row>
    <row r="1342" customFormat="false" ht="16" hidden="false" customHeight="false" outlineLevel="0" collapsed="false">
      <c r="A1342" s="1" t="s">
        <v>2414</v>
      </c>
      <c r="B1342" s="1" t="s">
        <v>2412</v>
      </c>
      <c r="C1342" s="1" t="s">
        <v>695</v>
      </c>
      <c r="D1342" s="1" t="s">
        <v>768</v>
      </c>
      <c r="E1342" s="1" t="s">
        <v>7</v>
      </c>
    </row>
    <row r="1343" customFormat="false" ht="16" hidden="false" customHeight="false" outlineLevel="0" collapsed="false">
      <c r="A1343" s="1" t="s">
        <v>2415</v>
      </c>
      <c r="B1343" s="1" t="s">
        <v>2412</v>
      </c>
      <c r="C1343" s="1" t="s">
        <v>695</v>
      </c>
      <c r="D1343" s="1" t="s">
        <v>770</v>
      </c>
      <c r="E1343" s="1" t="s">
        <v>7</v>
      </c>
    </row>
    <row r="1344" customFormat="false" ht="16" hidden="false" customHeight="false" outlineLevel="0" collapsed="false">
      <c r="A1344" s="1" t="s">
        <v>2416</v>
      </c>
      <c r="B1344" s="1" t="s">
        <v>2412</v>
      </c>
      <c r="C1344" s="1" t="s">
        <v>695</v>
      </c>
      <c r="D1344" s="1" t="s">
        <v>696</v>
      </c>
      <c r="E1344" s="1" t="s">
        <v>7</v>
      </c>
    </row>
    <row r="1345" customFormat="false" ht="16" hidden="false" customHeight="false" outlineLevel="0" collapsed="false">
      <c r="A1345" s="1" t="s">
        <v>2417</v>
      </c>
      <c r="B1345" s="1" t="s">
        <v>2418</v>
      </c>
      <c r="C1345" s="1" t="s">
        <v>695</v>
      </c>
      <c r="D1345" s="1" t="s">
        <v>768</v>
      </c>
      <c r="E1345" s="1" t="s">
        <v>7</v>
      </c>
    </row>
    <row r="1346" customFormat="false" ht="16" hidden="false" customHeight="false" outlineLevel="0" collapsed="false">
      <c r="A1346" s="1" t="s">
        <v>2419</v>
      </c>
      <c r="B1346" s="1" t="s">
        <v>2420</v>
      </c>
      <c r="C1346" s="1" t="s">
        <v>695</v>
      </c>
      <c r="D1346" s="1" t="s">
        <v>764</v>
      </c>
      <c r="E1346" s="1" t="s">
        <v>7</v>
      </c>
    </row>
    <row r="1347" customFormat="false" ht="16" hidden="false" customHeight="false" outlineLevel="0" collapsed="false">
      <c r="A1347" s="1" t="s">
        <v>2421</v>
      </c>
      <c r="B1347" s="1" t="s">
        <v>2420</v>
      </c>
      <c r="C1347" s="1" t="s">
        <v>695</v>
      </c>
      <c r="D1347" s="1" t="s">
        <v>766</v>
      </c>
      <c r="E1347" s="1" t="s">
        <v>7</v>
      </c>
    </row>
    <row r="1348" customFormat="false" ht="16" hidden="false" customHeight="false" outlineLevel="0" collapsed="false">
      <c r="A1348" s="1" t="s">
        <v>2422</v>
      </c>
      <c r="B1348" s="1" t="s">
        <v>2420</v>
      </c>
      <c r="C1348" s="1" t="s">
        <v>695</v>
      </c>
      <c r="D1348" s="1" t="s">
        <v>768</v>
      </c>
      <c r="E1348" s="1" t="s">
        <v>7</v>
      </c>
    </row>
    <row r="1349" customFormat="false" ht="16" hidden="false" customHeight="false" outlineLevel="0" collapsed="false">
      <c r="A1349" s="1" t="s">
        <v>2423</v>
      </c>
      <c r="B1349" s="1" t="s">
        <v>2420</v>
      </c>
      <c r="C1349" s="1" t="s">
        <v>695</v>
      </c>
      <c r="D1349" s="1" t="s">
        <v>770</v>
      </c>
      <c r="E1349" s="1" t="s">
        <v>7</v>
      </c>
    </row>
    <row r="1350" customFormat="false" ht="16" hidden="false" customHeight="false" outlineLevel="0" collapsed="false">
      <c r="A1350" s="1" t="s">
        <v>2424</v>
      </c>
      <c r="B1350" s="1" t="s">
        <v>2420</v>
      </c>
      <c r="C1350" s="1" t="s">
        <v>695</v>
      </c>
      <c r="D1350" s="1" t="s">
        <v>696</v>
      </c>
      <c r="E1350" s="1" t="s">
        <v>7</v>
      </c>
    </row>
    <row r="1351" customFormat="false" ht="16" hidden="false" customHeight="false" outlineLevel="0" collapsed="false">
      <c r="A1351" s="1" t="s">
        <v>2425</v>
      </c>
      <c r="B1351" s="1" t="s">
        <v>2426</v>
      </c>
      <c r="C1351" s="1" t="s">
        <v>695</v>
      </c>
      <c r="D1351" s="1" t="s">
        <v>764</v>
      </c>
      <c r="E1351" s="1" t="s">
        <v>7</v>
      </c>
    </row>
    <row r="1352" customFormat="false" ht="16" hidden="false" customHeight="false" outlineLevel="0" collapsed="false">
      <c r="A1352" s="1" t="s">
        <v>2427</v>
      </c>
      <c r="B1352" s="1" t="s">
        <v>2426</v>
      </c>
      <c r="C1352" s="1" t="s">
        <v>695</v>
      </c>
      <c r="D1352" s="1" t="s">
        <v>766</v>
      </c>
      <c r="E1352" s="1" t="s">
        <v>7</v>
      </c>
    </row>
    <row r="1353" customFormat="false" ht="16" hidden="false" customHeight="false" outlineLevel="0" collapsed="false">
      <c r="A1353" s="1" t="s">
        <v>2428</v>
      </c>
      <c r="B1353" s="1" t="s">
        <v>2426</v>
      </c>
      <c r="C1353" s="1" t="s">
        <v>695</v>
      </c>
      <c r="D1353" s="1" t="s">
        <v>768</v>
      </c>
      <c r="E1353" s="1" t="s">
        <v>7</v>
      </c>
    </row>
    <row r="1354" customFormat="false" ht="16" hidden="false" customHeight="false" outlineLevel="0" collapsed="false">
      <c r="A1354" s="1" t="s">
        <v>2429</v>
      </c>
      <c r="B1354" s="1" t="s">
        <v>2426</v>
      </c>
      <c r="C1354" s="1" t="s">
        <v>695</v>
      </c>
      <c r="D1354" s="1" t="s">
        <v>770</v>
      </c>
      <c r="E1354" s="1" t="s">
        <v>7</v>
      </c>
    </row>
    <row r="1355" customFormat="false" ht="16" hidden="false" customHeight="false" outlineLevel="0" collapsed="false">
      <c r="A1355" s="1" t="s">
        <v>2430</v>
      </c>
      <c r="B1355" s="1" t="s">
        <v>2426</v>
      </c>
      <c r="C1355" s="1" t="s">
        <v>695</v>
      </c>
      <c r="D1355" s="1" t="s">
        <v>696</v>
      </c>
      <c r="E1355" s="1" t="s">
        <v>7</v>
      </c>
    </row>
    <row r="1356" customFormat="false" ht="16" hidden="false" customHeight="false" outlineLevel="0" collapsed="false">
      <c r="A1356" s="1" t="s">
        <v>2431</v>
      </c>
      <c r="B1356" s="1" t="s">
        <v>2432</v>
      </c>
      <c r="C1356" s="1" t="s">
        <v>695</v>
      </c>
      <c r="D1356" s="1" t="s">
        <v>764</v>
      </c>
      <c r="E1356" s="1" t="s">
        <v>7</v>
      </c>
    </row>
    <row r="1357" customFormat="false" ht="16" hidden="false" customHeight="false" outlineLevel="0" collapsed="false">
      <c r="A1357" s="1" t="s">
        <v>2433</v>
      </c>
      <c r="B1357" s="1" t="s">
        <v>2432</v>
      </c>
      <c r="C1357" s="1" t="s">
        <v>695</v>
      </c>
      <c r="D1357" s="1" t="s">
        <v>766</v>
      </c>
      <c r="E1357" s="1" t="s">
        <v>7</v>
      </c>
    </row>
    <row r="1358" customFormat="false" ht="16" hidden="false" customHeight="false" outlineLevel="0" collapsed="false">
      <c r="A1358" s="1" t="s">
        <v>2434</v>
      </c>
      <c r="B1358" s="1" t="s">
        <v>2432</v>
      </c>
      <c r="C1358" s="1" t="s">
        <v>695</v>
      </c>
      <c r="D1358" s="1" t="s">
        <v>768</v>
      </c>
      <c r="E1358" s="1" t="s">
        <v>7</v>
      </c>
    </row>
    <row r="1359" customFormat="false" ht="16" hidden="false" customHeight="false" outlineLevel="0" collapsed="false">
      <c r="A1359" s="1" t="s">
        <v>2435</v>
      </c>
      <c r="B1359" s="1" t="s">
        <v>2432</v>
      </c>
      <c r="C1359" s="1" t="s">
        <v>695</v>
      </c>
      <c r="D1359" s="1" t="s">
        <v>770</v>
      </c>
      <c r="E1359" s="1" t="s">
        <v>7</v>
      </c>
    </row>
    <row r="1360" customFormat="false" ht="16" hidden="false" customHeight="false" outlineLevel="0" collapsed="false">
      <c r="A1360" s="1" t="s">
        <v>2436</v>
      </c>
      <c r="B1360" s="1" t="s">
        <v>2432</v>
      </c>
      <c r="C1360" s="1" t="s">
        <v>695</v>
      </c>
      <c r="D1360" s="1" t="s">
        <v>696</v>
      </c>
      <c r="E1360" s="1" t="s">
        <v>7</v>
      </c>
    </row>
    <row r="1361" customFormat="false" ht="16" hidden="false" customHeight="false" outlineLevel="0" collapsed="false">
      <c r="A1361" s="1" t="s">
        <v>2437</v>
      </c>
      <c r="B1361" s="1" t="s">
        <v>2438</v>
      </c>
      <c r="C1361" s="1" t="s">
        <v>695</v>
      </c>
      <c r="D1361" s="1" t="s">
        <v>764</v>
      </c>
      <c r="E1361" s="1" t="s">
        <v>906</v>
      </c>
    </row>
    <row r="1362" customFormat="false" ht="16" hidden="false" customHeight="false" outlineLevel="0" collapsed="false">
      <c r="A1362" s="1" t="s">
        <v>2439</v>
      </c>
      <c r="B1362" s="1" t="s">
        <v>2438</v>
      </c>
      <c r="C1362" s="1" t="s">
        <v>695</v>
      </c>
      <c r="D1362" s="1" t="s">
        <v>766</v>
      </c>
      <c r="E1362" s="1" t="s">
        <v>906</v>
      </c>
    </row>
    <row r="1363" customFormat="false" ht="16" hidden="false" customHeight="false" outlineLevel="0" collapsed="false">
      <c r="A1363" s="1" t="s">
        <v>2440</v>
      </c>
      <c r="B1363" s="1" t="s">
        <v>2438</v>
      </c>
      <c r="C1363" s="1" t="s">
        <v>695</v>
      </c>
      <c r="D1363" s="1" t="s">
        <v>768</v>
      </c>
      <c r="E1363" s="1" t="s">
        <v>906</v>
      </c>
    </row>
    <row r="1364" customFormat="false" ht="16" hidden="false" customHeight="false" outlineLevel="0" collapsed="false">
      <c r="A1364" s="1" t="s">
        <v>2441</v>
      </c>
      <c r="B1364" s="1" t="s">
        <v>2438</v>
      </c>
      <c r="C1364" s="1" t="s">
        <v>695</v>
      </c>
      <c r="D1364" s="1" t="s">
        <v>770</v>
      </c>
      <c r="E1364" s="1" t="s">
        <v>906</v>
      </c>
    </row>
    <row r="1365" customFormat="false" ht="16" hidden="false" customHeight="false" outlineLevel="0" collapsed="false">
      <c r="A1365" s="1" t="s">
        <v>2442</v>
      </c>
      <c r="B1365" s="1" t="s">
        <v>2438</v>
      </c>
      <c r="C1365" s="1" t="s">
        <v>695</v>
      </c>
      <c r="D1365" s="1" t="s">
        <v>696</v>
      </c>
      <c r="E1365" s="1" t="s">
        <v>906</v>
      </c>
    </row>
    <row r="1366" customFormat="false" ht="16" hidden="false" customHeight="false" outlineLevel="0" collapsed="false">
      <c r="A1366" s="1" t="s">
        <v>2443</v>
      </c>
      <c r="B1366" s="1" t="s">
        <v>2444</v>
      </c>
      <c r="C1366" s="1" t="s">
        <v>695</v>
      </c>
      <c r="D1366" s="1" t="s">
        <v>768</v>
      </c>
      <c r="E1366" s="1" t="s">
        <v>7</v>
      </c>
    </row>
    <row r="1367" customFormat="false" ht="16" hidden="false" customHeight="false" outlineLevel="0" collapsed="false">
      <c r="A1367" s="1" t="s">
        <v>2445</v>
      </c>
      <c r="B1367" s="1" t="s">
        <v>2446</v>
      </c>
      <c r="C1367" s="1" t="s">
        <v>695</v>
      </c>
      <c r="D1367" s="1" t="s">
        <v>768</v>
      </c>
      <c r="E1367" s="1" t="s">
        <v>7</v>
      </c>
    </row>
    <row r="1368" customFormat="false" ht="16" hidden="false" customHeight="false" outlineLevel="0" collapsed="false">
      <c r="A1368" s="1" t="s">
        <v>2447</v>
      </c>
      <c r="B1368" s="1" t="s">
        <v>2448</v>
      </c>
      <c r="C1368" s="1" t="s">
        <v>695</v>
      </c>
      <c r="D1368" s="1" t="s">
        <v>770</v>
      </c>
      <c r="E1368" s="1" t="s">
        <v>7</v>
      </c>
    </row>
    <row r="1369" customFormat="false" ht="16" hidden="false" customHeight="false" outlineLevel="0" collapsed="false">
      <c r="A1369" s="1" t="s">
        <v>2449</v>
      </c>
      <c r="B1369" s="1" t="s">
        <v>2450</v>
      </c>
      <c r="C1369" s="1" t="s">
        <v>695</v>
      </c>
      <c r="D1369" s="1" t="s">
        <v>768</v>
      </c>
      <c r="E1369" s="1" t="s">
        <v>7</v>
      </c>
    </row>
    <row r="1370" customFormat="false" ht="16" hidden="false" customHeight="false" outlineLevel="0" collapsed="false">
      <c r="A1370" s="1" t="s">
        <v>2451</v>
      </c>
      <c r="B1370" s="1" t="s">
        <v>2452</v>
      </c>
      <c r="C1370" s="1" t="s">
        <v>695</v>
      </c>
      <c r="D1370" s="1" t="s">
        <v>764</v>
      </c>
      <c r="E1370" s="1" t="s">
        <v>1714</v>
      </c>
    </row>
    <row r="1371" customFormat="false" ht="16" hidden="false" customHeight="false" outlineLevel="0" collapsed="false">
      <c r="A1371" s="1" t="s">
        <v>2453</v>
      </c>
      <c r="B1371" s="1" t="s">
        <v>2452</v>
      </c>
      <c r="C1371" s="1" t="s">
        <v>695</v>
      </c>
      <c r="D1371" s="1" t="s">
        <v>766</v>
      </c>
      <c r="E1371" s="1" t="s">
        <v>1714</v>
      </c>
    </row>
    <row r="1372" customFormat="false" ht="16" hidden="false" customHeight="false" outlineLevel="0" collapsed="false">
      <c r="A1372" s="1" t="s">
        <v>2454</v>
      </c>
      <c r="B1372" s="1" t="s">
        <v>2452</v>
      </c>
      <c r="C1372" s="1" t="s">
        <v>695</v>
      </c>
      <c r="D1372" s="1" t="s">
        <v>768</v>
      </c>
      <c r="E1372" s="1" t="s">
        <v>1714</v>
      </c>
    </row>
    <row r="1373" customFormat="false" ht="16" hidden="false" customHeight="false" outlineLevel="0" collapsed="false">
      <c r="A1373" s="1" t="s">
        <v>2455</v>
      </c>
      <c r="B1373" s="1" t="s">
        <v>2452</v>
      </c>
      <c r="C1373" s="1" t="s">
        <v>695</v>
      </c>
      <c r="D1373" s="1" t="s">
        <v>770</v>
      </c>
      <c r="E1373" s="1" t="s">
        <v>1714</v>
      </c>
    </row>
    <row r="1374" customFormat="false" ht="16" hidden="false" customHeight="false" outlineLevel="0" collapsed="false">
      <c r="A1374" s="1" t="s">
        <v>2456</v>
      </c>
      <c r="B1374" s="1" t="s">
        <v>2452</v>
      </c>
      <c r="C1374" s="1" t="s">
        <v>695</v>
      </c>
      <c r="D1374" s="1" t="s">
        <v>696</v>
      </c>
      <c r="E1374" s="1" t="s">
        <v>1714</v>
      </c>
    </row>
    <row r="1375" customFormat="false" ht="16" hidden="false" customHeight="false" outlineLevel="0" collapsed="false">
      <c r="A1375" s="1" t="s">
        <v>2457</v>
      </c>
      <c r="B1375" s="1" t="s">
        <v>2458</v>
      </c>
      <c r="C1375" s="1" t="s">
        <v>695</v>
      </c>
      <c r="D1375" s="1" t="s">
        <v>764</v>
      </c>
      <c r="E1375" s="1" t="s">
        <v>906</v>
      </c>
    </row>
    <row r="1376" customFormat="false" ht="16" hidden="false" customHeight="false" outlineLevel="0" collapsed="false">
      <c r="A1376" s="1" t="s">
        <v>2459</v>
      </c>
      <c r="B1376" s="1" t="s">
        <v>2458</v>
      </c>
      <c r="C1376" s="1" t="s">
        <v>695</v>
      </c>
      <c r="D1376" s="1" t="s">
        <v>766</v>
      </c>
      <c r="E1376" s="1" t="s">
        <v>906</v>
      </c>
    </row>
    <row r="1377" customFormat="false" ht="16" hidden="false" customHeight="false" outlineLevel="0" collapsed="false">
      <c r="A1377" s="1" t="s">
        <v>2460</v>
      </c>
      <c r="B1377" s="1" t="s">
        <v>2458</v>
      </c>
      <c r="C1377" s="1" t="s">
        <v>695</v>
      </c>
      <c r="D1377" s="1" t="s">
        <v>768</v>
      </c>
      <c r="E1377" s="1" t="s">
        <v>906</v>
      </c>
    </row>
    <row r="1378" customFormat="false" ht="16" hidden="false" customHeight="false" outlineLevel="0" collapsed="false">
      <c r="A1378" s="1" t="s">
        <v>2461</v>
      </c>
      <c r="B1378" s="1" t="s">
        <v>2458</v>
      </c>
      <c r="C1378" s="1" t="s">
        <v>695</v>
      </c>
      <c r="D1378" s="1" t="s">
        <v>770</v>
      </c>
      <c r="E1378" s="1" t="s">
        <v>906</v>
      </c>
    </row>
    <row r="1379" customFormat="false" ht="16" hidden="false" customHeight="false" outlineLevel="0" collapsed="false">
      <c r="A1379" s="1" t="s">
        <v>2462</v>
      </c>
      <c r="B1379" s="1" t="s">
        <v>2458</v>
      </c>
      <c r="C1379" s="1" t="s">
        <v>695</v>
      </c>
      <c r="D1379" s="1" t="s">
        <v>696</v>
      </c>
      <c r="E1379" s="1" t="s">
        <v>906</v>
      </c>
    </row>
    <row r="1380" customFormat="false" ht="16" hidden="false" customHeight="false" outlineLevel="0" collapsed="false">
      <c r="A1380" s="1" t="s">
        <v>2463</v>
      </c>
      <c r="B1380" s="1" t="s">
        <v>2464</v>
      </c>
      <c r="C1380" s="1" t="s">
        <v>695</v>
      </c>
      <c r="D1380" s="1" t="s">
        <v>764</v>
      </c>
      <c r="E1380" s="1" t="s">
        <v>906</v>
      </c>
    </row>
    <row r="1381" customFormat="false" ht="16" hidden="false" customHeight="false" outlineLevel="0" collapsed="false">
      <c r="A1381" s="1" t="s">
        <v>2465</v>
      </c>
      <c r="B1381" s="1" t="s">
        <v>2464</v>
      </c>
      <c r="C1381" s="1" t="s">
        <v>695</v>
      </c>
      <c r="D1381" s="1" t="s">
        <v>766</v>
      </c>
      <c r="E1381" s="1" t="s">
        <v>906</v>
      </c>
    </row>
    <row r="1382" customFormat="false" ht="16" hidden="false" customHeight="false" outlineLevel="0" collapsed="false">
      <c r="A1382" s="1" t="s">
        <v>2466</v>
      </c>
      <c r="B1382" s="1" t="s">
        <v>2464</v>
      </c>
      <c r="C1382" s="1" t="s">
        <v>695</v>
      </c>
      <c r="D1382" s="1" t="s">
        <v>768</v>
      </c>
      <c r="E1382" s="1" t="s">
        <v>906</v>
      </c>
    </row>
    <row r="1383" customFormat="false" ht="16" hidden="false" customHeight="false" outlineLevel="0" collapsed="false">
      <c r="A1383" s="1" t="s">
        <v>2467</v>
      </c>
      <c r="B1383" s="1" t="s">
        <v>2464</v>
      </c>
      <c r="C1383" s="1" t="s">
        <v>695</v>
      </c>
      <c r="D1383" s="1" t="s">
        <v>770</v>
      </c>
      <c r="E1383" s="1" t="s">
        <v>906</v>
      </c>
    </row>
    <row r="1384" customFormat="false" ht="16" hidden="false" customHeight="false" outlineLevel="0" collapsed="false">
      <c r="A1384" s="1" t="s">
        <v>2468</v>
      </c>
      <c r="B1384" s="1" t="s">
        <v>2464</v>
      </c>
      <c r="C1384" s="1" t="s">
        <v>695</v>
      </c>
      <c r="D1384" s="1" t="s">
        <v>696</v>
      </c>
      <c r="E1384" s="1" t="s">
        <v>906</v>
      </c>
    </row>
    <row r="1385" customFormat="false" ht="16" hidden="false" customHeight="false" outlineLevel="0" collapsed="false">
      <c r="A1385" s="1" t="s">
        <v>2469</v>
      </c>
      <c r="B1385" s="1" t="s">
        <v>2470</v>
      </c>
      <c r="C1385" s="1" t="s">
        <v>695</v>
      </c>
      <c r="D1385" s="1" t="s">
        <v>764</v>
      </c>
      <c r="E1385" s="1" t="s">
        <v>906</v>
      </c>
    </row>
    <row r="1386" customFormat="false" ht="16" hidden="false" customHeight="false" outlineLevel="0" collapsed="false">
      <c r="A1386" s="1" t="s">
        <v>2471</v>
      </c>
      <c r="B1386" s="1" t="s">
        <v>2470</v>
      </c>
      <c r="C1386" s="1" t="s">
        <v>695</v>
      </c>
      <c r="D1386" s="1" t="s">
        <v>766</v>
      </c>
      <c r="E1386" s="1" t="s">
        <v>906</v>
      </c>
    </row>
    <row r="1387" customFormat="false" ht="16" hidden="false" customHeight="false" outlineLevel="0" collapsed="false">
      <c r="A1387" s="1" t="s">
        <v>2472</v>
      </c>
      <c r="B1387" s="1" t="s">
        <v>2470</v>
      </c>
      <c r="C1387" s="1" t="s">
        <v>695</v>
      </c>
      <c r="D1387" s="1" t="s">
        <v>768</v>
      </c>
      <c r="E1387" s="1" t="s">
        <v>906</v>
      </c>
    </row>
    <row r="1388" customFormat="false" ht="16" hidden="false" customHeight="false" outlineLevel="0" collapsed="false">
      <c r="A1388" s="1" t="s">
        <v>2473</v>
      </c>
      <c r="B1388" s="1" t="s">
        <v>2470</v>
      </c>
      <c r="C1388" s="1" t="s">
        <v>695</v>
      </c>
      <c r="D1388" s="1" t="s">
        <v>770</v>
      </c>
      <c r="E1388" s="1" t="s">
        <v>906</v>
      </c>
    </row>
    <row r="1389" customFormat="false" ht="16" hidden="false" customHeight="false" outlineLevel="0" collapsed="false">
      <c r="A1389" s="1" t="s">
        <v>2474</v>
      </c>
      <c r="B1389" s="1" t="s">
        <v>2470</v>
      </c>
      <c r="C1389" s="1" t="s">
        <v>695</v>
      </c>
      <c r="D1389" s="1" t="s">
        <v>696</v>
      </c>
      <c r="E1389" s="1" t="s">
        <v>906</v>
      </c>
    </row>
    <row r="1390" customFormat="false" ht="16" hidden="false" customHeight="false" outlineLevel="0" collapsed="false">
      <c r="A1390" s="1" t="s">
        <v>2475</v>
      </c>
      <c r="B1390" s="1" t="s">
        <v>2476</v>
      </c>
      <c r="C1390" s="1" t="s">
        <v>695</v>
      </c>
      <c r="D1390" s="1" t="s">
        <v>764</v>
      </c>
      <c r="E1390" s="1" t="s">
        <v>906</v>
      </c>
    </row>
    <row r="1391" customFormat="false" ht="16" hidden="false" customHeight="false" outlineLevel="0" collapsed="false">
      <c r="A1391" s="1" t="s">
        <v>2477</v>
      </c>
      <c r="B1391" s="1" t="s">
        <v>2476</v>
      </c>
      <c r="C1391" s="1" t="s">
        <v>695</v>
      </c>
      <c r="D1391" s="1" t="s">
        <v>766</v>
      </c>
      <c r="E1391" s="1" t="s">
        <v>906</v>
      </c>
    </row>
    <row r="1392" customFormat="false" ht="16" hidden="false" customHeight="false" outlineLevel="0" collapsed="false">
      <c r="A1392" s="1" t="s">
        <v>2478</v>
      </c>
      <c r="B1392" s="1" t="s">
        <v>2476</v>
      </c>
      <c r="C1392" s="1" t="s">
        <v>695</v>
      </c>
      <c r="D1392" s="1" t="s">
        <v>768</v>
      </c>
      <c r="E1392" s="1" t="s">
        <v>906</v>
      </c>
    </row>
    <row r="1393" customFormat="false" ht="16" hidden="false" customHeight="false" outlineLevel="0" collapsed="false">
      <c r="A1393" s="1" t="s">
        <v>2479</v>
      </c>
      <c r="B1393" s="1" t="s">
        <v>2476</v>
      </c>
      <c r="C1393" s="1" t="s">
        <v>695</v>
      </c>
      <c r="D1393" s="1" t="s">
        <v>770</v>
      </c>
      <c r="E1393" s="1" t="s">
        <v>906</v>
      </c>
    </row>
    <row r="1394" customFormat="false" ht="16" hidden="false" customHeight="false" outlineLevel="0" collapsed="false">
      <c r="A1394" s="1" t="s">
        <v>2480</v>
      </c>
      <c r="B1394" s="1" t="s">
        <v>2476</v>
      </c>
      <c r="C1394" s="1" t="s">
        <v>695</v>
      </c>
      <c r="D1394" s="1" t="s">
        <v>696</v>
      </c>
      <c r="E1394" s="1" t="s">
        <v>906</v>
      </c>
    </row>
    <row r="1395" customFormat="false" ht="16" hidden="false" customHeight="false" outlineLevel="0" collapsed="false">
      <c r="A1395" s="1" t="s">
        <v>2481</v>
      </c>
      <c r="B1395" s="1" t="s">
        <v>2482</v>
      </c>
      <c r="C1395" s="1" t="s">
        <v>695</v>
      </c>
      <c r="D1395" s="1" t="s">
        <v>764</v>
      </c>
      <c r="E1395" s="1" t="s">
        <v>906</v>
      </c>
    </row>
    <row r="1396" customFormat="false" ht="16" hidden="false" customHeight="false" outlineLevel="0" collapsed="false">
      <c r="A1396" s="1" t="s">
        <v>2483</v>
      </c>
      <c r="B1396" s="1" t="s">
        <v>2482</v>
      </c>
      <c r="C1396" s="1" t="s">
        <v>695</v>
      </c>
      <c r="D1396" s="1" t="s">
        <v>766</v>
      </c>
      <c r="E1396" s="1" t="s">
        <v>906</v>
      </c>
    </row>
    <row r="1397" customFormat="false" ht="16" hidden="false" customHeight="false" outlineLevel="0" collapsed="false">
      <c r="A1397" s="1" t="s">
        <v>2484</v>
      </c>
      <c r="B1397" s="1" t="s">
        <v>2482</v>
      </c>
      <c r="C1397" s="1" t="s">
        <v>695</v>
      </c>
      <c r="D1397" s="1" t="s">
        <v>768</v>
      </c>
      <c r="E1397" s="1" t="s">
        <v>906</v>
      </c>
    </row>
    <row r="1398" customFormat="false" ht="16" hidden="false" customHeight="false" outlineLevel="0" collapsed="false">
      <c r="A1398" s="1" t="s">
        <v>2485</v>
      </c>
      <c r="B1398" s="1" t="s">
        <v>2482</v>
      </c>
      <c r="C1398" s="1" t="s">
        <v>695</v>
      </c>
      <c r="D1398" s="1" t="s">
        <v>770</v>
      </c>
      <c r="E1398" s="1" t="s">
        <v>906</v>
      </c>
    </row>
    <row r="1399" customFormat="false" ht="16" hidden="false" customHeight="false" outlineLevel="0" collapsed="false">
      <c r="A1399" s="1" t="s">
        <v>2486</v>
      </c>
      <c r="B1399" s="1" t="s">
        <v>2482</v>
      </c>
      <c r="C1399" s="1" t="s">
        <v>695</v>
      </c>
      <c r="D1399" s="1" t="s">
        <v>696</v>
      </c>
      <c r="E1399" s="1" t="s">
        <v>906</v>
      </c>
    </row>
    <row r="1400" customFormat="false" ht="16" hidden="false" customHeight="false" outlineLevel="0" collapsed="false">
      <c r="A1400" s="1" t="s">
        <v>2487</v>
      </c>
      <c r="B1400" s="1" t="s">
        <v>105</v>
      </c>
      <c r="C1400" s="1" t="s">
        <v>695</v>
      </c>
      <c r="D1400" s="1" t="s">
        <v>770</v>
      </c>
      <c r="E1400" s="1" t="s">
        <v>7</v>
      </c>
    </row>
    <row r="1401" customFormat="false" ht="16" hidden="false" customHeight="false" outlineLevel="0" collapsed="false">
      <c r="A1401" s="1" t="s">
        <v>2488</v>
      </c>
      <c r="B1401" s="1" t="s">
        <v>2489</v>
      </c>
      <c r="C1401" s="1" t="s">
        <v>695</v>
      </c>
      <c r="D1401" s="1" t="s">
        <v>764</v>
      </c>
      <c r="E1401" s="1" t="s">
        <v>906</v>
      </c>
    </row>
    <row r="1402" customFormat="false" ht="16" hidden="false" customHeight="false" outlineLevel="0" collapsed="false">
      <c r="A1402" s="1" t="s">
        <v>2490</v>
      </c>
      <c r="B1402" s="1" t="s">
        <v>2489</v>
      </c>
      <c r="C1402" s="1" t="s">
        <v>695</v>
      </c>
      <c r="D1402" s="1" t="s">
        <v>766</v>
      </c>
      <c r="E1402" s="1" t="s">
        <v>906</v>
      </c>
    </row>
    <row r="1403" customFormat="false" ht="16" hidden="false" customHeight="false" outlineLevel="0" collapsed="false">
      <c r="A1403" s="1" t="s">
        <v>2491</v>
      </c>
      <c r="B1403" s="1" t="s">
        <v>2489</v>
      </c>
      <c r="C1403" s="1" t="s">
        <v>695</v>
      </c>
      <c r="D1403" s="1" t="s">
        <v>768</v>
      </c>
      <c r="E1403" s="1" t="s">
        <v>906</v>
      </c>
    </row>
    <row r="1404" customFormat="false" ht="16" hidden="false" customHeight="false" outlineLevel="0" collapsed="false">
      <c r="A1404" s="1" t="s">
        <v>2492</v>
      </c>
      <c r="B1404" s="1" t="s">
        <v>2489</v>
      </c>
      <c r="C1404" s="1" t="s">
        <v>695</v>
      </c>
      <c r="D1404" s="1" t="s">
        <v>770</v>
      </c>
      <c r="E1404" s="1" t="s">
        <v>906</v>
      </c>
    </row>
    <row r="1405" customFormat="false" ht="16" hidden="false" customHeight="false" outlineLevel="0" collapsed="false">
      <c r="A1405" s="1" t="s">
        <v>2493</v>
      </c>
      <c r="B1405" s="1" t="s">
        <v>2489</v>
      </c>
      <c r="C1405" s="1" t="s">
        <v>695</v>
      </c>
      <c r="D1405" s="1" t="s">
        <v>696</v>
      </c>
      <c r="E1405" s="1" t="s">
        <v>906</v>
      </c>
    </row>
    <row r="1406" customFormat="false" ht="16" hidden="false" customHeight="false" outlineLevel="0" collapsed="false">
      <c r="A1406" s="1" t="s">
        <v>2494</v>
      </c>
      <c r="B1406" s="1" t="s">
        <v>2495</v>
      </c>
      <c r="C1406" s="1" t="s">
        <v>695</v>
      </c>
      <c r="D1406" s="1" t="s">
        <v>764</v>
      </c>
      <c r="E1406" s="1" t="s">
        <v>906</v>
      </c>
    </row>
    <row r="1407" customFormat="false" ht="16" hidden="false" customHeight="false" outlineLevel="0" collapsed="false">
      <c r="A1407" s="1" t="s">
        <v>2496</v>
      </c>
      <c r="B1407" s="1" t="s">
        <v>2495</v>
      </c>
      <c r="C1407" s="1" t="s">
        <v>695</v>
      </c>
      <c r="D1407" s="1" t="s">
        <v>766</v>
      </c>
      <c r="E1407" s="1" t="s">
        <v>906</v>
      </c>
    </row>
    <row r="1408" customFormat="false" ht="16" hidden="false" customHeight="false" outlineLevel="0" collapsed="false">
      <c r="A1408" s="1" t="s">
        <v>2497</v>
      </c>
      <c r="B1408" s="1" t="s">
        <v>2495</v>
      </c>
      <c r="C1408" s="1" t="s">
        <v>695</v>
      </c>
      <c r="D1408" s="1" t="s">
        <v>768</v>
      </c>
      <c r="E1408" s="1" t="s">
        <v>906</v>
      </c>
    </row>
    <row r="1409" customFormat="false" ht="16" hidden="false" customHeight="false" outlineLevel="0" collapsed="false">
      <c r="A1409" s="1" t="s">
        <v>2498</v>
      </c>
      <c r="B1409" s="1" t="s">
        <v>2495</v>
      </c>
      <c r="C1409" s="1" t="s">
        <v>695</v>
      </c>
      <c r="D1409" s="1" t="s">
        <v>770</v>
      </c>
      <c r="E1409" s="1" t="s">
        <v>906</v>
      </c>
    </row>
    <row r="1410" customFormat="false" ht="16" hidden="false" customHeight="false" outlineLevel="0" collapsed="false">
      <c r="A1410" s="1" t="s">
        <v>2499</v>
      </c>
      <c r="B1410" s="1" t="s">
        <v>2495</v>
      </c>
      <c r="C1410" s="1" t="s">
        <v>695</v>
      </c>
      <c r="D1410" s="1" t="s">
        <v>696</v>
      </c>
      <c r="E1410" s="1" t="s">
        <v>906</v>
      </c>
    </row>
    <row r="1411" customFormat="false" ht="16" hidden="false" customHeight="false" outlineLevel="0" collapsed="false">
      <c r="A1411" s="1" t="s">
        <v>2500</v>
      </c>
      <c r="B1411" s="1" t="s">
        <v>75</v>
      </c>
      <c r="C1411" s="1" t="s">
        <v>695</v>
      </c>
      <c r="D1411" s="1" t="s">
        <v>764</v>
      </c>
      <c r="E1411" s="1" t="s">
        <v>7</v>
      </c>
    </row>
    <row r="1412" customFormat="false" ht="16" hidden="false" customHeight="false" outlineLevel="0" collapsed="false">
      <c r="A1412" s="1" t="s">
        <v>2501</v>
      </c>
      <c r="B1412" s="1" t="s">
        <v>75</v>
      </c>
      <c r="C1412" s="1" t="s">
        <v>695</v>
      </c>
      <c r="D1412" s="1" t="s">
        <v>766</v>
      </c>
      <c r="E1412" s="1" t="s">
        <v>7</v>
      </c>
    </row>
    <row r="1413" customFormat="false" ht="16" hidden="false" customHeight="false" outlineLevel="0" collapsed="false">
      <c r="A1413" s="1" t="s">
        <v>2502</v>
      </c>
      <c r="B1413" s="1" t="s">
        <v>75</v>
      </c>
      <c r="C1413" s="1" t="s">
        <v>695</v>
      </c>
      <c r="D1413" s="1" t="s">
        <v>768</v>
      </c>
      <c r="E1413" s="1" t="s">
        <v>7</v>
      </c>
    </row>
    <row r="1414" customFormat="false" ht="16" hidden="false" customHeight="false" outlineLevel="0" collapsed="false">
      <c r="A1414" s="1" t="s">
        <v>2503</v>
      </c>
      <c r="B1414" s="1" t="s">
        <v>75</v>
      </c>
      <c r="C1414" s="1" t="s">
        <v>695</v>
      </c>
      <c r="D1414" s="1" t="s">
        <v>770</v>
      </c>
      <c r="E1414" s="1" t="s">
        <v>7</v>
      </c>
    </row>
    <row r="1415" customFormat="false" ht="16" hidden="false" customHeight="false" outlineLevel="0" collapsed="false">
      <c r="A1415" s="1" t="s">
        <v>2504</v>
      </c>
      <c r="B1415" s="1" t="s">
        <v>75</v>
      </c>
      <c r="C1415" s="1" t="s">
        <v>695</v>
      </c>
      <c r="D1415" s="1" t="s">
        <v>696</v>
      </c>
      <c r="E1415" s="1" t="s">
        <v>7</v>
      </c>
    </row>
    <row r="1416" customFormat="false" ht="16" hidden="false" customHeight="false" outlineLevel="0" collapsed="false">
      <c r="A1416" s="1" t="s">
        <v>2505</v>
      </c>
      <c r="B1416" s="1" t="s">
        <v>85</v>
      </c>
      <c r="C1416" s="1" t="s">
        <v>695</v>
      </c>
      <c r="D1416" s="1" t="s">
        <v>764</v>
      </c>
      <c r="E1416" s="1" t="s">
        <v>7</v>
      </c>
    </row>
    <row r="1417" customFormat="false" ht="16" hidden="false" customHeight="false" outlineLevel="0" collapsed="false">
      <c r="A1417" s="1" t="s">
        <v>2506</v>
      </c>
      <c r="B1417" s="1" t="s">
        <v>85</v>
      </c>
      <c r="C1417" s="1" t="s">
        <v>695</v>
      </c>
      <c r="D1417" s="1" t="s">
        <v>766</v>
      </c>
      <c r="E1417" s="1" t="s">
        <v>7</v>
      </c>
    </row>
    <row r="1418" customFormat="false" ht="16" hidden="false" customHeight="false" outlineLevel="0" collapsed="false">
      <c r="A1418" s="1" t="s">
        <v>2507</v>
      </c>
      <c r="B1418" s="1" t="s">
        <v>85</v>
      </c>
      <c r="C1418" s="1" t="s">
        <v>695</v>
      </c>
      <c r="D1418" s="1" t="s">
        <v>768</v>
      </c>
      <c r="E1418" s="1" t="s">
        <v>7</v>
      </c>
    </row>
    <row r="1419" customFormat="false" ht="16" hidden="false" customHeight="false" outlineLevel="0" collapsed="false">
      <c r="A1419" s="1" t="s">
        <v>2508</v>
      </c>
      <c r="B1419" s="1" t="s">
        <v>85</v>
      </c>
      <c r="C1419" s="1" t="s">
        <v>695</v>
      </c>
      <c r="D1419" s="1" t="s">
        <v>770</v>
      </c>
      <c r="E1419" s="1" t="s">
        <v>7</v>
      </c>
    </row>
    <row r="1420" customFormat="false" ht="16" hidden="false" customHeight="false" outlineLevel="0" collapsed="false">
      <c r="A1420" s="1" t="s">
        <v>2509</v>
      </c>
      <c r="B1420" s="1" t="s">
        <v>85</v>
      </c>
      <c r="C1420" s="1" t="s">
        <v>695</v>
      </c>
      <c r="D1420" s="1" t="s">
        <v>696</v>
      </c>
      <c r="E1420" s="1" t="s">
        <v>7</v>
      </c>
    </row>
    <row r="1421" customFormat="false" ht="16" hidden="false" customHeight="false" outlineLevel="0" collapsed="false">
      <c r="A1421" s="1" t="s">
        <v>2510</v>
      </c>
      <c r="B1421" s="1" t="s">
        <v>2511</v>
      </c>
      <c r="C1421" s="1" t="s">
        <v>695</v>
      </c>
      <c r="D1421" s="1" t="s">
        <v>768</v>
      </c>
      <c r="E1421" s="1" t="s">
        <v>7</v>
      </c>
    </row>
    <row r="1422" customFormat="false" ht="16" hidden="false" customHeight="false" outlineLevel="0" collapsed="false">
      <c r="A1422" s="1" t="s">
        <v>2512</v>
      </c>
      <c r="B1422" s="1" t="s">
        <v>73</v>
      </c>
      <c r="C1422" s="1" t="s">
        <v>695</v>
      </c>
      <c r="D1422" s="1" t="s">
        <v>764</v>
      </c>
      <c r="E1422" s="1" t="s">
        <v>7</v>
      </c>
    </row>
    <row r="1423" customFormat="false" ht="16" hidden="false" customHeight="false" outlineLevel="0" collapsed="false">
      <c r="A1423" s="1" t="s">
        <v>2513</v>
      </c>
      <c r="B1423" s="1" t="s">
        <v>73</v>
      </c>
      <c r="C1423" s="1" t="s">
        <v>695</v>
      </c>
      <c r="D1423" s="1" t="s">
        <v>766</v>
      </c>
      <c r="E1423" s="1" t="s">
        <v>7</v>
      </c>
    </row>
    <row r="1424" customFormat="false" ht="16" hidden="false" customHeight="false" outlineLevel="0" collapsed="false">
      <c r="A1424" s="1" t="s">
        <v>2514</v>
      </c>
      <c r="B1424" s="1" t="s">
        <v>73</v>
      </c>
      <c r="C1424" s="1" t="s">
        <v>695</v>
      </c>
      <c r="D1424" s="1" t="s">
        <v>768</v>
      </c>
      <c r="E1424" s="1" t="s">
        <v>7</v>
      </c>
    </row>
    <row r="1425" customFormat="false" ht="16" hidden="false" customHeight="false" outlineLevel="0" collapsed="false">
      <c r="A1425" s="1" t="s">
        <v>2515</v>
      </c>
      <c r="B1425" s="1" t="s">
        <v>73</v>
      </c>
      <c r="C1425" s="1" t="s">
        <v>695</v>
      </c>
      <c r="D1425" s="1" t="s">
        <v>770</v>
      </c>
      <c r="E1425" s="1" t="s">
        <v>7</v>
      </c>
    </row>
    <row r="1426" customFormat="false" ht="16" hidden="false" customHeight="false" outlineLevel="0" collapsed="false">
      <c r="A1426" s="1" t="s">
        <v>2516</v>
      </c>
      <c r="B1426" s="1" t="s">
        <v>73</v>
      </c>
      <c r="C1426" s="1" t="s">
        <v>695</v>
      </c>
      <c r="D1426" s="1" t="s">
        <v>696</v>
      </c>
      <c r="E1426" s="1" t="s">
        <v>7</v>
      </c>
    </row>
    <row r="1427" customFormat="false" ht="16" hidden="false" customHeight="false" outlineLevel="0" collapsed="false">
      <c r="A1427" s="1" t="s">
        <v>2517</v>
      </c>
      <c r="B1427" s="1" t="s">
        <v>2518</v>
      </c>
      <c r="C1427" s="1" t="s">
        <v>695</v>
      </c>
      <c r="D1427" s="1" t="s">
        <v>696</v>
      </c>
      <c r="E1427" s="1" t="s">
        <v>7</v>
      </c>
    </row>
    <row r="1428" customFormat="false" ht="16" hidden="false" customHeight="false" outlineLevel="0" collapsed="false">
      <c r="A1428" s="1" t="s">
        <v>2519</v>
      </c>
      <c r="B1428" s="1" t="s">
        <v>2520</v>
      </c>
      <c r="C1428" s="1" t="s">
        <v>695</v>
      </c>
      <c r="D1428" s="1" t="s">
        <v>764</v>
      </c>
      <c r="E1428" s="1" t="s">
        <v>7</v>
      </c>
    </row>
    <row r="1429" customFormat="false" ht="16" hidden="false" customHeight="false" outlineLevel="0" collapsed="false">
      <c r="A1429" s="1" t="s">
        <v>2521</v>
      </c>
      <c r="B1429" s="1" t="s">
        <v>2520</v>
      </c>
      <c r="C1429" s="1" t="s">
        <v>695</v>
      </c>
      <c r="D1429" s="1" t="s">
        <v>766</v>
      </c>
      <c r="E1429" s="1" t="s">
        <v>7</v>
      </c>
    </row>
    <row r="1430" customFormat="false" ht="16" hidden="false" customHeight="false" outlineLevel="0" collapsed="false">
      <c r="A1430" s="1" t="s">
        <v>2522</v>
      </c>
      <c r="B1430" s="1" t="s">
        <v>2520</v>
      </c>
      <c r="C1430" s="1" t="s">
        <v>695</v>
      </c>
      <c r="D1430" s="1" t="s">
        <v>768</v>
      </c>
      <c r="E1430" s="1" t="s">
        <v>7</v>
      </c>
    </row>
    <row r="1431" customFormat="false" ht="16" hidden="false" customHeight="false" outlineLevel="0" collapsed="false">
      <c r="A1431" s="1" t="s">
        <v>2523</v>
      </c>
      <c r="B1431" s="1" t="s">
        <v>2520</v>
      </c>
      <c r="C1431" s="1" t="s">
        <v>695</v>
      </c>
      <c r="D1431" s="1" t="s">
        <v>770</v>
      </c>
      <c r="E1431" s="1" t="s">
        <v>7</v>
      </c>
    </row>
    <row r="1432" customFormat="false" ht="16" hidden="false" customHeight="false" outlineLevel="0" collapsed="false">
      <c r="A1432" s="1" t="s">
        <v>2524</v>
      </c>
      <c r="B1432" s="1" t="s">
        <v>2520</v>
      </c>
      <c r="C1432" s="1" t="s">
        <v>695</v>
      </c>
      <c r="D1432" s="1" t="s">
        <v>696</v>
      </c>
      <c r="E1432" s="1" t="s">
        <v>7</v>
      </c>
    </row>
    <row r="1433" customFormat="false" ht="16" hidden="false" customHeight="false" outlineLevel="0" collapsed="false">
      <c r="A1433" s="1" t="s">
        <v>2525</v>
      </c>
      <c r="B1433" s="1" t="s">
        <v>31</v>
      </c>
      <c r="C1433" s="1" t="s">
        <v>695</v>
      </c>
      <c r="D1433" s="1" t="s">
        <v>764</v>
      </c>
      <c r="E1433" s="1" t="s">
        <v>7</v>
      </c>
    </row>
    <row r="1434" customFormat="false" ht="16" hidden="false" customHeight="false" outlineLevel="0" collapsed="false">
      <c r="A1434" s="1" t="s">
        <v>2526</v>
      </c>
      <c r="B1434" s="1" t="s">
        <v>31</v>
      </c>
      <c r="C1434" s="1" t="s">
        <v>695</v>
      </c>
      <c r="D1434" s="1" t="s">
        <v>766</v>
      </c>
      <c r="E1434" s="1" t="s">
        <v>7</v>
      </c>
    </row>
    <row r="1435" customFormat="false" ht="16" hidden="false" customHeight="false" outlineLevel="0" collapsed="false">
      <c r="A1435" s="1" t="s">
        <v>2527</v>
      </c>
      <c r="B1435" s="1" t="s">
        <v>31</v>
      </c>
      <c r="C1435" s="1" t="s">
        <v>695</v>
      </c>
      <c r="D1435" s="1" t="s">
        <v>768</v>
      </c>
      <c r="E1435" s="1" t="s">
        <v>7</v>
      </c>
    </row>
    <row r="1436" customFormat="false" ht="16" hidden="false" customHeight="false" outlineLevel="0" collapsed="false">
      <c r="A1436" s="1" t="s">
        <v>2528</v>
      </c>
      <c r="B1436" s="1" t="s">
        <v>31</v>
      </c>
      <c r="C1436" s="1" t="s">
        <v>695</v>
      </c>
      <c r="D1436" s="1" t="s">
        <v>770</v>
      </c>
      <c r="E1436" s="1" t="s">
        <v>7</v>
      </c>
    </row>
    <row r="1437" customFormat="false" ht="16" hidden="false" customHeight="false" outlineLevel="0" collapsed="false">
      <c r="A1437" s="1" t="s">
        <v>2529</v>
      </c>
      <c r="B1437" s="1" t="s">
        <v>31</v>
      </c>
      <c r="C1437" s="1" t="s">
        <v>695</v>
      </c>
      <c r="D1437" s="1" t="s">
        <v>696</v>
      </c>
      <c r="E1437" s="1" t="s">
        <v>7</v>
      </c>
    </row>
    <row r="1438" customFormat="false" ht="16" hidden="false" customHeight="false" outlineLevel="0" collapsed="false">
      <c r="A1438" s="1" t="s">
        <v>2530</v>
      </c>
      <c r="B1438" s="1" t="s">
        <v>2531</v>
      </c>
      <c r="C1438" s="1" t="s">
        <v>695</v>
      </c>
      <c r="D1438" s="1" t="s">
        <v>764</v>
      </c>
      <c r="E1438" s="1" t="s">
        <v>906</v>
      </c>
    </row>
    <row r="1439" customFormat="false" ht="16" hidden="false" customHeight="false" outlineLevel="0" collapsed="false">
      <c r="A1439" s="1" t="s">
        <v>2532</v>
      </c>
      <c r="B1439" s="1" t="s">
        <v>2531</v>
      </c>
      <c r="C1439" s="1" t="s">
        <v>695</v>
      </c>
      <c r="D1439" s="1" t="s">
        <v>766</v>
      </c>
      <c r="E1439" s="1" t="s">
        <v>906</v>
      </c>
    </row>
    <row r="1440" customFormat="false" ht="16" hidden="false" customHeight="false" outlineLevel="0" collapsed="false">
      <c r="A1440" s="1" t="s">
        <v>2533</v>
      </c>
      <c r="B1440" s="1" t="s">
        <v>2531</v>
      </c>
      <c r="C1440" s="1" t="s">
        <v>695</v>
      </c>
      <c r="D1440" s="1" t="s">
        <v>768</v>
      </c>
      <c r="E1440" s="1" t="s">
        <v>906</v>
      </c>
    </row>
    <row r="1441" customFormat="false" ht="16" hidden="false" customHeight="false" outlineLevel="0" collapsed="false">
      <c r="A1441" s="1" t="s">
        <v>2534</v>
      </c>
      <c r="B1441" s="1" t="s">
        <v>2531</v>
      </c>
      <c r="C1441" s="1" t="s">
        <v>695</v>
      </c>
      <c r="D1441" s="1" t="s">
        <v>770</v>
      </c>
      <c r="E1441" s="1" t="s">
        <v>906</v>
      </c>
    </row>
    <row r="1442" customFormat="false" ht="16" hidden="false" customHeight="false" outlineLevel="0" collapsed="false">
      <c r="A1442" s="1" t="s">
        <v>2535</v>
      </c>
      <c r="B1442" s="1" t="s">
        <v>2531</v>
      </c>
      <c r="C1442" s="1" t="s">
        <v>695</v>
      </c>
      <c r="D1442" s="1" t="s">
        <v>696</v>
      </c>
      <c r="E1442" s="1" t="s">
        <v>906</v>
      </c>
    </row>
    <row r="1443" customFormat="false" ht="16" hidden="false" customHeight="false" outlineLevel="0" collapsed="false">
      <c r="A1443" s="1" t="s">
        <v>2536</v>
      </c>
      <c r="B1443" s="1" t="s">
        <v>23</v>
      </c>
      <c r="C1443" s="1" t="s">
        <v>695</v>
      </c>
      <c r="D1443" s="1" t="s">
        <v>764</v>
      </c>
      <c r="E1443" s="1" t="s">
        <v>7</v>
      </c>
    </row>
    <row r="1444" customFormat="false" ht="16" hidden="false" customHeight="false" outlineLevel="0" collapsed="false">
      <c r="A1444" s="1" t="s">
        <v>2537</v>
      </c>
      <c r="B1444" s="1" t="s">
        <v>23</v>
      </c>
      <c r="C1444" s="1" t="s">
        <v>695</v>
      </c>
      <c r="D1444" s="1" t="s">
        <v>766</v>
      </c>
      <c r="E1444" s="1" t="s">
        <v>7</v>
      </c>
    </row>
    <row r="1445" customFormat="false" ht="16" hidden="false" customHeight="false" outlineLevel="0" collapsed="false">
      <c r="A1445" s="1" t="s">
        <v>2538</v>
      </c>
      <c r="B1445" s="1" t="s">
        <v>23</v>
      </c>
      <c r="C1445" s="1" t="s">
        <v>695</v>
      </c>
      <c r="D1445" s="1" t="s">
        <v>768</v>
      </c>
      <c r="E1445" s="1" t="s">
        <v>7</v>
      </c>
    </row>
    <row r="1446" customFormat="false" ht="16" hidden="false" customHeight="false" outlineLevel="0" collapsed="false">
      <c r="A1446" s="1" t="s">
        <v>2539</v>
      </c>
      <c r="B1446" s="1" t="s">
        <v>23</v>
      </c>
      <c r="C1446" s="1" t="s">
        <v>695</v>
      </c>
      <c r="D1446" s="1" t="s">
        <v>770</v>
      </c>
      <c r="E1446" s="1" t="s">
        <v>7</v>
      </c>
    </row>
    <row r="1447" customFormat="false" ht="16" hidden="false" customHeight="false" outlineLevel="0" collapsed="false">
      <c r="A1447" s="1" t="s">
        <v>2540</v>
      </c>
      <c r="B1447" s="1" t="s">
        <v>23</v>
      </c>
      <c r="C1447" s="1" t="s">
        <v>695</v>
      </c>
      <c r="D1447" s="1" t="s">
        <v>696</v>
      </c>
      <c r="E1447" s="1" t="s">
        <v>7</v>
      </c>
    </row>
    <row r="1448" customFormat="false" ht="16" hidden="false" customHeight="false" outlineLevel="0" collapsed="false">
      <c r="A1448" s="1" t="s">
        <v>2541</v>
      </c>
      <c r="B1448" s="1" t="s">
        <v>2542</v>
      </c>
      <c r="C1448" s="1" t="s">
        <v>695</v>
      </c>
      <c r="D1448" s="1" t="s">
        <v>764</v>
      </c>
      <c r="E1448" s="1" t="s">
        <v>7</v>
      </c>
    </row>
    <row r="1449" customFormat="false" ht="16" hidden="false" customHeight="false" outlineLevel="0" collapsed="false">
      <c r="A1449" s="1" t="s">
        <v>2543</v>
      </c>
      <c r="B1449" s="1" t="s">
        <v>2542</v>
      </c>
      <c r="C1449" s="1" t="s">
        <v>695</v>
      </c>
      <c r="D1449" s="1" t="s">
        <v>766</v>
      </c>
      <c r="E1449" s="1" t="s">
        <v>7</v>
      </c>
    </row>
    <row r="1450" customFormat="false" ht="16" hidden="false" customHeight="false" outlineLevel="0" collapsed="false">
      <c r="A1450" s="1" t="s">
        <v>2544</v>
      </c>
      <c r="B1450" s="1" t="s">
        <v>2542</v>
      </c>
      <c r="C1450" s="1" t="s">
        <v>695</v>
      </c>
      <c r="D1450" s="1" t="s">
        <v>768</v>
      </c>
      <c r="E1450" s="1" t="s">
        <v>7</v>
      </c>
    </row>
    <row r="1451" customFormat="false" ht="16" hidden="false" customHeight="false" outlineLevel="0" collapsed="false">
      <c r="A1451" s="1" t="s">
        <v>2545</v>
      </c>
      <c r="B1451" s="1" t="s">
        <v>2542</v>
      </c>
      <c r="C1451" s="1" t="s">
        <v>695</v>
      </c>
      <c r="D1451" s="1" t="s">
        <v>770</v>
      </c>
      <c r="E1451" s="1" t="s">
        <v>7</v>
      </c>
    </row>
    <row r="1452" customFormat="false" ht="16" hidden="false" customHeight="false" outlineLevel="0" collapsed="false">
      <c r="A1452" s="1" t="s">
        <v>2546</v>
      </c>
      <c r="B1452" s="1" t="s">
        <v>2542</v>
      </c>
      <c r="C1452" s="1" t="s">
        <v>695</v>
      </c>
      <c r="D1452" s="1" t="s">
        <v>696</v>
      </c>
      <c r="E1452" s="1" t="s">
        <v>7</v>
      </c>
    </row>
    <row r="1453" customFormat="false" ht="16" hidden="false" customHeight="false" outlineLevel="0" collapsed="false">
      <c r="A1453" s="1" t="s">
        <v>2547</v>
      </c>
      <c r="B1453" s="1" t="s">
        <v>2548</v>
      </c>
      <c r="C1453" s="1" t="s">
        <v>695</v>
      </c>
      <c r="D1453" s="1" t="s">
        <v>764</v>
      </c>
      <c r="E1453" s="1" t="s">
        <v>7</v>
      </c>
    </row>
    <row r="1454" customFormat="false" ht="16" hidden="false" customHeight="false" outlineLevel="0" collapsed="false">
      <c r="A1454" s="1" t="s">
        <v>2549</v>
      </c>
      <c r="B1454" s="1" t="s">
        <v>2548</v>
      </c>
      <c r="C1454" s="1" t="s">
        <v>695</v>
      </c>
      <c r="D1454" s="1" t="s">
        <v>766</v>
      </c>
      <c r="E1454" s="1" t="s">
        <v>7</v>
      </c>
    </row>
    <row r="1455" customFormat="false" ht="16" hidden="false" customHeight="false" outlineLevel="0" collapsed="false">
      <c r="A1455" s="1" t="s">
        <v>2550</v>
      </c>
      <c r="B1455" s="1" t="s">
        <v>2548</v>
      </c>
      <c r="C1455" s="1" t="s">
        <v>695</v>
      </c>
      <c r="D1455" s="1" t="s">
        <v>768</v>
      </c>
      <c r="E1455" s="1" t="s">
        <v>7</v>
      </c>
    </row>
    <row r="1456" customFormat="false" ht="16" hidden="false" customHeight="false" outlineLevel="0" collapsed="false">
      <c r="A1456" s="1" t="s">
        <v>2551</v>
      </c>
      <c r="B1456" s="1" t="s">
        <v>2548</v>
      </c>
      <c r="C1456" s="1" t="s">
        <v>695</v>
      </c>
      <c r="D1456" s="1" t="s">
        <v>770</v>
      </c>
      <c r="E1456" s="1" t="s">
        <v>7</v>
      </c>
    </row>
    <row r="1457" customFormat="false" ht="16" hidden="false" customHeight="false" outlineLevel="0" collapsed="false">
      <c r="A1457" s="1" t="s">
        <v>2552</v>
      </c>
      <c r="B1457" s="1" t="s">
        <v>2548</v>
      </c>
      <c r="C1457" s="1" t="s">
        <v>695</v>
      </c>
      <c r="D1457" s="1" t="s">
        <v>696</v>
      </c>
      <c r="E1457" s="1" t="s">
        <v>7</v>
      </c>
    </row>
    <row r="1458" customFormat="false" ht="16" hidden="false" customHeight="false" outlineLevel="0" collapsed="false">
      <c r="A1458" s="1" t="s">
        <v>2553</v>
      </c>
      <c r="B1458" s="1" t="s">
        <v>2554</v>
      </c>
      <c r="C1458" s="1" t="s">
        <v>695</v>
      </c>
      <c r="D1458" s="1" t="s">
        <v>764</v>
      </c>
      <c r="E1458" s="1" t="s">
        <v>7</v>
      </c>
    </row>
    <row r="1459" customFormat="false" ht="16" hidden="false" customHeight="false" outlineLevel="0" collapsed="false">
      <c r="A1459" s="1" t="s">
        <v>2555</v>
      </c>
      <c r="B1459" s="1" t="s">
        <v>2554</v>
      </c>
      <c r="C1459" s="1" t="s">
        <v>695</v>
      </c>
      <c r="D1459" s="1" t="s">
        <v>766</v>
      </c>
      <c r="E1459" s="1" t="s">
        <v>7</v>
      </c>
    </row>
    <row r="1460" customFormat="false" ht="16" hidden="false" customHeight="false" outlineLevel="0" collapsed="false">
      <c r="A1460" s="1" t="s">
        <v>2556</v>
      </c>
      <c r="B1460" s="1" t="s">
        <v>2554</v>
      </c>
      <c r="C1460" s="1" t="s">
        <v>695</v>
      </c>
      <c r="D1460" s="1" t="s">
        <v>768</v>
      </c>
      <c r="E1460" s="1" t="s">
        <v>7</v>
      </c>
    </row>
    <row r="1461" customFormat="false" ht="16" hidden="false" customHeight="false" outlineLevel="0" collapsed="false">
      <c r="A1461" s="1" t="s">
        <v>2557</v>
      </c>
      <c r="B1461" s="1" t="s">
        <v>2554</v>
      </c>
      <c r="C1461" s="1" t="s">
        <v>695</v>
      </c>
      <c r="D1461" s="1" t="s">
        <v>770</v>
      </c>
      <c r="E1461" s="1" t="s">
        <v>7</v>
      </c>
    </row>
    <row r="1462" customFormat="false" ht="16" hidden="false" customHeight="false" outlineLevel="0" collapsed="false">
      <c r="A1462" s="1" t="s">
        <v>2558</v>
      </c>
      <c r="B1462" s="1" t="s">
        <v>2554</v>
      </c>
      <c r="C1462" s="1" t="s">
        <v>695</v>
      </c>
      <c r="D1462" s="1" t="s">
        <v>696</v>
      </c>
      <c r="E1462" s="1" t="s">
        <v>7</v>
      </c>
    </row>
    <row r="1463" customFormat="false" ht="16" hidden="false" customHeight="false" outlineLevel="0" collapsed="false">
      <c r="A1463" s="1" t="s">
        <v>2559</v>
      </c>
      <c r="B1463" s="1" t="s">
        <v>2560</v>
      </c>
      <c r="C1463" s="1" t="s">
        <v>695</v>
      </c>
      <c r="D1463" s="1" t="s">
        <v>764</v>
      </c>
      <c r="E1463" s="1" t="s">
        <v>7</v>
      </c>
    </row>
    <row r="1464" customFormat="false" ht="16" hidden="false" customHeight="false" outlineLevel="0" collapsed="false">
      <c r="A1464" s="1" t="s">
        <v>2561</v>
      </c>
      <c r="B1464" s="1" t="s">
        <v>2560</v>
      </c>
      <c r="C1464" s="1" t="s">
        <v>695</v>
      </c>
      <c r="D1464" s="1" t="s">
        <v>766</v>
      </c>
      <c r="E1464" s="1" t="s">
        <v>7</v>
      </c>
    </row>
    <row r="1465" customFormat="false" ht="16" hidden="false" customHeight="false" outlineLevel="0" collapsed="false">
      <c r="A1465" s="1" t="s">
        <v>2562</v>
      </c>
      <c r="B1465" s="1" t="s">
        <v>2560</v>
      </c>
      <c r="C1465" s="1" t="s">
        <v>695</v>
      </c>
      <c r="D1465" s="1" t="s">
        <v>768</v>
      </c>
      <c r="E1465" s="1" t="s">
        <v>7</v>
      </c>
    </row>
    <row r="1466" customFormat="false" ht="16" hidden="false" customHeight="false" outlineLevel="0" collapsed="false">
      <c r="A1466" s="1" t="s">
        <v>2563</v>
      </c>
      <c r="B1466" s="1" t="s">
        <v>2560</v>
      </c>
      <c r="C1466" s="1" t="s">
        <v>695</v>
      </c>
      <c r="D1466" s="1" t="s">
        <v>770</v>
      </c>
      <c r="E1466" s="1" t="s">
        <v>7</v>
      </c>
    </row>
    <row r="1467" customFormat="false" ht="16" hidden="false" customHeight="false" outlineLevel="0" collapsed="false">
      <c r="A1467" s="1" t="s">
        <v>2564</v>
      </c>
      <c r="B1467" s="1" t="s">
        <v>2560</v>
      </c>
      <c r="C1467" s="1" t="s">
        <v>695</v>
      </c>
      <c r="D1467" s="1" t="s">
        <v>696</v>
      </c>
      <c r="E1467" s="1" t="s">
        <v>7</v>
      </c>
    </row>
    <row r="1468" customFormat="false" ht="16" hidden="false" customHeight="false" outlineLevel="0" collapsed="false">
      <c r="A1468" s="1" t="s">
        <v>2565</v>
      </c>
      <c r="B1468" s="1" t="s">
        <v>2566</v>
      </c>
      <c r="C1468" s="1" t="s">
        <v>695</v>
      </c>
      <c r="D1468" s="1" t="s">
        <v>764</v>
      </c>
      <c r="E1468" s="1" t="s">
        <v>7</v>
      </c>
    </row>
    <row r="1469" customFormat="false" ht="16" hidden="false" customHeight="false" outlineLevel="0" collapsed="false">
      <c r="A1469" s="1" t="s">
        <v>2567</v>
      </c>
      <c r="B1469" s="1" t="s">
        <v>2566</v>
      </c>
      <c r="C1469" s="1" t="s">
        <v>695</v>
      </c>
      <c r="D1469" s="1" t="s">
        <v>766</v>
      </c>
      <c r="E1469" s="1" t="s">
        <v>7</v>
      </c>
    </row>
    <row r="1470" customFormat="false" ht="16" hidden="false" customHeight="false" outlineLevel="0" collapsed="false">
      <c r="A1470" s="1" t="s">
        <v>2568</v>
      </c>
      <c r="B1470" s="1" t="s">
        <v>2566</v>
      </c>
      <c r="C1470" s="1" t="s">
        <v>695</v>
      </c>
      <c r="D1470" s="1" t="s">
        <v>768</v>
      </c>
      <c r="E1470" s="1" t="s">
        <v>7</v>
      </c>
    </row>
    <row r="1471" customFormat="false" ht="16" hidden="false" customHeight="false" outlineLevel="0" collapsed="false">
      <c r="A1471" s="1" t="s">
        <v>2569</v>
      </c>
      <c r="B1471" s="1" t="s">
        <v>2566</v>
      </c>
      <c r="C1471" s="1" t="s">
        <v>695</v>
      </c>
      <c r="D1471" s="1" t="s">
        <v>770</v>
      </c>
      <c r="E1471" s="1" t="s">
        <v>7</v>
      </c>
    </row>
    <row r="1472" customFormat="false" ht="16" hidden="false" customHeight="false" outlineLevel="0" collapsed="false">
      <c r="A1472" s="1" t="s">
        <v>2570</v>
      </c>
      <c r="B1472" s="1" t="s">
        <v>2566</v>
      </c>
      <c r="C1472" s="1" t="s">
        <v>695</v>
      </c>
      <c r="D1472" s="1" t="s">
        <v>696</v>
      </c>
      <c r="E1472" s="1" t="s">
        <v>7</v>
      </c>
    </row>
    <row r="1473" customFormat="false" ht="16" hidden="false" customHeight="false" outlineLevel="0" collapsed="false">
      <c r="A1473" s="1" t="s">
        <v>2571</v>
      </c>
      <c r="B1473" s="1" t="s">
        <v>2572</v>
      </c>
      <c r="C1473" s="1" t="s">
        <v>695</v>
      </c>
      <c r="D1473" s="1" t="s">
        <v>764</v>
      </c>
      <c r="E1473" s="1" t="s">
        <v>7</v>
      </c>
    </row>
    <row r="1474" customFormat="false" ht="16" hidden="false" customHeight="false" outlineLevel="0" collapsed="false">
      <c r="A1474" s="1" t="s">
        <v>2573</v>
      </c>
      <c r="B1474" s="1" t="s">
        <v>2572</v>
      </c>
      <c r="C1474" s="1" t="s">
        <v>695</v>
      </c>
      <c r="D1474" s="1" t="s">
        <v>766</v>
      </c>
      <c r="E1474" s="1" t="s">
        <v>7</v>
      </c>
    </row>
    <row r="1475" customFormat="false" ht="16" hidden="false" customHeight="false" outlineLevel="0" collapsed="false">
      <c r="A1475" s="1" t="s">
        <v>2574</v>
      </c>
      <c r="B1475" s="1" t="s">
        <v>2572</v>
      </c>
      <c r="C1475" s="1" t="s">
        <v>695</v>
      </c>
      <c r="D1475" s="1" t="s">
        <v>768</v>
      </c>
      <c r="E1475" s="1" t="s">
        <v>7</v>
      </c>
    </row>
    <row r="1476" customFormat="false" ht="16" hidden="false" customHeight="false" outlineLevel="0" collapsed="false">
      <c r="A1476" s="1" t="s">
        <v>2575</v>
      </c>
      <c r="B1476" s="1" t="s">
        <v>2572</v>
      </c>
      <c r="C1476" s="1" t="s">
        <v>695</v>
      </c>
      <c r="D1476" s="1" t="s">
        <v>770</v>
      </c>
      <c r="E1476" s="1" t="s">
        <v>7</v>
      </c>
    </row>
    <row r="1477" customFormat="false" ht="16" hidden="false" customHeight="false" outlineLevel="0" collapsed="false">
      <c r="A1477" s="1" t="s">
        <v>2576</v>
      </c>
      <c r="B1477" s="1" t="s">
        <v>2572</v>
      </c>
      <c r="C1477" s="1" t="s">
        <v>695</v>
      </c>
      <c r="D1477" s="1" t="s">
        <v>696</v>
      </c>
      <c r="E1477" s="1" t="s">
        <v>7</v>
      </c>
    </row>
    <row r="1478" customFormat="false" ht="16" hidden="false" customHeight="false" outlineLevel="0" collapsed="false">
      <c r="A1478" s="1" t="s">
        <v>2577</v>
      </c>
      <c r="B1478" s="1" t="s">
        <v>2578</v>
      </c>
      <c r="C1478" s="1" t="s">
        <v>695</v>
      </c>
      <c r="D1478" s="1" t="s">
        <v>764</v>
      </c>
      <c r="E1478" s="1" t="s">
        <v>7</v>
      </c>
    </row>
    <row r="1479" customFormat="false" ht="16" hidden="false" customHeight="false" outlineLevel="0" collapsed="false">
      <c r="A1479" s="1" t="s">
        <v>2579</v>
      </c>
      <c r="B1479" s="1" t="s">
        <v>2578</v>
      </c>
      <c r="C1479" s="1" t="s">
        <v>695</v>
      </c>
      <c r="D1479" s="1" t="s">
        <v>766</v>
      </c>
      <c r="E1479" s="1" t="s">
        <v>7</v>
      </c>
    </row>
    <row r="1480" customFormat="false" ht="16" hidden="false" customHeight="false" outlineLevel="0" collapsed="false">
      <c r="A1480" s="1" t="s">
        <v>2580</v>
      </c>
      <c r="B1480" s="1" t="s">
        <v>2578</v>
      </c>
      <c r="C1480" s="1" t="s">
        <v>695</v>
      </c>
      <c r="D1480" s="1" t="s">
        <v>768</v>
      </c>
      <c r="E1480" s="1" t="s">
        <v>7</v>
      </c>
    </row>
    <row r="1481" customFormat="false" ht="16" hidden="false" customHeight="false" outlineLevel="0" collapsed="false">
      <c r="A1481" s="1" t="s">
        <v>2581</v>
      </c>
      <c r="B1481" s="1" t="s">
        <v>2578</v>
      </c>
      <c r="C1481" s="1" t="s">
        <v>695</v>
      </c>
      <c r="D1481" s="1" t="s">
        <v>770</v>
      </c>
      <c r="E1481" s="1" t="s">
        <v>7</v>
      </c>
    </row>
    <row r="1482" customFormat="false" ht="16" hidden="false" customHeight="false" outlineLevel="0" collapsed="false">
      <c r="A1482" s="1" t="s">
        <v>2582</v>
      </c>
      <c r="B1482" s="1" t="s">
        <v>2578</v>
      </c>
      <c r="C1482" s="1" t="s">
        <v>695</v>
      </c>
      <c r="D1482" s="1" t="s">
        <v>696</v>
      </c>
      <c r="E1482" s="1" t="s">
        <v>7</v>
      </c>
    </row>
    <row r="1483" customFormat="false" ht="16" hidden="false" customHeight="false" outlineLevel="0" collapsed="false">
      <c r="A1483" s="1" t="s">
        <v>2583</v>
      </c>
      <c r="B1483" s="1" t="s">
        <v>93</v>
      </c>
      <c r="C1483" s="1" t="s">
        <v>695</v>
      </c>
      <c r="D1483" s="1" t="s">
        <v>764</v>
      </c>
      <c r="E1483" s="1" t="s">
        <v>7</v>
      </c>
    </row>
    <row r="1484" customFormat="false" ht="16" hidden="false" customHeight="false" outlineLevel="0" collapsed="false">
      <c r="A1484" s="1" t="s">
        <v>2584</v>
      </c>
      <c r="B1484" s="1" t="s">
        <v>93</v>
      </c>
      <c r="C1484" s="1" t="s">
        <v>695</v>
      </c>
      <c r="D1484" s="1" t="s">
        <v>766</v>
      </c>
      <c r="E1484" s="1" t="s">
        <v>7</v>
      </c>
    </row>
    <row r="1485" customFormat="false" ht="16" hidden="false" customHeight="false" outlineLevel="0" collapsed="false">
      <c r="A1485" s="1" t="s">
        <v>2585</v>
      </c>
      <c r="B1485" s="1" t="s">
        <v>93</v>
      </c>
      <c r="C1485" s="1" t="s">
        <v>695</v>
      </c>
      <c r="D1485" s="1" t="s">
        <v>768</v>
      </c>
      <c r="E1485" s="1" t="s">
        <v>7</v>
      </c>
    </row>
    <row r="1486" customFormat="false" ht="16" hidden="false" customHeight="false" outlineLevel="0" collapsed="false">
      <c r="A1486" s="1" t="s">
        <v>2586</v>
      </c>
      <c r="B1486" s="1" t="s">
        <v>93</v>
      </c>
      <c r="C1486" s="1" t="s">
        <v>695</v>
      </c>
      <c r="D1486" s="1" t="s">
        <v>770</v>
      </c>
      <c r="E1486" s="1" t="s">
        <v>7</v>
      </c>
    </row>
    <row r="1487" customFormat="false" ht="16" hidden="false" customHeight="false" outlineLevel="0" collapsed="false">
      <c r="A1487" s="1" t="s">
        <v>2587</v>
      </c>
      <c r="B1487" s="1" t="s">
        <v>93</v>
      </c>
      <c r="C1487" s="1" t="s">
        <v>695</v>
      </c>
      <c r="D1487" s="1" t="s">
        <v>696</v>
      </c>
      <c r="E1487" s="1" t="s">
        <v>7</v>
      </c>
    </row>
    <row r="1488" customFormat="false" ht="16" hidden="false" customHeight="false" outlineLevel="0" collapsed="false">
      <c r="A1488" s="1" t="s">
        <v>2588</v>
      </c>
      <c r="B1488" s="1" t="s">
        <v>2589</v>
      </c>
      <c r="C1488" s="1" t="s">
        <v>695</v>
      </c>
      <c r="D1488" s="1" t="s">
        <v>764</v>
      </c>
      <c r="E1488" s="1" t="s">
        <v>906</v>
      </c>
    </row>
    <row r="1489" customFormat="false" ht="16" hidden="false" customHeight="false" outlineLevel="0" collapsed="false">
      <c r="A1489" s="1" t="s">
        <v>2590</v>
      </c>
      <c r="B1489" s="1" t="s">
        <v>2589</v>
      </c>
      <c r="C1489" s="1" t="s">
        <v>695</v>
      </c>
      <c r="D1489" s="1" t="s">
        <v>766</v>
      </c>
      <c r="E1489" s="1" t="s">
        <v>906</v>
      </c>
    </row>
    <row r="1490" customFormat="false" ht="16" hidden="false" customHeight="false" outlineLevel="0" collapsed="false">
      <c r="A1490" s="1" t="s">
        <v>2591</v>
      </c>
      <c r="B1490" s="1" t="s">
        <v>2589</v>
      </c>
      <c r="C1490" s="1" t="s">
        <v>695</v>
      </c>
      <c r="D1490" s="1" t="s">
        <v>768</v>
      </c>
      <c r="E1490" s="1" t="s">
        <v>906</v>
      </c>
    </row>
    <row r="1491" customFormat="false" ht="16" hidden="false" customHeight="false" outlineLevel="0" collapsed="false">
      <c r="A1491" s="1" t="s">
        <v>2592</v>
      </c>
      <c r="B1491" s="1" t="s">
        <v>2589</v>
      </c>
      <c r="C1491" s="1" t="s">
        <v>695</v>
      </c>
      <c r="D1491" s="1" t="s">
        <v>770</v>
      </c>
      <c r="E1491" s="1" t="s">
        <v>906</v>
      </c>
    </row>
    <row r="1492" customFormat="false" ht="16" hidden="false" customHeight="false" outlineLevel="0" collapsed="false">
      <c r="A1492" s="1" t="s">
        <v>2593</v>
      </c>
      <c r="B1492" s="1" t="s">
        <v>2589</v>
      </c>
      <c r="C1492" s="1" t="s">
        <v>695</v>
      </c>
      <c r="D1492" s="1" t="s">
        <v>696</v>
      </c>
      <c r="E1492" s="1" t="s">
        <v>906</v>
      </c>
    </row>
    <row r="1493" customFormat="false" ht="16" hidden="false" customHeight="false" outlineLevel="0" collapsed="false">
      <c r="A1493" s="1" t="s">
        <v>2594</v>
      </c>
      <c r="B1493" s="1" t="s">
        <v>2595</v>
      </c>
      <c r="C1493" s="1" t="s">
        <v>695</v>
      </c>
      <c r="D1493" s="1" t="s">
        <v>764</v>
      </c>
      <c r="E1493" s="1" t="s">
        <v>906</v>
      </c>
    </row>
    <row r="1494" customFormat="false" ht="16" hidden="false" customHeight="false" outlineLevel="0" collapsed="false">
      <c r="A1494" s="1" t="s">
        <v>2596</v>
      </c>
      <c r="B1494" s="1" t="s">
        <v>2595</v>
      </c>
      <c r="C1494" s="1" t="s">
        <v>695</v>
      </c>
      <c r="D1494" s="1" t="s">
        <v>766</v>
      </c>
      <c r="E1494" s="1" t="s">
        <v>906</v>
      </c>
    </row>
    <row r="1495" customFormat="false" ht="16" hidden="false" customHeight="false" outlineLevel="0" collapsed="false">
      <c r="A1495" s="1" t="s">
        <v>2597</v>
      </c>
      <c r="B1495" s="1" t="s">
        <v>2595</v>
      </c>
      <c r="C1495" s="1" t="s">
        <v>695</v>
      </c>
      <c r="D1495" s="1" t="s">
        <v>768</v>
      </c>
      <c r="E1495" s="1" t="s">
        <v>906</v>
      </c>
    </row>
    <row r="1496" customFormat="false" ht="16" hidden="false" customHeight="false" outlineLevel="0" collapsed="false">
      <c r="A1496" s="1" t="s">
        <v>2598</v>
      </c>
      <c r="B1496" s="1" t="s">
        <v>2595</v>
      </c>
      <c r="C1496" s="1" t="s">
        <v>695</v>
      </c>
      <c r="D1496" s="1" t="s">
        <v>770</v>
      </c>
      <c r="E1496" s="1" t="s">
        <v>906</v>
      </c>
    </row>
    <row r="1497" customFormat="false" ht="16" hidden="false" customHeight="false" outlineLevel="0" collapsed="false">
      <c r="A1497" s="1" t="s">
        <v>2599</v>
      </c>
      <c r="B1497" s="1" t="s">
        <v>2595</v>
      </c>
      <c r="C1497" s="1" t="s">
        <v>695</v>
      </c>
      <c r="D1497" s="1" t="s">
        <v>696</v>
      </c>
      <c r="E1497" s="1" t="s">
        <v>906</v>
      </c>
    </row>
    <row r="1498" customFormat="false" ht="16" hidden="false" customHeight="false" outlineLevel="0" collapsed="false">
      <c r="A1498" s="1" t="s">
        <v>2600</v>
      </c>
      <c r="B1498" s="1" t="s">
        <v>2601</v>
      </c>
      <c r="C1498" s="1" t="s">
        <v>695</v>
      </c>
      <c r="D1498" s="1" t="s">
        <v>764</v>
      </c>
      <c r="E1498" s="1" t="s">
        <v>7</v>
      </c>
    </row>
    <row r="1499" customFormat="false" ht="16" hidden="false" customHeight="false" outlineLevel="0" collapsed="false">
      <c r="A1499" s="1" t="s">
        <v>2602</v>
      </c>
      <c r="B1499" s="1" t="s">
        <v>2601</v>
      </c>
      <c r="C1499" s="1" t="s">
        <v>695</v>
      </c>
      <c r="D1499" s="1" t="s">
        <v>766</v>
      </c>
      <c r="E1499" s="1" t="s">
        <v>7</v>
      </c>
    </row>
    <row r="1500" customFormat="false" ht="16" hidden="false" customHeight="false" outlineLevel="0" collapsed="false">
      <c r="A1500" s="1" t="s">
        <v>2603</v>
      </c>
      <c r="B1500" s="1" t="s">
        <v>2601</v>
      </c>
      <c r="C1500" s="1" t="s">
        <v>695</v>
      </c>
      <c r="D1500" s="1" t="s">
        <v>768</v>
      </c>
      <c r="E1500" s="1" t="s">
        <v>7</v>
      </c>
    </row>
    <row r="1501" customFormat="false" ht="16" hidden="false" customHeight="false" outlineLevel="0" collapsed="false">
      <c r="A1501" s="1" t="s">
        <v>2604</v>
      </c>
      <c r="B1501" s="1" t="s">
        <v>2601</v>
      </c>
      <c r="C1501" s="1" t="s">
        <v>695</v>
      </c>
      <c r="D1501" s="1" t="s">
        <v>770</v>
      </c>
      <c r="E1501" s="1" t="s">
        <v>7</v>
      </c>
    </row>
    <row r="1502" customFormat="false" ht="16" hidden="false" customHeight="false" outlineLevel="0" collapsed="false">
      <c r="A1502" s="1" t="s">
        <v>2605</v>
      </c>
      <c r="B1502" s="1" t="s">
        <v>2601</v>
      </c>
      <c r="C1502" s="1" t="s">
        <v>695</v>
      </c>
      <c r="D1502" s="1" t="s">
        <v>696</v>
      </c>
      <c r="E1502" s="1" t="s">
        <v>7</v>
      </c>
    </row>
    <row r="1503" customFormat="false" ht="16" hidden="false" customHeight="false" outlineLevel="0" collapsed="false">
      <c r="A1503" s="1" t="s">
        <v>2606</v>
      </c>
      <c r="B1503" s="1" t="s">
        <v>2607</v>
      </c>
      <c r="C1503" s="1" t="s">
        <v>695</v>
      </c>
      <c r="D1503" s="1" t="s">
        <v>764</v>
      </c>
      <c r="E1503" s="1" t="s">
        <v>7</v>
      </c>
    </row>
    <row r="1504" customFormat="false" ht="16" hidden="false" customHeight="false" outlineLevel="0" collapsed="false">
      <c r="A1504" s="1" t="s">
        <v>2608</v>
      </c>
      <c r="B1504" s="1" t="s">
        <v>2607</v>
      </c>
      <c r="C1504" s="1" t="s">
        <v>695</v>
      </c>
      <c r="D1504" s="1" t="s">
        <v>766</v>
      </c>
      <c r="E1504" s="1" t="s">
        <v>7</v>
      </c>
    </row>
    <row r="1505" customFormat="false" ht="16" hidden="false" customHeight="false" outlineLevel="0" collapsed="false">
      <c r="A1505" s="1" t="s">
        <v>2609</v>
      </c>
      <c r="B1505" s="1" t="s">
        <v>2607</v>
      </c>
      <c r="C1505" s="1" t="s">
        <v>695</v>
      </c>
      <c r="D1505" s="1" t="s">
        <v>768</v>
      </c>
      <c r="E1505" s="1" t="s">
        <v>7</v>
      </c>
    </row>
    <row r="1506" customFormat="false" ht="16" hidden="false" customHeight="false" outlineLevel="0" collapsed="false">
      <c r="A1506" s="1" t="s">
        <v>2610</v>
      </c>
      <c r="B1506" s="1" t="s">
        <v>2607</v>
      </c>
      <c r="C1506" s="1" t="s">
        <v>695</v>
      </c>
      <c r="D1506" s="1" t="s">
        <v>770</v>
      </c>
      <c r="E1506" s="1" t="s">
        <v>7</v>
      </c>
    </row>
    <row r="1507" customFormat="false" ht="16" hidden="false" customHeight="false" outlineLevel="0" collapsed="false">
      <c r="A1507" s="1" t="s">
        <v>2611</v>
      </c>
      <c r="B1507" s="1" t="s">
        <v>2607</v>
      </c>
      <c r="C1507" s="1" t="s">
        <v>695</v>
      </c>
      <c r="D1507" s="1" t="s">
        <v>696</v>
      </c>
      <c r="E1507" s="1" t="s">
        <v>7</v>
      </c>
    </row>
    <row r="1508" customFormat="false" ht="16" hidden="false" customHeight="false" outlineLevel="0" collapsed="false">
      <c r="A1508" s="1" t="s">
        <v>2612</v>
      </c>
      <c r="B1508" s="1" t="s">
        <v>2613</v>
      </c>
      <c r="C1508" s="1" t="s">
        <v>695</v>
      </c>
      <c r="D1508" s="1" t="s">
        <v>768</v>
      </c>
      <c r="E1508" s="1" t="s">
        <v>7</v>
      </c>
    </row>
    <row r="1509" customFormat="false" ht="16" hidden="false" customHeight="false" outlineLevel="0" collapsed="false">
      <c r="A1509" s="1" t="s">
        <v>2614</v>
      </c>
      <c r="B1509" s="1" t="s">
        <v>2615</v>
      </c>
      <c r="C1509" s="1" t="s">
        <v>695</v>
      </c>
      <c r="D1509" s="1" t="s">
        <v>764</v>
      </c>
      <c r="E1509" s="1" t="s">
        <v>7</v>
      </c>
    </row>
    <row r="1510" customFormat="false" ht="16" hidden="false" customHeight="false" outlineLevel="0" collapsed="false">
      <c r="A1510" s="1" t="s">
        <v>2616</v>
      </c>
      <c r="B1510" s="1" t="s">
        <v>2615</v>
      </c>
      <c r="C1510" s="1" t="s">
        <v>695</v>
      </c>
      <c r="D1510" s="1" t="s">
        <v>766</v>
      </c>
      <c r="E1510" s="1" t="s">
        <v>7</v>
      </c>
    </row>
    <row r="1511" customFormat="false" ht="16" hidden="false" customHeight="false" outlineLevel="0" collapsed="false">
      <c r="A1511" s="1" t="s">
        <v>2617</v>
      </c>
      <c r="B1511" s="1" t="s">
        <v>2615</v>
      </c>
      <c r="C1511" s="1" t="s">
        <v>695</v>
      </c>
      <c r="D1511" s="1" t="s">
        <v>768</v>
      </c>
      <c r="E1511" s="1" t="s">
        <v>7</v>
      </c>
    </row>
    <row r="1512" customFormat="false" ht="16" hidden="false" customHeight="false" outlineLevel="0" collapsed="false">
      <c r="A1512" s="1" t="s">
        <v>2618</v>
      </c>
      <c r="B1512" s="1" t="s">
        <v>2615</v>
      </c>
      <c r="C1512" s="1" t="s">
        <v>695</v>
      </c>
      <c r="D1512" s="1" t="s">
        <v>770</v>
      </c>
      <c r="E1512" s="1" t="s">
        <v>7</v>
      </c>
    </row>
    <row r="1513" customFormat="false" ht="16" hidden="false" customHeight="false" outlineLevel="0" collapsed="false">
      <c r="A1513" s="1" t="s">
        <v>2619</v>
      </c>
      <c r="B1513" s="1" t="s">
        <v>2615</v>
      </c>
      <c r="C1513" s="1" t="s">
        <v>695</v>
      </c>
      <c r="D1513" s="1" t="s">
        <v>696</v>
      </c>
      <c r="E1513" s="1" t="s">
        <v>7</v>
      </c>
    </row>
    <row r="1514" customFormat="false" ht="16" hidden="false" customHeight="false" outlineLevel="0" collapsed="false">
      <c r="A1514" s="1" t="s">
        <v>2620</v>
      </c>
      <c r="B1514" s="1" t="s">
        <v>2621</v>
      </c>
      <c r="C1514" s="1" t="s">
        <v>695</v>
      </c>
      <c r="D1514" s="1" t="s">
        <v>764</v>
      </c>
      <c r="E1514" s="1" t="s">
        <v>7</v>
      </c>
    </row>
    <row r="1515" customFormat="false" ht="16" hidden="false" customHeight="false" outlineLevel="0" collapsed="false">
      <c r="A1515" s="1" t="s">
        <v>2622</v>
      </c>
      <c r="B1515" s="1" t="s">
        <v>2621</v>
      </c>
      <c r="C1515" s="1" t="s">
        <v>695</v>
      </c>
      <c r="D1515" s="1" t="s">
        <v>766</v>
      </c>
      <c r="E1515" s="1" t="s">
        <v>7</v>
      </c>
    </row>
    <row r="1516" customFormat="false" ht="16" hidden="false" customHeight="false" outlineLevel="0" collapsed="false">
      <c r="A1516" s="1" t="s">
        <v>2623</v>
      </c>
      <c r="B1516" s="1" t="s">
        <v>2621</v>
      </c>
      <c r="C1516" s="1" t="s">
        <v>695</v>
      </c>
      <c r="D1516" s="1" t="s">
        <v>768</v>
      </c>
      <c r="E1516" s="1" t="s">
        <v>7</v>
      </c>
    </row>
    <row r="1517" customFormat="false" ht="16" hidden="false" customHeight="false" outlineLevel="0" collapsed="false">
      <c r="A1517" s="1" t="s">
        <v>2624</v>
      </c>
      <c r="B1517" s="1" t="s">
        <v>2621</v>
      </c>
      <c r="C1517" s="1" t="s">
        <v>695</v>
      </c>
      <c r="D1517" s="1" t="s">
        <v>770</v>
      </c>
      <c r="E1517" s="1" t="s">
        <v>7</v>
      </c>
    </row>
    <row r="1518" customFormat="false" ht="16" hidden="false" customHeight="false" outlineLevel="0" collapsed="false">
      <c r="A1518" s="1" t="s">
        <v>2625</v>
      </c>
      <c r="B1518" s="1" t="s">
        <v>2621</v>
      </c>
      <c r="C1518" s="1" t="s">
        <v>695</v>
      </c>
      <c r="D1518" s="1" t="s">
        <v>696</v>
      </c>
      <c r="E1518" s="1" t="s">
        <v>7</v>
      </c>
    </row>
    <row r="1519" customFormat="false" ht="16" hidden="false" customHeight="false" outlineLevel="0" collapsed="false">
      <c r="A1519" s="1" t="s">
        <v>2626</v>
      </c>
      <c r="B1519" s="1" t="s">
        <v>2627</v>
      </c>
      <c r="C1519" s="1" t="s">
        <v>695</v>
      </c>
      <c r="D1519" s="1" t="s">
        <v>770</v>
      </c>
      <c r="E1519" s="1" t="s">
        <v>7</v>
      </c>
    </row>
    <row r="1520" customFormat="false" ht="16" hidden="false" customHeight="false" outlineLevel="0" collapsed="false">
      <c r="A1520" s="1" t="s">
        <v>2628</v>
      </c>
      <c r="B1520" s="1" t="s">
        <v>2629</v>
      </c>
      <c r="C1520" s="1" t="s">
        <v>695</v>
      </c>
      <c r="D1520" s="1" t="s">
        <v>764</v>
      </c>
      <c r="E1520" s="1" t="s">
        <v>7</v>
      </c>
    </row>
    <row r="1521" customFormat="false" ht="16" hidden="false" customHeight="false" outlineLevel="0" collapsed="false">
      <c r="A1521" s="1" t="s">
        <v>2630</v>
      </c>
      <c r="B1521" s="1" t="s">
        <v>2629</v>
      </c>
      <c r="C1521" s="1" t="s">
        <v>695</v>
      </c>
      <c r="D1521" s="1" t="s">
        <v>766</v>
      </c>
      <c r="E1521" s="1" t="s">
        <v>7</v>
      </c>
    </row>
    <row r="1522" customFormat="false" ht="16" hidden="false" customHeight="false" outlineLevel="0" collapsed="false">
      <c r="A1522" s="1" t="s">
        <v>2631</v>
      </c>
      <c r="B1522" s="1" t="s">
        <v>2629</v>
      </c>
      <c r="C1522" s="1" t="s">
        <v>695</v>
      </c>
      <c r="D1522" s="1" t="s">
        <v>768</v>
      </c>
      <c r="E1522" s="1" t="s">
        <v>7</v>
      </c>
    </row>
    <row r="1523" customFormat="false" ht="16" hidden="false" customHeight="false" outlineLevel="0" collapsed="false">
      <c r="A1523" s="1" t="s">
        <v>2632</v>
      </c>
      <c r="B1523" s="1" t="s">
        <v>2629</v>
      </c>
      <c r="C1523" s="1" t="s">
        <v>695</v>
      </c>
      <c r="D1523" s="1" t="s">
        <v>770</v>
      </c>
      <c r="E1523" s="1" t="s">
        <v>7</v>
      </c>
    </row>
    <row r="1524" customFormat="false" ht="16" hidden="false" customHeight="false" outlineLevel="0" collapsed="false">
      <c r="A1524" s="1" t="s">
        <v>2633</v>
      </c>
      <c r="B1524" s="1" t="s">
        <v>2629</v>
      </c>
      <c r="C1524" s="1" t="s">
        <v>695</v>
      </c>
      <c r="D1524" s="1" t="s">
        <v>696</v>
      </c>
      <c r="E1524" s="1" t="s">
        <v>7</v>
      </c>
    </row>
    <row r="1525" customFormat="false" ht="16" hidden="false" customHeight="false" outlineLevel="0" collapsed="false">
      <c r="A1525" s="1" t="s">
        <v>2634</v>
      </c>
      <c r="B1525" s="1" t="s">
        <v>2635</v>
      </c>
      <c r="C1525" s="1" t="s">
        <v>695</v>
      </c>
      <c r="D1525" s="1" t="s">
        <v>764</v>
      </c>
      <c r="E1525" s="1" t="s">
        <v>7</v>
      </c>
    </row>
    <row r="1526" customFormat="false" ht="16" hidden="false" customHeight="false" outlineLevel="0" collapsed="false">
      <c r="A1526" s="1" t="s">
        <v>2636</v>
      </c>
      <c r="B1526" s="1" t="s">
        <v>2635</v>
      </c>
      <c r="C1526" s="1" t="s">
        <v>695</v>
      </c>
      <c r="D1526" s="1" t="s">
        <v>766</v>
      </c>
      <c r="E1526" s="1" t="s">
        <v>7</v>
      </c>
    </row>
    <row r="1527" customFormat="false" ht="16" hidden="false" customHeight="false" outlineLevel="0" collapsed="false">
      <c r="A1527" s="1" t="s">
        <v>2637</v>
      </c>
      <c r="B1527" s="1" t="s">
        <v>2635</v>
      </c>
      <c r="C1527" s="1" t="s">
        <v>695</v>
      </c>
      <c r="D1527" s="1" t="s">
        <v>768</v>
      </c>
      <c r="E1527" s="1" t="s">
        <v>7</v>
      </c>
    </row>
    <row r="1528" customFormat="false" ht="16" hidden="false" customHeight="false" outlineLevel="0" collapsed="false">
      <c r="A1528" s="1" t="s">
        <v>2638</v>
      </c>
      <c r="B1528" s="1" t="s">
        <v>2635</v>
      </c>
      <c r="C1528" s="1" t="s">
        <v>695</v>
      </c>
      <c r="D1528" s="1" t="s">
        <v>770</v>
      </c>
      <c r="E1528" s="1" t="s">
        <v>7</v>
      </c>
    </row>
    <row r="1529" customFormat="false" ht="16" hidden="false" customHeight="false" outlineLevel="0" collapsed="false">
      <c r="A1529" s="1" t="s">
        <v>2639</v>
      </c>
      <c r="B1529" s="1" t="s">
        <v>2635</v>
      </c>
      <c r="C1529" s="1" t="s">
        <v>695</v>
      </c>
      <c r="D1529" s="1" t="s">
        <v>696</v>
      </c>
      <c r="E1529" s="1" t="s">
        <v>7</v>
      </c>
    </row>
    <row r="1530" customFormat="false" ht="16" hidden="false" customHeight="false" outlineLevel="0" collapsed="false">
      <c r="A1530" s="1" t="s">
        <v>2640</v>
      </c>
      <c r="B1530" s="1" t="s">
        <v>2641</v>
      </c>
      <c r="C1530" s="1" t="s">
        <v>695</v>
      </c>
      <c r="D1530" s="1" t="s">
        <v>768</v>
      </c>
      <c r="E1530" s="1" t="s">
        <v>7</v>
      </c>
    </row>
    <row r="1531" customFormat="false" ht="16" hidden="false" customHeight="false" outlineLevel="0" collapsed="false">
      <c r="A1531" s="1" t="s">
        <v>2642</v>
      </c>
      <c r="B1531" s="1" t="s">
        <v>2643</v>
      </c>
      <c r="C1531" s="1" t="s">
        <v>695</v>
      </c>
      <c r="D1531" s="1" t="s">
        <v>764</v>
      </c>
      <c r="E1531" s="1" t="s">
        <v>906</v>
      </c>
    </row>
    <row r="1532" customFormat="false" ht="16" hidden="false" customHeight="false" outlineLevel="0" collapsed="false">
      <c r="A1532" s="1" t="s">
        <v>2644</v>
      </c>
      <c r="B1532" s="1" t="s">
        <v>2643</v>
      </c>
      <c r="C1532" s="1" t="s">
        <v>695</v>
      </c>
      <c r="D1532" s="1" t="s">
        <v>766</v>
      </c>
      <c r="E1532" s="1" t="s">
        <v>906</v>
      </c>
    </row>
    <row r="1533" customFormat="false" ht="16" hidden="false" customHeight="false" outlineLevel="0" collapsed="false">
      <c r="A1533" s="1" t="s">
        <v>2645</v>
      </c>
      <c r="B1533" s="1" t="s">
        <v>2643</v>
      </c>
      <c r="C1533" s="1" t="s">
        <v>695</v>
      </c>
      <c r="D1533" s="1" t="s">
        <v>768</v>
      </c>
      <c r="E1533" s="1" t="s">
        <v>906</v>
      </c>
    </row>
    <row r="1534" customFormat="false" ht="16" hidden="false" customHeight="false" outlineLevel="0" collapsed="false">
      <c r="A1534" s="1" t="s">
        <v>2646</v>
      </c>
      <c r="B1534" s="1" t="s">
        <v>2643</v>
      </c>
      <c r="C1534" s="1" t="s">
        <v>695</v>
      </c>
      <c r="D1534" s="1" t="s">
        <v>770</v>
      </c>
      <c r="E1534" s="1" t="s">
        <v>906</v>
      </c>
    </row>
    <row r="1535" customFormat="false" ht="16" hidden="false" customHeight="false" outlineLevel="0" collapsed="false">
      <c r="A1535" s="1" t="s">
        <v>2647</v>
      </c>
      <c r="B1535" s="1" t="s">
        <v>2643</v>
      </c>
      <c r="C1535" s="1" t="s">
        <v>695</v>
      </c>
      <c r="D1535" s="1" t="s">
        <v>696</v>
      </c>
      <c r="E1535" s="1" t="s">
        <v>906</v>
      </c>
    </row>
    <row r="1536" customFormat="false" ht="16" hidden="false" customHeight="false" outlineLevel="0" collapsed="false">
      <c r="A1536" s="1" t="s">
        <v>2648</v>
      </c>
      <c r="B1536" s="1" t="s">
        <v>2649</v>
      </c>
      <c r="C1536" s="1" t="s">
        <v>695</v>
      </c>
      <c r="D1536" s="1" t="s">
        <v>768</v>
      </c>
      <c r="E1536" s="1" t="s">
        <v>7</v>
      </c>
    </row>
    <row r="1537" customFormat="false" ht="16" hidden="false" customHeight="false" outlineLevel="0" collapsed="false">
      <c r="A1537" s="1" t="s">
        <v>2650</v>
      </c>
      <c r="B1537" s="1" t="s">
        <v>115</v>
      </c>
      <c r="C1537" s="1" t="s">
        <v>695</v>
      </c>
      <c r="D1537" s="1" t="s">
        <v>770</v>
      </c>
      <c r="E1537" s="1" t="s">
        <v>7</v>
      </c>
    </row>
    <row r="1538" customFormat="false" ht="16" hidden="false" customHeight="false" outlineLevel="0" collapsed="false">
      <c r="A1538" s="1" t="s">
        <v>2651</v>
      </c>
      <c r="B1538" s="1" t="s">
        <v>2652</v>
      </c>
      <c r="C1538" s="1" t="s">
        <v>695</v>
      </c>
      <c r="D1538" s="1" t="s">
        <v>764</v>
      </c>
      <c r="E1538" s="1" t="s">
        <v>906</v>
      </c>
    </row>
    <row r="1539" customFormat="false" ht="16" hidden="false" customHeight="false" outlineLevel="0" collapsed="false">
      <c r="A1539" s="1" t="s">
        <v>2653</v>
      </c>
      <c r="B1539" s="1" t="s">
        <v>2652</v>
      </c>
      <c r="C1539" s="1" t="s">
        <v>695</v>
      </c>
      <c r="D1539" s="1" t="s">
        <v>766</v>
      </c>
      <c r="E1539" s="1" t="s">
        <v>906</v>
      </c>
    </row>
    <row r="1540" customFormat="false" ht="16" hidden="false" customHeight="false" outlineLevel="0" collapsed="false">
      <c r="A1540" s="1" t="s">
        <v>2654</v>
      </c>
      <c r="B1540" s="1" t="s">
        <v>2652</v>
      </c>
      <c r="C1540" s="1" t="s">
        <v>695</v>
      </c>
      <c r="D1540" s="1" t="s">
        <v>768</v>
      </c>
      <c r="E1540" s="1" t="s">
        <v>906</v>
      </c>
    </row>
    <row r="1541" customFormat="false" ht="16" hidden="false" customHeight="false" outlineLevel="0" collapsed="false">
      <c r="A1541" s="1" t="s">
        <v>2655</v>
      </c>
      <c r="B1541" s="1" t="s">
        <v>2652</v>
      </c>
      <c r="C1541" s="1" t="s">
        <v>695</v>
      </c>
      <c r="D1541" s="1" t="s">
        <v>770</v>
      </c>
      <c r="E1541" s="1" t="s">
        <v>906</v>
      </c>
    </row>
    <row r="1542" customFormat="false" ht="16" hidden="false" customHeight="false" outlineLevel="0" collapsed="false">
      <c r="A1542" s="1" t="s">
        <v>2656</v>
      </c>
      <c r="B1542" s="1" t="s">
        <v>2652</v>
      </c>
      <c r="C1542" s="1" t="s">
        <v>695</v>
      </c>
      <c r="D1542" s="1" t="s">
        <v>696</v>
      </c>
      <c r="E1542" s="1" t="s">
        <v>906</v>
      </c>
    </row>
    <row r="1543" customFormat="false" ht="16" hidden="false" customHeight="false" outlineLevel="0" collapsed="false">
      <c r="A1543" s="1" t="s">
        <v>2657</v>
      </c>
      <c r="B1543" s="1" t="s">
        <v>2658</v>
      </c>
      <c r="C1543" s="1" t="s">
        <v>695</v>
      </c>
      <c r="D1543" s="1" t="s">
        <v>764</v>
      </c>
      <c r="E1543" s="1" t="s">
        <v>7</v>
      </c>
    </row>
    <row r="1544" customFormat="false" ht="16" hidden="false" customHeight="false" outlineLevel="0" collapsed="false">
      <c r="A1544" s="1" t="s">
        <v>2659</v>
      </c>
      <c r="B1544" s="1" t="s">
        <v>2658</v>
      </c>
      <c r="C1544" s="1" t="s">
        <v>695</v>
      </c>
      <c r="D1544" s="1" t="s">
        <v>766</v>
      </c>
      <c r="E1544" s="1" t="s">
        <v>7</v>
      </c>
    </row>
    <row r="1545" customFormat="false" ht="16" hidden="false" customHeight="false" outlineLevel="0" collapsed="false">
      <c r="A1545" s="1" t="s">
        <v>2660</v>
      </c>
      <c r="B1545" s="1" t="s">
        <v>2658</v>
      </c>
      <c r="C1545" s="1" t="s">
        <v>695</v>
      </c>
      <c r="D1545" s="1" t="s">
        <v>768</v>
      </c>
      <c r="E1545" s="1" t="s">
        <v>7</v>
      </c>
    </row>
    <row r="1546" customFormat="false" ht="16" hidden="false" customHeight="false" outlineLevel="0" collapsed="false">
      <c r="A1546" s="1" t="s">
        <v>2661</v>
      </c>
      <c r="B1546" s="1" t="s">
        <v>2658</v>
      </c>
      <c r="C1546" s="1" t="s">
        <v>695</v>
      </c>
      <c r="D1546" s="1" t="s">
        <v>770</v>
      </c>
      <c r="E1546" s="1" t="s">
        <v>7</v>
      </c>
    </row>
    <row r="1547" customFormat="false" ht="16" hidden="false" customHeight="false" outlineLevel="0" collapsed="false">
      <c r="A1547" s="1" t="s">
        <v>2662</v>
      </c>
      <c r="B1547" s="1" t="s">
        <v>2658</v>
      </c>
      <c r="C1547" s="1" t="s">
        <v>695</v>
      </c>
      <c r="D1547" s="1" t="s">
        <v>696</v>
      </c>
      <c r="E1547" s="1" t="s">
        <v>7</v>
      </c>
    </row>
    <row r="1548" customFormat="false" ht="16" hidden="false" customHeight="false" outlineLevel="0" collapsed="false">
      <c r="A1548" s="1" t="s">
        <v>2663</v>
      </c>
      <c r="B1548" s="1" t="s">
        <v>2664</v>
      </c>
      <c r="C1548" s="1" t="s">
        <v>695</v>
      </c>
      <c r="D1548" s="1" t="s">
        <v>764</v>
      </c>
      <c r="E1548" s="1" t="s">
        <v>7</v>
      </c>
    </row>
    <row r="1549" customFormat="false" ht="16" hidden="false" customHeight="false" outlineLevel="0" collapsed="false">
      <c r="A1549" s="1" t="s">
        <v>2665</v>
      </c>
      <c r="B1549" s="1" t="s">
        <v>2664</v>
      </c>
      <c r="C1549" s="1" t="s">
        <v>695</v>
      </c>
      <c r="D1549" s="1" t="s">
        <v>766</v>
      </c>
      <c r="E1549" s="1" t="s">
        <v>7</v>
      </c>
    </row>
    <row r="1550" customFormat="false" ht="16" hidden="false" customHeight="false" outlineLevel="0" collapsed="false">
      <c r="A1550" s="1" t="s">
        <v>2666</v>
      </c>
      <c r="B1550" s="1" t="s">
        <v>2664</v>
      </c>
      <c r="C1550" s="1" t="s">
        <v>695</v>
      </c>
      <c r="D1550" s="1" t="s">
        <v>768</v>
      </c>
      <c r="E1550" s="1" t="s">
        <v>7</v>
      </c>
    </row>
    <row r="1551" customFormat="false" ht="16" hidden="false" customHeight="false" outlineLevel="0" collapsed="false">
      <c r="A1551" s="1" t="s">
        <v>2667</v>
      </c>
      <c r="B1551" s="1" t="s">
        <v>2664</v>
      </c>
      <c r="C1551" s="1" t="s">
        <v>695</v>
      </c>
      <c r="D1551" s="1" t="s">
        <v>770</v>
      </c>
      <c r="E1551" s="1" t="s">
        <v>7</v>
      </c>
    </row>
    <row r="1552" customFormat="false" ht="16" hidden="false" customHeight="false" outlineLevel="0" collapsed="false">
      <c r="A1552" s="1" t="s">
        <v>2668</v>
      </c>
      <c r="B1552" s="1" t="s">
        <v>2664</v>
      </c>
      <c r="C1552" s="1" t="s">
        <v>695</v>
      </c>
      <c r="D1552" s="1" t="s">
        <v>696</v>
      </c>
      <c r="E1552" s="1" t="s">
        <v>7</v>
      </c>
    </row>
    <row r="1553" customFormat="false" ht="16" hidden="false" customHeight="false" outlineLevel="0" collapsed="false">
      <c r="A1553" s="1" t="s">
        <v>2669</v>
      </c>
      <c r="B1553" s="1" t="s">
        <v>171</v>
      </c>
      <c r="C1553" s="1" t="s">
        <v>695</v>
      </c>
      <c r="D1553" s="1" t="s">
        <v>764</v>
      </c>
      <c r="E1553" s="1" t="s">
        <v>7</v>
      </c>
    </row>
    <row r="1554" customFormat="false" ht="16" hidden="false" customHeight="false" outlineLevel="0" collapsed="false">
      <c r="A1554" s="1" t="s">
        <v>2670</v>
      </c>
      <c r="B1554" s="1" t="s">
        <v>171</v>
      </c>
      <c r="C1554" s="1" t="s">
        <v>695</v>
      </c>
      <c r="D1554" s="1" t="s">
        <v>766</v>
      </c>
      <c r="E1554" s="1" t="s">
        <v>7</v>
      </c>
    </row>
    <row r="1555" customFormat="false" ht="16" hidden="false" customHeight="false" outlineLevel="0" collapsed="false">
      <c r="A1555" s="1" t="s">
        <v>2671</v>
      </c>
      <c r="B1555" s="1" t="s">
        <v>171</v>
      </c>
      <c r="C1555" s="1" t="s">
        <v>695</v>
      </c>
      <c r="D1555" s="1" t="s">
        <v>768</v>
      </c>
      <c r="E1555" s="1" t="s">
        <v>7</v>
      </c>
    </row>
    <row r="1556" customFormat="false" ht="16" hidden="false" customHeight="false" outlineLevel="0" collapsed="false">
      <c r="A1556" s="1" t="s">
        <v>2672</v>
      </c>
      <c r="B1556" s="1" t="s">
        <v>171</v>
      </c>
      <c r="C1556" s="1" t="s">
        <v>695</v>
      </c>
      <c r="D1556" s="1" t="s">
        <v>770</v>
      </c>
      <c r="E1556" s="1" t="s">
        <v>7</v>
      </c>
    </row>
    <row r="1557" customFormat="false" ht="16" hidden="false" customHeight="false" outlineLevel="0" collapsed="false">
      <c r="A1557" s="1" t="s">
        <v>2673</v>
      </c>
      <c r="B1557" s="1" t="s">
        <v>171</v>
      </c>
      <c r="C1557" s="1" t="s">
        <v>695</v>
      </c>
      <c r="D1557" s="1" t="s">
        <v>696</v>
      </c>
      <c r="E1557" s="1" t="s">
        <v>7</v>
      </c>
    </row>
    <row r="1558" customFormat="false" ht="16" hidden="false" customHeight="false" outlineLevel="0" collapsed="false">
      <c r="A1558" s="1" t="s">
        <v>2674</v>
      </c>
      <c r="B1558" s="1" t="s">
        <v>2675</v>
      </c>
      <c r="C1558" s="1" t="s">
        <v>695</v>
      </c>
      <c r="D1558" s="1" t="s">
        <v>768</v>
      </c>
      <c r="E1558" s="1" t="s">
        <v>7</v>
      </c>
    </row>
    <row r="1559" customFormat="false" ht="16" hidden="false" customHeight="false" outlineLevel="0" collapsed="false">
      <c r="A1559" s="1" t="s">
        <v>2676</v>
      </c>
      <c r="B1559" s="1" t="s">
        <v>2677</v>
      </c>
      <c r="C1559" s="1" t="s">
        <v>695</v>
      </c>
      <c r="D1559" s="1" t="s">
        <v>768</v>
      </c>
      <c r="E1559" s="1" t="s">
        <v>7</v>
      </c>
    </row>
    <row r="1560" customFormat="false" ht="16" hidden="false" customHeight="false" outlineLevel="0" collapsed="false">
      <c r="A1560" s="1" t="s">
        <v>2678</v>
      </c>
      <c r="B1560" s="1" t="s">
        <v>187</v>
      </c>
      <c r="C1560" s="1" t="s">
        <v>695</v>
      </c>
      <c r="D1560" s="1" t="s">
        <v>764</v>
      </c>
      <c r="E1560" s="1" t="s">
        <v>7</v>
      </c>
    </row>
    <row r="1561" customFormat="false" ht="16" hidden="false" customHeight="false" outlineLevel="0" collapsed="false">
      <c r="A1561" s="1" t="s">
        <v>2679</v>
      </c>
      <c r="B1561" s="1" t="s">
        <v>187</v>
      </c>
      <c r="C1561" s="1" t="s">
        <v>695</v>
      </c>
      <c r="D1561" s="1" t="s">
        <v>766</v>
      </c>
      <c r="E1561" s="1" t="s">
        <v>7</v>
      </c>
    </row>
    <row r="1562" customFormat="false" ht="16" hidden="false" customHeight="false" outlineLevel="0" collapsed="false">
      <c r="A1562" s="1" t="s">
        <v>2680</v>
      </c>
      <c r="B1562" s="1" t="s">
        <v>187</v>
      </c>
      <c r="C1562" s="1" t="s">
        <v>695</v>
      </c>
      <c r="D1562" s="1" t="s">
        <v>768</v>
      </c>
      <c r="E1562" s="1" t="s">
        <v>7</v>
      </c>
    </row>
    <row r="1563" customFormat="false" ht="16" hidden="false" customHeight="false" outlineLevel="0" collapsed="false">
      <c r="A1563" s="1" t="s">
        <v>2681</v>
      </c>
      <c r="B1563" s="1" t="s">
        <v>187</v>
      </c>
      <c r="C1563" s="1" t="s">
        <v>695</v>
      </c>
      <c r="D1563" s="1" t="s">
        <v>770</v>
      </c>
      <c r="E1563" s="1" t="s">
        <v>7</v>
      </c>
    </row>
    <row r="1564" customFormat="false" ht="16" hidden="false" customHeight="false" outlineLevel="0" collapsed="false">
      <c r="A1564" s="1" t="s">
        <v>2682</v>
      </c>
      <c r="B1564" s="1" t="s">
        <v>187</v>
      </c>
      <c r="C1564" s="1" t="s">
        <v>695</v>
      </c>
      <c r="D1564" s="1" t="s">
        <v>696</v>
      </c>
      <c r="E1564" s="1" t="s">
        <v>7</v>
      </c>
    </row>
    <row r="1565" customFormat="false" ht="16" hidden="false" customHeight="false" outlineLevel="0" collapsed="false">
      <c r="A1565" s="1" t="s">
        <v>2683</v>
      </c>
      <c r="B1565" s="1" t="s">
        <v>2684</v>
      </c>
      <c r="C1565" s="1" t="s">
        <v>695</v>
      </c>
      <c r="D1565" s="1" t="s">
        <v>764</v>
      </c>
      <c r="E1565" s="1" t="s">
        <v>906</v>
      </c>
    </row>
    <row r="1566" customFormat="false" ht="16" hidden="false" customHeight="false" outlineLevel="0" collapsed="false">
      <c r="A1566" s="1" t="s">
        <v>2685</v>
      </c>
      <c r="B1566" s="1" t="s">
        <v>2684</v>
      </c>
      <c r="C1566" s="1" t="s">
        <v>695</v>
      </c>
      <c r="D1566" s="1" t="s">
        <v>766</v>
      </c>
      <c r="E1566" s="1" t="s">
        <v>906</v>
      </c>
    </row>
    <row r="1567" customFormat="false" ht="16" hidden="false" customHeight="false" outlineLevel="0" collapsed="false">
      <c r="A1567" s="1" t="s">
        <v>2686</v>
      </c>
      <c r="B1567" s="1" t="s">
        <v>2684</v>
      </c>
      <c r="C1567" s="1" t="s">
        <v>695</v>
      </c>
      <c r="D1567" s="1" t="s">
        <v>768</v>
      </c>
      <c r="E1567" s="1" t="s">
        <v>906</v>
      </c>
    </row>
    <row r="1568" customFormat="false" ht="16" hidden="false" customHeight="false" outlineLevel="0" collapsed="false">
      <c r="A1568" s="1" t="s">
        <v>2687</v>
      </c>
      <c r="B1568" s="1" t="s">
        <v>2684</v>
      </c>
      <c r="C1568" s="1" t="s">
        <v>695</v>
      </c>
      <c r="D1568" s="1" t="s">
        <v>770</v>
      </c>
      <c r="E1568" s="1" t="s">
        <v>906</v>
      </c>
    </row>
    <row r="1569" customFormat="false" ht="16" hidden="false" customHeight="false" outlineLevel="0" collapsed="false">
      <c r="A1569" s="1" t="s">
        <v>2688</v>
      </c>
      <c r="B1569" s="1" t="s">
        <v>2684</v>
      </c>
      <c r="C1569" s="1" t="s">
        <v>695</v>
      </c>
      <c r="D1569" s="1" t="s">
        <v>696</v>
      </c>
      <c r="E1569" s="1" t="s">
        <v>906</v>
      </c>
    </row>
    <row r="1570" customFormat="false" ht="16" hidden="false" customHeight="false" outlineLevel="0" collapsed="false">
      <c r="A1570" s="1" t="s">
        <v>2689</v>
      </c>
      <c r="B1570" s="1" t="s">
        <v>2690</v>
      </c>
      <c r="C1570" s="1" t="s">
        <v>695</v>
      </c>
      <c r="D1570" s="1" t="s">
        <v>764</v>
      </c>
      <c r="E1570" s="1" t="s">
        <v>906</v>
      </c>
    </row>
    <row r="1571" customFormat="false" ht="16" hidden="false" customHeight="false" outlineLevel="0" collapsed="false">
      <c r="A1571" s="1" t="s">
        <v>2691</v>
      </c>
      <c r="B1571" s="1" t="s">
        <v>2690</v>
      </c>
      <c r="C1571" s="1" t="s">
        <v>695</v>
      </c>
      <c r="D1571" s="1" t="s">
        <v>766</v>
      </c>
      <c r="E1571" s="1" t="s">
        <v>906</v>
      </c>
    </row>
    <row r="1572" customFormat="false" ht="16" hidden="false" customHeight="false" outlineLevel="0" collapsed="false">
      <c r="A1572" s="1" t="s">
        <v>2692</v>
      </c>
      <c r="B1572" s="1" t="s">
        <v>2690</v>
      </c>
      <c r="C1572" s="1" t="s">
        <v>695</v>
      </c>
      <c r="D1572" s="1" t="s">
        <v>768</v>
      </c>
      <c r="E1572" s="1" t="s">
        <v>906</v>
      </c>
    </row>
    <row r="1573" customFormat="false" ht="16" hidden="false" customHeight="false" outlineLevel="0" collapsed="false">
      <c r="A1573" s="1" t="s">
        <v>2693</v>
      </c>
      <c r="B1573" s="1" t="s">
        <v>2690</v>
      </c>
      <c r="C1573" s="1" t="s">
        <v>695</v>
      </c>
      <c r="D1573" s="1" t="s">
        <v>770</v>
      </c>
      <c r="E1573" s="1" t="s">
        <v>906</v>
      </c>
    </row>
    <row r="1574" customFormat="false" ht="16" hidden="false" customHeight="false" outlineLevel="0" collapsed="false">
      <c r="A1574" s="1" t="s">
        <v>2694</v>
      </c>
      <c r="B1574" s="1" t="s">
        <v>2690</v>
      </c>
      <c r="C1574" s="1" t="s">
        <v>695</v>
      </c>
      <c r="D1574" s="1" t="s">
        <v>696</v>
      </c>
      <c r="E1574" s="1" t="s">
        <v>906</v>
      </c>
    </row>
    <row r="1575" customFormat="false" ht="16" hidden="false" customHeight="false" outlineLevel="0" collapsed="false">
      <c r="A1575" s="1" t="s">
        <v>2695</v>
      </c>
      <c r="B1575" s="1" t="s">
        <v>2696</v>
      </c>
      <c r="C1575" s="1" t="s">
        <v>695</v>
      </c>
      <c r="D1575" s="1" t="s">
        <v>764</v>
      </c>
      <c r="E1575" s="1" t="s">
        <v>906</v>
      </c>
    </row>
    <row r="1576" customFormat="false" ht="16" hidden="false" customHeight="false" outlineLevel="0" collapsed="false">
      <c r="A1576" s="1" t="s">
        <v>2697</v>
      </c>
      <c r="B1576" s="1" t="s">
        <v>2696</v>
      </c>
      <c r="C1576" s="1" t="s">
        <v>695</v>
      </c>
      <c r="D1576" s="1" t="s">
        <v>766</v>
      </c>
      <c r="E1576" s="1" t="s">
        <v>906</v>
      </c>
    </row>
    <row r="1577" customFormat="false" ht="16" hidden="false" customHeight="false" outlineLevel="0" collapsed="false">
      <c r="A1577" s="1" t="s">
        <v>2698</v>
      </c>
      <c r="B1577" s="1" t="s">
        <v>2696</v>
      </c>
      <c r="C1577" s="1" t="s">
        <v>695</v>
      </c>
      <c r="D1577" s="1" t="s">
        <v>768</v>
      </c>
      <c r="E1577" s="1" t="s">
        <v>906</v>
      </c>
    </row>
    <row r="1578" customFormat="false" ht="16" hidden="false" customHeight="false" outlineLevel="0" collapsed="false">
      <c r="A1578" s="1" t="s">
        <v>2699</v>
      </c>
      <c r="B1578" s="1" t="s">
        <v>2696</v>
      </c>
      <c r="C1578" s="1" t="s">
        <v>695</v>
      </c>
      <c r="D1578" s="1" t="s">
        <v>770</v>
      </c>
      <c r="E1578" s="1" t="s">
        <v>906</v>
      </c>
    </row>
    <row r="1579" customFormat="false" ht="16" hidden="false" customHeight="false" outlineLevel="0" collapsed="false">
      <c r="A1579" s="1" t="s">
        <v>2700</v>
      </c>
      <c r="B1579" s="1" t="s">
        <v>2696</v>
      </c>
      <c r="C1579" s="1" t="s">
        <v>695</v>
      </c>
      <c r="D1579" s="1" t="s">
        <v>696</v>
      </c>
      <c r="E1579" s="1" t="s">
        <v>906</v>
      </c>
    </row>
    <row r="1580" customFormat="false" ht="16" hidden="false" customHeight="false" outlineLevel="0" collapsed="false">
      <c r="A1580" s="1" t="s">
        <v>2701</v>
      </c>
      <c r="B1580" s="1" t="s">
        <v>2702</v>
      </c>
      <c r="C1580" s="1" t="s">
        <v>695</v>
      </c>
      <c r="D1580" s="1" t="s">
        <v>764</v>
      </c>
      <c r="E1580" s="1" t="s">
        <v>906</v>
      </c>
    </row>
    <row r="1581" customFormat="false" ht="16" hidden="false" customHeight="false" outlineLevel="0" collapsed="false">
      <c r="A1581" s="1" t="s">
        <v>2703</v>
      </c>
      <c r="B1581" s="1" t="s">
        <v>2702</v>
      </c>
      <c r="C1581" s="1" t="s">
        <v>695</v>
      </c>
      <c r="D1581" s="1" t="s">
        <v>766</v>
      </c>
      <c r="E1581" s="1" t="s">
        <v>906</v>
      </c>
    </row>
    <row r="1582" customFormat="false" ht="16" hidden="false" customHeight="false" outlineLevel="0" collapsed="false">
      <c r="A1582" s="1" t="s">
        <v>2704</v>
      </c>
      <c r="B1582" s="1" t="s">
        <v>2702</v>
      </c>
      <c r="C1582" s="1" t="s">
        <v>695</v>
      </c>
      <c r="D1582" s="1" t="s">
        <v>768</v>
      </c>
      <c r="E1582" s="1" t="s">
        <v>906</v>
      </c>
    </row>
    <row r="1583" customFormat="false" ht="16" hidden="false" customHeight="false" outlineLevel="0" collapsed="false">
      <c r="A1583" s="1" t="s">
        <v>2705</v>
      </c>
      <c r="B1583" s="1" t="s">
        <v>2702</v>
      </c>
      <c r="C1583" s="1" t="s">
        <v>695</v>
      </c>
      <c r="D1583" s="1" t="s">
        <v>770</v>
      </c>
      <c r="E1583" s="1" t="s">
        <v>906</v>
      </c>
    </row>
    <row r="1584" customFormat="false" ht="16" hidden="false" customHeight="false" outlineLevel="0" collapsed="false">
      <c r="A1584" s="1" t="s">
        <v>2706</v>
      </c>
      <c r="B1584" s="1" t="s">
        <v>2702</v>
      </c>
      <c r="C1584" s="1" t="s">
        <v>695</v>
      </c>
      <c r="D1584" s="1" t="s">
        <v>696</v>
      </c>
      <c r="E1584" s="1" t="s">
        <v>906</v>
      </c>
    </row>
    <row r="1585" customFormat="false" ht="16" hidden="false" customHeight="false" outlineLevel="0" collapsed="false">
      <c r="A1585" s="1" t="s">
        <v>2707</v>
      </c>
      <c r="B1585" s="1" t="s">
        <v>111</v>
      </c>
      <c r="C1585" s="1" t="s">
        <v>695</v>
      </c>
      <c r="D1585" s="1" t="s">
        <v>764</v>
      </c>
      <c r="E1585" s="1" t="s">
        <v>7</v>
      </c>
    </row>
    <row r="1586" customFormat="false" ht="16" hidden="false" customHeight="false" outlineLevel="0" collapsed="false">
      <c r="A1586" s="1" t="s">
        <v>2708</v>
      </c>
      <c r="B1586" s="1" t="s">
        <v>111</v>
      </c>
      <c r="C1586" s="1" t="s">
        <v>695</v>
      </c>
      <c r="D1586" s="1" t="s">
        <v>766</v>
      </c>
      <c r="E1586" s="1" t="s">
        <v>7</v>
      </c>
    </row>
    <row r="1587" customFormat="false" ht="16" hidden="false" customHeight="false" outlineLevel="0" collapsed="false">
      <c r="A1587" s="1" t="s">
        <v>2709</v>
      </c>
      <c r="B1587" s="1" t="s">
        <v>111</v>
      </c>
      <c r="C1587" s="1" t="s">
        <v>695</v>
      </c>
      <c r="D1587" s="1" t="s">
        <v>768</v>
      </c>
      <c r="E1587" s="1" t="s">
        <v>7</v>
      </c>
    </row>
    <row r="1588" customFormat="false" ht="16" hidden="false" customHeight="false" outlineLevel="0" collapsed="false">
      <c r="A1588" s="1" t="s">
        <v>2710</v>
      </c>
      <c r="B1588" s="1" t="s">
        <v>111</v>
      </c>
      <c r="C1588" s="1" t="s">
        <v>695</v>
      </c>
      <c r="D1588" s="1" t="s">
        <v>770</v>
      </c>
      <c r="E1588" s="1" t="s">
        <v>7</v>
      </c>
    </row>
    <row r="1589" customFormat="false" ht="16" hidden="false" customHeight="false" outlineLevel="0" collapsed="false">
      <c r="A1589" s="1" t="s">
        <v>2711</v>
      </c>
      <c r="B1589" s="1" t="s">
        <v>111</v>
      </c>
      <c r="C1589" s="1" t="s">
        <v>695</v>
      </c>
      <c r="D1589" s="1" t="s">
        <v>696</v>
      </c>
      <c r="E1589" s="1" t="s">
        <v>7</v>
      </c>
    </row>
    <row r="1590" customFormat="false" ht="16" hidden="false" customHeight="false" outlineLevel="0" collapsed="false">
      <c r="A1590" s="1" t="s">
        <v>2712</v>
      </c>
      <c r="B1590" s="1" t="s">
        <v>77</v>
      </c>
      <c r="C1590" s="1" t="s">
        <v>695</v>
      </c>
      <c r="D1590" s="1" t="s">
        <v>764</v>
      </c>
      <c r="E1590" s="1" t="s">
        <v>7</v>
      </c>
    </row>
    <row r="1591" customFormat="false" ht="16" hidden="false" customHeight="false" outlineLevel="0" collapsed="false">
      <c r="A1591" s="1" t="s">
        <v>2713</v>
      </c>
      <c r="B1591" s="1" t="s">
        <v>77</v>
      </c>
      <c r="C1591" s="1" t="s">
        <v>695</v>
      </c>
      <c r="D1591" s="1" t="s">
        <v>766</v>
      </c>
      <c r="E1591" s="1" t="s">
        <v>7</v>
      </c>
    </row>
    <row r="1592" customFormat="false" ht="16" hidden="false" customHeight="false" outlineLevel="0" collapsed="false">
      <c r="A1592" s="1" t="s">
        <v>2714</v>
      </c>
      <c r="B1592" s="1" t="s">
        <v>77</v>
      </c>
      <c r="C1592" s="1" t="s">
        <v>695</v>
      </c>
      <c r="D1592" s="1" t="s">
        <v>768</v>
      </c>
      <c r="E1592" s="1" t="s">
        <v>7</v>
      </c>
    </row>
    <row r="1593" customFormat="false" ht="16" hidden="false" customHeight="false" outlineLevel="0" collapsed="false">
      <c r="A1593" s="1" t="s">
        <v>2715</v>
      </c>
      <c r="B1593" s="1" t="s">
        <v>77</v>
      </c>
      <c r="C1593" s="1" t="s">
        <v>695</v>
      </c>
      <c r="D1593" s="1" t="s">
        <v>770</v>
      </c>
      <c r="E1593" s="1" t="s">
        <v>7</v>
      </c>
    </row>
    <row r="1594" customFormat="false" ht="16" hidden="false" customHeight="false" outlineLevel="0" collapsed="false">
      <c r="A1594" s="1" t="s">
        <v>2716</v>
      </c>
      <c r="B1594" s="1" t="s">
        <v>77</v>
      </c>
      <c r="C1594" s="1" t="s">
        <v>695</v>
      </c>
      <c r="D1594" s="1" t="s">
        <v>696</v>
      </c>
      <c r="E1594" s="1" t="s">
        <v>7</v>
      </c>
    </row>
    <row r="1595" customFormat="false" ht="16" hidden="false" customHeight="false" outlineLevel="0" collapsed="false">
      <c r="A1595" s="1" t="s">
        <v>2717</v>
      </c>
      <c r="B1595" s="1" t="s">
        <v>2718</v>
      </c>
      <c r="C1595" s="1" t="s">
        <v>695</v>
      </c>
      <c r="D1595" s="1" t="s">
        <v>764</v>
      </c>
      <c r="E1595" s="1" t="s">
        <v>7</v>
      </c>
    </row>
    <row r="1596" customFormat="false" ht="16" hidden="false" customHeight="false" outlineLevel="0" collapsed="false">
      <c r="A1596" s="1" t="s">
        <v>2719</v>
      </c>
      <c r="B1596" s="1" t="s">
        <v>2718</v>
      </c>
      <c r="C1596" s="1" t="s">
        <v>695</v>
      </c>
      <c r="D1596" s="1" t="s">
        <v>766</v>
      </c>
      <c r="E1596" s="1" t="s">
        <v>7</v>
      </c>
    </row>
    <row r="1597" customFormat="false" ht="16" hidden="false" customHeight="false" outlineLevel="0" collapsed="false">
      <c r="A1597" s="1" t="s">
        <v>2720</v>
      </c>
      <c r="B1597" s="1" t="s">
        <v>2718</v>
      </c>
      <c r="C1597" s="1" t="s">
        <v>695</v>
      </c>
      <c r="D1597" s="1" t="s">
        <v>768</v>
      </c>
      <c r="E1597" s="1" t="s">
        <v>7</v>
      </c>
    </row>
    <row r="1598" customFormat="false" ht="16" hidden="false" customHeight="false" outlineLevel="0" collapsed="false">
      <c r="A1598" s="1" t="s">
        <v>2721</v>
      </c>
      <c r="B1598" s="1" t="s">
        <v>2718</v>
      </c>
      <c r="C1598" s="1" t="s">
        <v>695</v>
      </c>
      <c r="D1598" s="1" t="s">
        <v>770</v>
      </c>
      <c r="E1598" s="1" t="s">
        <v>7</v>
      </c>
    </row>
    <row r="1599" customFormat="false" ht="16" hidden="false" customHeight="false" outlineLevel="0" collapsed="false">
      <c r="A1599" s="1" t="s">
        <v>2722</v>
      </c>
      <c r="B1599" s="1" t="s">
        <v>2718</v>
      </c>
      <c r="C1599" s="1" t="s">
        <v>695</v>
      </c>
      <c r="D1599" s="1" t="s">
        <v>696</v>
      </c>
      <c r="E1599" s="1" t="s">
        <v>7</v>
      </c>
    </row>
    <row r="1600" customFormat="false" ht="16" hidden="false" customHeight="false" outlineLevel="0" collapsed="false">
      <c r="A1600" s="1" t="s">
        <v>2723</v>
      </c>
      <c r="B1600" s="1" t="s">
        <v>2724</v>
      </c>
      <c r="C1600" s="1" t="s">
        <v>695</v>
      </c>
      <c r="D1600" s="1" t="s">
        <v>764</v>
      </c>
      <c r="E1600" s="1" t="s">
        <v>7</v>
      </c>
    </row>
    <row r="1601" customFormat="false" ht="16" hidden="false" customHeight="false" outlineLevel="0" collapsed="false">
      <c r="A1601" s="1" t="s">
        <v>2725</v>
      </c>
      <c r="B1601" s="1" t="s">
        <v>2724</v>
      </c>
      <c r="C1601" s="1" t="s">
        <v>695</v>
      </c>
      <c r="D1601" s="1" t="s">
        <v>766</v>
      </c>
      <c r="E1601" s="1" t="s">
        <v>7</v>
      </c>
    </row>
    <row r="1602" customFormat="false" ht="16" hidden="false" customHeight="false" outlineLevel="0" collapsed="false">
      <c r="A1602" s="1" t="s">
        <v>2726</v>
      </c>
      <c r="B1602" s="1" t="s">
        <v>2724</v>
      </c>
      <c r="C1602" s="1" t="s">
        <v>695</v>
      </c>
      <c r="D1602" s="1" t="s">
        <v>768</v>
      </c>
      <c r="E1602" s="1" t="s">
        <v>7</v>
      </c>
    </row>
    <row r="1603" customFormat="false" ht="16" hidden="false" customHeight="false" outlineLevel="0" collapsed="false">
      <c r="A1603" s="1" t="s">
        <v>2727</v>
      </c>
      <c r="B1603" s="1" t="s">
        <v>2724</v>
      </c>
      <c r="C1603" s="1" t="s">
        <v>695</v>
      </c>
      <c r="D1603" s="1" t="s">
        <v>770</v>
      </c>
      <c r="E1603" s="1" t="s">
        <v>7</v>
      </c>
    </row>
    <row r="1604" customFormat="false" ht="16" hidden="false" customHeight="false" outlineLevel="0" collapsed="false">
      <c r="A1604" s="1" t="s">
        <v>2728</v>
      </c>
      <c r="B1604" s="1" t="s">
        <v>2724</v>
      </c>
      <c r="C1604" s="1" t="s">
        <v>695</v>
      </c>
      <c r="D1604" s="1" t="s">
        <v>696</v>
      </c>
      <c r="E1604" s="1" t="s">
        <v>7</v>
      </c>
    </row>
    <row r="1605" customFormat="false" ht="16" hidden="false" customHeight="false" outlineLevel="0" collapsed="false">
      <c r="A1605" s="1" t="s">
        <v>2729</v>
      </c>
      <c r="B1605" s="1" t="s">
        <v>2730</v>
      </c>
      <c r="C1605" s="1" t="s">
        <v>695</v>
      </c>
      <c r="D1605" s="1" t="s">
        <v>770</v>
      </c>
      <c r="E1605" s="1" t="s">
        <v>7</v>
      </c>
    </row>
    <row r="1606" customFormat="false" ht="16" hidden="false" customHeight="false" outlineLevel="0" collapsed="false">
      <c r="A1606" s="1" t="s">
        <v>2731</v>
      </c>
      <c r="B1606" s="1" t="s">
        <v>2732</v>
      </c>
      <c r="C1606" s="1" t="s">
        <v>695</v>
      </c>
      <c r="D1606" s="1" t="s">
        <v>764</v>
      </c>
      <c r="E1606" s="1" t="s">
        <v>7</v>
      </c>
    </row>
    <row r="1607" customFormat="false" ht="16" hidden="false" customHeight="false" outlineLevel="0" collapsed="false">
      <c r="A1607" s="1" t="s">
        <v>2733</v>
      </c>
      <c r="B1607" s="1" t="s">
        <v>2732</v>
      </c>
      <c r="C1607" s="1" t="s">
        <v>695</v>
      </c>
      <c r="D1607" s="1" t="s">
        <v>766</v>
      </c>
      <c r="E1607" s="1" t="s">
        <v>7</v>
      </c>
    </row>
    <row r="1608" customFormat="false" ht="16" hidden="false" customHeight="false" outlineLevel="0" collapsed="false">
      <c r="A1608" s="1" t="s">
        <v>2734</v>
      </c>
      <c r="B1608" s="1" t="s">
        <v>2732</v>
      </c>
      <c r="C1608" s="1" t="s">
        <v>695</v>
      </c>
      <c r="D1608" s="1" t="s">
        <v>768</v>
      </c>
      <c r="E1608" s="1" t="s">
        <v>7</v>
      </c>
    </row>
    <row r="1609" customFormat="false" ht="16" hidden="false" customHeight="false" outlineLevel="0" collapsed="false">
      <c r="A1609" s="1" t="s">
        <v>2735</v>
      </c>
      <c r="B1609" s="1" t="s">
        <v>2732</v>
      </c>
      <c r="C1609" s="1" t="s">
        <v>695</v>
      </c>
      <c r="D1609" s="1" t="s">
        <v>770</v>
      </c>
      <c r="E1609" s="1" t="s">
        <v>7</v>
      </c>
    </row>
    <row r="1610" customFormat="false" ht="16" hidden="false" customHeight="false" outlineLevel="0" collapsed="false">
      <c r="A1610" s="1" t="s">
        <v>2736</v>
      </c>
      <c r="B1610" s="1" t="s">
        <v>2732</v>
      </c>
      <c r="C1610" s="1" t="s">
        <v>695</v>
      </c>
      <c r="D1610" s="1" t="s">
        <v>696</v>
      </c>
      <c r="E1610" s="1" t="s">
        <v>7</v>
      </c>
    </row>
    <row r="1611" customFormat="false" ht="16" hidden="false" customHeight="false" outlineLevel="0" collapsed="false">
      <c r="A1611" s="1" t="s">
        <v>2737</v>
      </c>
      <c r="B1611" s="1" t="s">
        <v>2738</v>
      </c>
      <c r="C1611" s="1" t="s">
        <v>695</v>
      </c>
      <c r="D1611" s="1" t="s">
        <v>768</v>
      </c>
      <c r="E1611" s="1" t="s">
        <v>7</v>
      </c>
    </row>
    <row r="1612" customFormat="false" ht="16" hidden="false" customHeight="false" outlineLevel="0" collapsed="false">
      <c r="A1612" s="1" t="s">
        <v>2739</v>
      </c>
      <c r="B1612" s="1" t="s">
        <v>2740</v>
      </c>
      <c r="C1612" s="1" t="s">
        <v>695</v>
      </c>
      <c r="D1612" s="1" t="s">
        <v>768</v>
      </c>
      <c r="E1612" s="1" t="s">
        <v>7</v>
      </c>
    </row>
    <row r="1613" customFormat="false" ht="16" hidden="false" customHeight="false" outlineLevel="0" collapsed="false">
      <c r="A1613" s="1" t="s">
        <v>2741</v>
      </c>
      <c r="B1613" s="1" t="s">
        <v>2742</v>
      </c>
      <c r="C1613" s="1" t="s">
        <v>695</v>
      </c>
      <c r="D1613" s="1" t="s">
        <v>764</v>
      </c>
      <c r="E1613" s="1" t="s">
        <v>7</v>
      </c>
    </row>
    <row r="1614" customFormat="false" ht="16" hidden="false" customHeight="false" outlineLevel="0" collapsed="false">
      <c r="A1614" s="1" t="s">
        <v>2743</v>
      </c>
      <c r="B1614" s="1" t="s">
        <v>2742</v>
      </c>
      <c r="C1614" s="1" t="s">
        <v>695</v>
      </c>
      <c r="D1614" s="1" t="s">
        <v>766</v>
      </c>
      <c r="E1614" s="1" t="s">
        <v>7</v>
      </c>
    </row>
    <row r="1615" customFormat="false" ht="16" hidden="false" customHeight="false" outlineLevel="0" collapsed="false">
      <c r="A1615" s="1" t="s">
        <v>2744</v>
      </c>
      <c r="B1615" s="1" t="s">
        <v>2742</v>
      </c>
      <c r="C1615" s="1" t="s">
        <v>695</v>
      </c>
      <c r="D1615" s="1" t="s">
        <v>768</v>
      </c>
      <c r="E1615" s="1" t="s">
        <v>7</v>
      </c>
    </row>
    <row r="1616" customFormat="false" ht="16" hidden="false" customHeight="false" outlineLevel="0" collapsed="false">
      <c r="A1616" s="1" t="s">
        <v>2745</v>
      </c>
      <c r="B1616" s="1" t="s">
        <v>2742</v>
      </c>
      <c r="C1616" s="1" t="s">
        <v>695</v>
      </c>
      <c r="D1616" s="1" t="s">
        <v>770</v>
      </c>
      <c r="E1616" s="1" t="s">
        <v>7</v>
      </c>
    </row>
    <row r="1617" customFormat="false" ht="16" hidden="false" customHeight="false" outlineLevel="0" collapsed="false">
      <c r="A1617" s="1" t="s">
        <v>2746</v>
      </c>
      <c r="B1617" s="1" t="s">
        <v>2742</v>
      </c>
      <c r="C1617" s="1" t="s">
        <v>695</v>
      </c>
      <c r="D1617" s="1" t="s">
        <v>696</v>
      </c>
      <c r="E1617" s="1" t="s">
        <v>7</v>
      </c>
    </row>
    <row r="1618" customFormat="false" ht="16" hidden="false" customHeight="false" outlineLevel="0" collapsed="false">
      <c r="A1618" s="1" t="s">
        <v>2747</v>
      </c>
      <c r="B1618" s="1" t="s">
        <v>2748</v>
      </c>
      <c r="C1618" s="1" t="s">
        <v>695</v>
      </c>
      <c r="D1618" s="1" t="s">
        <v>770</v>
      </c>
      <c r="E1618" s="1" t="s">
        <v>7</v>
      </c>
    </row>
    <row r="1619" customFormat="false" ht="16" hidden="false" customHeight="false" outlineLevel="0" collapsed="false">
      <c r="A1619" s="1" t="s">
        <v>2749</v>
      </c>
      <c r="B1619" s="1" t="s">
        <v>2750</v>
      </c>
      <c r="C1619" s="1" t="s">
        <v>695</v>
      </c>
      <c r="D1619" s="1" t="s">
        <v>764</v>
      </c>
      <c r="E1619" s="1" t="s">
        <v>7</v>
      </c>
    </row>
    <row r="1620" customFormat="false" ht="16" hidden="false" customHeight="false" outlineLevel="0" collapsed="false">
      <c r="A1620" s="1" t="s">
        <v>2751</v>
      </c>
      <c r="B1620" s="1" t="s">
        <v>2750</v>
      </c>
      <c r="C1620" s="1" t="s">
        <v>695</v>
      </c>
      <c r="D1620" s="1" t="s">
        <v>766</v>
      </c>
      <c r="E1620" s="1" t="s">
        <v>7</v>
      </c>
    </row>
    <row r="1621" customFormat="false" ht="16" hidden="false" customHeight="false" outlineLevel="0" collapsed="false">
      <c r="A1621" s="1" t="s">
        <v>2752</v>
      </c>
      <c r="B1621" s="1" t="s">
        <v>2750</v>
      </c>
      <c r="C1621" s="1" t="s">
        <v>695</v>
      </c>
      <c r="D1621" s="1" t="s">
        <v>768</v>
      </c>
      <c r="E1621" s="1" t="s">
        <v>7</v>
      </c>
    </row>
    <row r="1622" customFormat="false" ht="16" hidden="false" customHeight="false" outlineLevel="0" collapsed="false">
      <c r="A1622" s="1" t="s">
        <v>2753</v>
      </c>
      <c r="B1622" s="1" t="s">
        <v>2750</v>
      </c>
      <c r="C1622" s="1" t="s">
        <v>695</v>
      </c>
      <c r="D1622" s="1" t="s">
        <v>770</v>
      </c>
      <c r="E1622" s="1" t="s">
        <v>7</v>
      </c>
    </row>
    <row r="1623" customFormat="false" ht="16" hidden="false" customHeight="false" outlineLevel="0" collapsed="false">
      <c r="A1623" s="1" t="s">
        <v>2754</v>
      </c>
      <c r="B1623" s="1" t="s">
        <v>2750</v>
      </c>
      <c r="C1623" s="1" t="s">
        <v>695</v>
      </c>
      <c r="D1623" s="1" t="s">
        <v>696</v>
      </c>
      <c r="E1623" s="1" t="s">
        <v>7</v>
      </c>
    </row>
    <row r="1624" customFormat="false" ht="16" hidden="false" customHeight="false" outlineLevel="0" collapsed="false">
      <c r="A1624" s="1" t="s">
        <v>2755</v>
      </c>
      <c r="B1624" s="1" t="s">
        <v>191</v>
      </c>
      <c r="C1624" s="1" t="s">
        <v>695</v>
      </c>
      <c r="D1624" s="1" t="s">
        <v>764</v>
      </c>
      <c r="E1624" s="1" t="s">
        <v>7</v>
      </c>
    </row>
    <row r="1625" customFormat="false" ht="16" hidden="false" customHeight="false" outlineLevel="0" collapsed="false">
      <c r="A1625" s="1" t="s">
        <v>2756</v>
      </c>
      <c r="B1625" s="1" t="s">
        <v>191</v>
      </c>
      <c r="C1625" s="1" t="s">
        <v>695</v>
      </c>
      <c r="D1625" s="1" t="s">
        <v>766</v>
      </c>
      <c r="E1625" s="1" t="s">
        <v>7</v>
      </c>
    </row>
    <row r="1626" customFormat="false" ht="16" hidden="false" customHeight="false" outlineLevel="0" collapsed="false">
      <c r="A1626" s="1" t="s">
        <v>2757</v>
      </c>
      <c r="B1626" s="1" t="s">
        <v>191</v>
      </c>
      <c r="C1626" s="1" t="s">
        <v>695</v>
      </c>
      <c r="D1626" s="1" t="s">
        <v>768</v>
      </c>
      <c r="E1626" s="1" t="s">
        <v>7</v>
      </c>
    </row>
    <row r="1627" customFormat="false" ht="16" hidden="false" customHeight="false" outlineLevel="0" collapsed="false">
      <c r="A1627" s="1" t="s">
        <v>2758</v>
      </c>
      <c r="B1627" s="1" t="s">
        <v>191</v>
      </c>
      <c r="C1627" s="1" t="s">
        <v>695</v>
      </c>
      <c r="D1627" s="1" t="s">
        <v>770</v>
      </c>
      <c r="E1627" s="1" t="s">
        <v>7</v>
      </c>
    </row>
    <row r="1628" customFormat="false" ht="16" hidden="false" customHeight="false" outlineLevel="0" collapsed="false">
      <c r="A1628" s="1" t="s">
        <v>2759</v>
      </c>
      <c r="B1628" s="1" t="s">
        <v>191</v>
      </c>
      <c r="C1628" s="1" t="s">
        <v>695</v>
      </c>
      <c r="D1628" s="1" t="s">
        <v>696</v>
      </c>
      <c r="E1628" s="1" t="s">
        <v>7</v>
      </c>
    </row>
    <row r="1629" customFormat="false" ht="16" hidden="false" customHeight="false" outlineLevel="0" collapsed="false">
      <c r="A1629" s="1" t="s">
        <v>2760</v>
      </c>
      <c r="B1629" s="1" t="s">
        <v>2761</v>
      </c>
      <c r="C1629" s="1" t="s">
        <v>695</v>
      </c>
      <c r="D1629" s="1" t="s">
        <v>764</v>
      </c>
      <c r="E1629" s="1" t="s">
        <v>906</v>
      </c>
    </row>
    <row r="1630" customFormat="false" ht="16" hidden="false" customHeight="false" outlineLevel="0" collapsed="false">
      <c r="A1630" s="1" t="s">
        <v>2762</v>
      </c>
      <c r="B1630" s="1" t="s">
        <v>2761</v>
      </c>
      <c r="C1630" s="1" t="s">
        <v>695</v>
      </c>
      <c r="D1630" s="1" t="s">
        <v>766</v>
      </c>
      <c r="E1630" s="1" t="s">
        <v>906</v>
      </c>
    </row>
    <row r="1631" customFormat="false" ht="16" hidden="false" customHeight="false" outlineLevel="0" collapsed="false">
      <c r="A1631" s="1" t="s">
        <v>2763</v>
      </c>
      <c r="B1631" s="1" t="s">
        <v>2761</v>
      </c>
      <c r="C1631" s="1" t="s">
        <v>695</v>
      </c>
      <c r="D1631" s="1" t="s">
        <v>768</v>
      </c>
      <c r="E1631" s="1" t="s">
        <v>906</v>
      </c>
    </row>
    <row r="1632" customFormat="false" ht="16" hidden="false" customHeight="false" outlineLevel="0" collapsed="false">
      <c r="A1632" s="1" t="s">
        <v>2764</v>
      </c>
      <c r="B1632" s="1" t="s">
        <v>2761</v>
      </c>
      <c r="C1632" s="1" t="s">
        <v>695</v>
      </c>
      <c r="D1632" s="1" t="s">
        <v>770</v>
      </c>
      <c r="E1632" s="1" t="s">
        <v>906</v>
      </c>
    </row>
    <row r="1633" customFormat="false" ht="16" hidden="false" customHeight="false" outlineLevel="0" collapsed="false">
      <c r="A1633" s="1" t="s">
        <v>2765</v>
      </c>
      <c r="B1633" s="1" t="s">
        <v>2761</v>
      </c>
      <c r="C1633" s="1" t="s">
        <v>695</v>
      </c>
      <c r="D1633" s="1" t="s">
        <v>696</v>
      </c>
      <c r="E1633" s="1" t="s">
        <v>906</v>
      </c>
    </row>
    <row r="1634" customFormat="false" ht="16" hidden="false" customHeight="false" outlineLevel="0" collapsed="false">
      <c r="A1634" s="1" t="s">
        <v>2766</v>
      </c>
      <c r="B1634" s="1" t="s">
        <v>2767</v>
      </c>
      <c r="C1634" s="1" t="s">
        <v>695</v>
      </c>
      <c r="D1634" s="1" t="s">
        <v>764</v>
      </c>
      <c r="E1634" s="1" t="s">
        <v>906</v>
      </c>
    </row>
    <row r="1635" customFormat="false" ht="16" hidden="false" customHeight="false" outlineLevel="0" collapsed="false">
      <c r="A1635" s="1" t="s">
        <v>2768</v>
      </c>
      <c r="B1635" s="1" t="s">
        <v>2767</v>
      </c>
      <c r="C1635" s="1" t="s">
        <v>695</v>
      </c>
      <c r="D1635" s="1" t="s">
        <v>766</v>
      </c>
      <c r="E1635" s="1" t="s">
        <v>906</v>
      </c>
    </row>
    <row r="1636" customFormat="false" ht="16" hidden="false" customHeight="false" outlineLevel="0" collapsed="false">
      <c r="A1636" s="1" t="s">
        <v>2769</v>
      </c>
      <c r="B1636" s="1" t="s">
        <v>2767</v>
      </c>
      <c r="C1636" s="1" t="s">
        <v>695</v>
      </c>
      <c r="D1636" s="1" t="s">
        <v>768</v>
      </c>
      <c r="E1636" s="1" t="s">
        <v>906</v>
      </c>
    </row>
    <row r="1637" customFormat="false" ht="16" hidden="false" customHeight="false" outlineLevel="0" collapsed="false">
      <c r="A1637" s="1" t="s">
        <v>2770</v>
      </c>
      <c r="B1637" s="1" t="s">
        <v>2767</v>
      </c>
      <c r="C1637" s="1" t="s">
        <v>695</v>
      </c>
      <c r="D1637" s="1" t="s">
        <v>770</v>
      </c>
      <c r="E1637" s="1" t="s">
        <v>906</v>
      </c>
    </row>
    <row r="1638" customFormat="false" ht="16" hidden="false" customHeight="false" outlineLevel="0" collapsed="false">
      <c r="A1638" s="1" t="s">
        <v>2771</v>
      </c>
      <c r="B1638" s="1" t="s">
        <v>2767</v>
      </c>
      <c r="C1638" s="1" t="s">
        <v>695</v>
      </c>
      <c r="D1638" s="1" t="s">
        <v>696</v>
      </c>
      <c r="E1638" s="1" t="s">
        <v>906</v>
      </c>
    </row>
    <row r="1639" customFormat="false" ht="16" hidden="false" customHeight="false" outlineLevel="0" collapsed="false">
      <c r="A1639" s="1" t="s">
        <v>2772</v>
      </c>
      <c r="B1639" s="1" t="s">
        <v>2773</v>
      </c>
      <c r="C1639" s="1" t="s">
        <v>695</v>
      </c>
      <c r="D1639" s="1" t="s">
        <v>764</v>
      </c>
      <c r="E1639" s="1" t="s">
        <v>906</v>
      </c>
    </row>
    <row r="1640" customFormat="false" ht="16" hidden="false" customHeight="false" outlineLevel="0" collapsed="false">
      <c r="A1640" s="1" t="s">
        <v>2774</v>
      </c>
      <c r="B1640" s="1" t="s">
        <v>2773</v>
      </c>
      <c r="C1640" s="1" t="s">
        <v>695</v>
      </c>
      <c r="D1640" s="1" t="s">
        <v>766</v>
      </c>
      <c r="E1640" s="1" t="s">
        <v>906</v>
      </c>
    </row>
    <row r="1641" customFormat="false" ht="16" hidden="false" customHeight="false" outlineLevel="0" collapsed="false">
      <c r="A1641" s="1" t="s">
        <v>2775</v>
      </c>
      <c r="B1641" s="1" t="s">
        <v>2773</v>
      </c>
      <c r="C1641" s="1" t="s">
        <v>695</v>
      </c>
      <c r="D1641" s="1" t="s">
        <v>768</v>
      </c>
      <c r="E1641" s="1" t="s">
        <v>906</v>
      </c>
    </row>
    <row r="1642" customFormat="false" ht="16" hidden="false" customHeight="false" outlineLevel="0" collapsed="false">
      <c r="A1642" s="1" t="s">
        <v>2776</v>
      </c>
      <c r="B1642" s="1" t="s">
        <v>2773</v>
      </c>
      <c r="C1642" s="1" t="s">
        <v>695</v>
      </c>
      <c r="D1642" s="1" t="s">
        <v>770</v>
      </c>
      <c r="E1642" s="1" t="s">
        <v>906</v>
      </c>
    </row>
    <row r="1643" customFormat="false" ht="16" hidden="false" customHeight="false" outlineLevel="0" collapsed="false">
      <c r="A1643" s="1" t="s">
        <v>2777</v>
      </c>
      <c r="B1643" s="1" t="s">
        <v>2773</v>
      </c>
      <c r="C1643" s="1" t="s">
        <v>695</v>
      </c>
      <c r="D1643" s="1" t="s">
        <v>696</v>
      </c>
      <c r="E1643" s="1" t="s">
        <v>906</v>
      </c>
    </row>
    <row r="1644" customFormat="false" ht="16" hidden="false" customHeight="false" outlineLevel="0" collapsed="false">
      <c r="A1644" s="1" t="s">
        <v>2778</v>
      </c>
      <c r="B1644" s="1" t="s">
        <v>2779</v>
      </c>
      <c r="C1644" s="1" t="s">
        <v>695</v>
      </c>
      <c r="D1644" s="1" t="s">
        <v>764</v>
      </c>
      <c r="E1644" s="1" t="s">
        <v>906</v>
      </c>
    </row>
    <row r="1645" customFormat="false" ht="16" hidden="false" customHeight="false" outlineLevel="0" collapsed="false">
      <c r="A1645" s="1" t="s">
        <v>2780</v>
      </c>
      <c r="B1645" s="1" t="s">
        <v>2779</v>
      </c>
      <c r="C1645" s="1" t="s">
        <v>695</v>
      </c>
      <c r="D1645" s="1" t="s">
        <v>766</v>
      </c>
      <c r="E1645" s="1" t="s">
        <v>906</v>
      </c>
    </row>
    <row r="1646" customFormat="false" ht="16" hidden="false" customHeight="false" outlineLevel="0" collapsed="false">
      <c r="A1646" s="1" t="s">
        <v>2781</v>
      </c>
      <c r="B1646" s="1" t="s">
        <v>2779</v>
      </c>
      <c r="C1646" s="1" t="s">
        <v>695</v>
      </c>
      <c r="D1646" s="1" t="s">
        <v>768</v>
      </c>
      <c r="E1646" s="1" t="s">
        <v>906</v>
      </c>
    </row>
    <row r="1647" customFormat="false" ht="16" hidden="false" customHeight="false" outlineLevel="0" collapsed="false">
      <c r="A1647" s="1" t="s">
        <v>2782</v>
      </c>
      <c r="B1647" s="1" t="s">
        <v>2779</v>
      </c>
      <c r="C1647" s="1" t="s">
        <v>695</v>
      </c>
      <c r="D1647" s="1" t="s">
        <v>770</v>
      </c>
      <c r="E1647" s="1" t="s">
        <v>906</v>
      </c>
    </row>
    <row r="1648" customFormat="false" ht="16" hidden="false" customHeight="false" outlineLevel="0" collapsed="false">
      <c r="A1648" s="1" t="s">
        <v>2783</v>
      </c>
      <c r="B1648" s="1" t="s">
        <v>2779</v>
      </c>
      <c r="C1648" s="1" t="s">
        <v>695</v>
      </c>
      <c r="D1648" s="1" t="s">
        <v>696</v>
      </c>
      <c r="E1648" s="1" t="s">
        <v>906</v>
      </c>
    </row>
    <row r="1649" customFormat="false" ht="16" hidden="false" customHeight="false" outlineLevel="0" collapsed="false">
      <c r="A1649" s="1" t="s">
        <v>2784</v>
      </c>
      <c r="B1649" s="1" t="s">
        <v>2785</v>
      </c>
      <c r="C1649" s="1" t="s">
        <v>695</v>
      </c>
      <c r="D1649" s="1" t="s">
        <v>770</v>
      </c>
      <c r="E1649" s="1" t="s">
        <v>7</v>
      </c>
    </row>
    <row r="1650" customFormat="false" ht="16" hidden="false" customHeight="false" outlineLevel="0" collapsed="false">
      <c r="A1650" s="1" t="s">
        <v>2786</v>
      </c>
      <c r="B1650" s="1" t="s">
        <v>79</v>
      </c>
      <c r="C1650" s="1" t="s">
        <v>695</v>
      </c>
      <c r="D1650" s="1" t="s">
        <v>764</v>
      </c>
      <c r="E1650" s="1" t="s">
        <v>7</v>
      </c>
    </row>
    <row r="1651" customFormat="false" ht="16" hidden="false" customHeight="false" outlineLevel="0" collapsed="false">
      <c r="A1651" s="1" t="s">
        <v>2787</v>
      </c>
      <c r="B1651" s="1" t="s">
        <v>79</v>
      </c>
      <c r="C1651" s="1" t="s">
        <v>695</v>
      </c>
      <c r="D1651" s="1" t="s">
        <v>766</v>
      </c>
      <c r="E1651" s="1" t="s">
        <v>7</v>
      </c>
    </row>
    <row r="1652" customFormat="false" ht="16" hidden="false" customHeight="false" outlineLevel="0" collapsed="false">
      <c r="A1652" s="1" t="s">
        <v>2788</v>
      </c>
      <c r="B1652" s="1" t="s">
        <v>79</v>
      </c>
      <c r="C1652" s="1" t="s">
        <v>695</v>
      </c>
      <c r="D1652" s="1" t="s">
        <v>768</v>
      </c>
      <c r="E1652" s="1" t="s">
        <v>7</v>
      </c>
    </row>
    <row r="1653" customFormat="false" ht="16" hidden="false" customHeight="false" outlineLevel="0" collapsed="false">
      <c r="A1653" s="1" t="s">
        <v>2789</v>
      </c>
      <c r="B1653" s="1" t="s">
        <v>79</v>
      </c>
      <c r="C1653" s="1" t="s">
        <v>695</v>
      </c>
      <c r="D1653" s="1" t="s">
        <v>770</v>
      </c>
      <c r="E1653" s="1" t="s">
        <v>7</v>
      </c>
    </row>
    <row r="1654" customFormat="false" ht="16" hidden="false" customHeight="false" outlineLevel="0" collapsed="false">
      <c r="A1654" s="1" t="s">
        <v>2790</v>
      </c>
      <c r="B1654" s="1" t="s">
        <v>79</v>
      </c>
      <c r="C1654" s="1" t="s">
        <v>695</v>
      </c>
      <c r="D1654" s="1" t="s">
        <v>696</v>
      </c>
      <c r="E1654" s="1" t="s">
        <v>7</v>
      </c>
    </row>
    <row r="1655" customFormat="false" ht="16" hidden="false" customHeight="false" outlineLevel="0" collapsed="false">
      <c r="A1655" s="1" t="s">
        <v>2791</v>
      </c>
      <c r="B1655" s="1" t="s">
        <v>2792</v>
      </c>
      <c r="C1655" s="1" t="s">
        <v>695</v>
      </c>
      <c r="D1655" s="1" t="s">
        <v>764</v>
      </c>
      <c r="E1655" s="1" t="s">
        <v>2793</v>
      </c>
    </row>
    <row r="1656" customFormat="false" ht="16" hidden="false" customHeight="false" outlineLevel="0" collapsed="false">
      <c r="A1656" s="1" t="s">
        <v>2794</v>
      </c>
      <c r="B1656" s="1" t="s">
        <v>2792</v>
      </c>
      <c r="C1656" s="1" t="s">
        <v>695</v>
      </c>
      <c r="D1656" s="1" t="s">
        <v>766</v>
      </c>
      <c r="E1656" s="1" t="s">
        <v>2793</v>
      </c>
    </row>
    <row r="1657" customFormat="false" ht="16" hidden="false" customHeight="false" outlineLevel="0" collapsed="false">
      <c r="A1657" s="1" t="s">
        <v>2795</v>
      </c>
      <c r="B1657" s="1" t="s">
        <v>2792</v>
      </c>
      <c r="C1657" s="1" t="s">
        <v>695</v>
      </c>
      <c r="D1657" s="1" t="s">
        <v>768</v>
      </c>
      <c r="E1657" s="1" t="s">
        <v>2793</v>
      </c>
    </row>
    <row r="1658" customFormat="false" ht="16" hidden="false" customHeight="false" outlineLevel="0" collapsed="false">
      <c r="A1658" s="1" t="s">
        <v>2796</v>
      </c>
      <c r="B1658" s="1" t="s">
        <v>2792</v>
      </c>
      <c r="C1658" s="1" t="s">
        <v>695</v>
      </c>
      <c r="D1658" s="1" t="s">
        <v>770</v>
      </c>
      <c r="E1658" s="1" t="s">
        <v>2793</v>
      </c>
    </row>
    <row r="1659" customFormat="false" ht="16" hidden="false" customHeight="false" outlineLevel="0" collapsed="false">
      <c r="A1659" s="1" t="s">
        <v>2797</v>
      </c>
      <c r="B1659" s="1" t="s">
        <v>2792</v>
      </c>
      <c r="C1659" s="1" t="s">
        <v>695</v>
      </c>
      <c r="D1659" s="1" t="s">
        <v>696</v>
      </c>
      <c r="E1659" s="1" t="s">
        <v>2793</v>
      </c>
    </row>
    <row r="1660" customFormat="false" ht="16" hidden="false" customHeight="false" outlineLevel="0" collapsed="false">
      <c r="A1660" s="1" t="s">
        <v>2798</v>
      </c>
      <c r="B1660" s="1" t="s">
        <v>2799</v>
      </c>
      <c r="C1660" s="1" t="s">
        <v>695</v>
      </c>
      <c r="D1660" s="1" t="s">
        <v>764</v>
      </c>
      <c r="E1660" s="1" t="s">
        <v>906</v>
      </c>
    </row>
    <row r="1661" customFormat="false" ht="16" hidden="false" customHeight="false" outlineLevel="0" collapsed="false">
      <c r="A1661" s="1" t="s">
        <v>2800</v>
      </c>
      <c r="B1661" s="1" t="s">
        <v>2799</v>
      </c>
      <c r="C1661" s="1" t="s">
        <v>695</v>
      </c>
      <c r="D1661" s="1" t="s">
        <v>766</v>
      </c>
      <c r="E1661" s="1" t="s">
        <v>906</v>
      </c>
    </row>
    <row r="1662" customFormat="false" ht="16" hidden="false" customHeight="false" outlineLevel="0" collapsed="false">
      <c r="A1662" s="1" t="s">
        <v>2801</v>
      </c>
      <c r="B1662" s="1" t="s">
        <v>2799</v>
      </c>
      <c r="C1662" s="1" t="s">
        <v>695</v>
      </c>
      <c r="D1662" s="1" t="s">
        <v>768</v>
      </c>
      <c r="E1662" s="1" t="s">
        <v>906</v>
      </c>
    </row>
    <row r="1663" customFormat="false" ht="16" hidden="false" customHeight="false" outlineLevel="0" collapsed="false">
      <c r="A1663" s="1" t="s">
        <v>2802</v>
      </c>
      <c r="B1663" s="1" t="s">
        <v>2799</v>
      </c>
      <c r="C1663" s="1" t="s">
        <v>695</v>
      </c>
      <c r="D1663" s="1" t="s">
        <v>770</v>
      </c>
      <c r="E1663" s="1" t="s">
        <v>906</v>
      </c>
    </row>
    <row r="1664" customFormat="false" ht="16" hidden="false" customHeight="false" outlineLevel="0" collapsed="false">
      <c r="A1664" s="1" t="s">
        <v>2803</v>
      </c>
      <c r="B1664" s="1" t="s">
        <v>2799</v>
      </c>
      <c r="C1664" s="1" t="s">
        <v>695</v>
      </c>
      <c r="D1664" s="1" t="s">
        <v>696</v>
      </c>
      <c r="E1664" s="1" t="s">
        <v>906</v>
      </c>
    </row>
    <row r="1665" customFormat="false" ht="16" hidden="false" customHeight="false" outlineLevel="0" collapsed="false">
      <c r="A1665" s="1" t="s">
        <v>2804</v>
      </c>
      <c r="B1665" s="1" t="s">
        <v>2805</v>
      </c>
      <c r="C1665" s="1" t="s">
        <v>695</v>
      </c>
      <c r="D1665" s="1" t="s">
        <v>764</v>
      </c>
      <c r="E1665" s="1" t="s">
        <v>906</v>
      </c>
    </row>
    <row r="1666" customFormat="false" ht="16" hidden="false" customHeight="false" outlineLevel="0" collapsed="false">
      <c r="A1666" s="1" t="s">
        <v>2806</v>
      </c>
      <c r="B1666" s="1" t="s">
        <v>2805</v>
      </c>
      <c r="C1666" s="1" t="s">
        <v>695</v>
      </c>
      <c r="D1666" s="1" t="s">
        <v>766</v>
      </c>
      <c r="E1666" s="1" t="s">
        <v>906</v>
      </c>
    </row>
    <row r="1667" customFormat="false" ht="16" hidden="false" customHeight="false" outlineLevel="0" collapsed="false">
      <c r="A1667" s="1" t="s">
        <v>2807</v>
      </c>
      <c r="B1667" s="1" t="s">
        <v>2805</v>
      </c>
      <c r="C1667" s="1" t="s">
        <v>695</v>
      </c>
      <c r="D1667" s="1" t="s">
        <v>768</v>
      </c>
      <c r="E1667" s="1" t="s">
        <v>906</v>
      </c>
    </row>
    <row r="1668" customFormat="false" ht="16" hidden="false" customHeight="false" outlineLevel="0" collapsed="false">
      <c r="A1668" s="1" t="s">
        <v>2808</v>
      </c>
      <c r="B1668" s="1" t="s">
        <v>2805</v>
      </c>
      <c r="C1668" s="1" t="s">
        <v>695</v>
      </c>
      <c r="D1668" s="1" t="s">
        <v>770</v>
      </c>
      <c r="E1668" s="1" t="s">
        <v>906</v>
      </c>
    </row>
    <row r="1669" customFormat="false" ht="16" hidden="false" customHeight="false" outlineLevel="0" collapsed="false">
      <c r="A1669" s="1" t="s">
        <v>2809</v>
      </c>
      <c r="B1669" s="1" t="s">
        <v>2805</v>
      </c>
      <c r="C1669" s="1" t="s">
        <v>695</v>
      </c>
      <c r="D1669" s="1" t="s">
        <v>696</v>
      </c>
      <c r="E1669" s="1" t="s">
        <v>906</v>
      </c>
    </row>
    <row r="1670" customFormat="false" ht="16" hidden="false" customHeight="false" outlineLevel="0" collapsed="false">
      <c r="A1670" s="1" t="s">
        <v>2810</v>
      </c>
      <c r="B1670" s="1" t="s">
        <v>2811</v>
      </c>
      <c r="C1670" s="1" t="s">
        <v>695</v>
      </c>
      <c r="D1670" s="1" t="s">
        <v>764</v>
      </c>
      <c r="E1670" s="1" t="s">
        <v>906</v>
      </c>
    </row>
    <row r="1671" customFormat="false" ht="16" hidden="false" customHeight="false" outlineLevel="0" collapsed="false">
      <c r="A1671" s="1" t="s">
        <v>2812</v>
      </c>
      <c r="B1671" s="1" t="s">
        <v>2811</v>
      </c>
      <c r="C1671" s="1" t="s">
        <v>695</v>
      </c>
      <c r="D1671" s="1" t="s">
        <v>766</v>
      </c>
      <c r="E1671" s="1" t="s">
        <v>906</v>
      </c>
    </row>
    <row r="1672" customFormat="false" ht="16" hidden="false" customHeight="false" outlineLevel="0" collapsed="false">
      <c r="A1672" s="1" t="s">
        <v>2813</v>
      </c>
      <c r="B1672" s="1" t="s">
        <v>2811</v>
      </c>
      <c r="C1672" s="1" t="s">
        <v>695</v>
      </c>
      <c r="D1672" s="1" t="s">
        <v>768</v>
      </c>
      <c r="E1672" s="1" t="s">
        <v>906</v>
      </c>
    </row>
    <row r="1673" customFormat="false" ht="16" hidden="false" customHeight="false" outlineLevel="0" collapsed="false">
      <c r="A1673" s="1" t="s">
        <v>2814</v>
      </c>
      <c r="B1673" s="1" t="s">
        <v>2811</v>
      </c>
      <c r="C1673" s="1" t="s">
        <v>695</v>
      </c>
      <c r="D1673" s="1" t="s">
        <v>770</v>
      </c>
      <c r="E1673" s="1" t="s">
        <v>906</v>
      </c>
    </row>
    <row r="1674" customFormat="false" ht="16" hidden="false" customHeight="false" outlineLevel="0" collapsed="false">
      <c r="A1674" s="1" t="s">
        <v>2815</v>
      </c>
      <c r="B1674" s="1" t="s">
        <v>2811</v>
      </c>
      <c r="C1674" s="1" t="s">
        <v>695</v>
      </c>
      <c r="D1674" s="1" t="s">
        <v>696</v>
      </c>
      <c r="E1674" s="1" t="s">
        <v>906</v>
      </c>
    </row>
    <row r="1675" customFormat="false" ht="16" hidden="false" customHeight="false" outlineLevel="0" collapsed="false">
      <c r="A1675" s="1" t="s">
        <v>2816</v>
      </c>
      <c r="B1675" s="1" t="s">
        <v>2817</v>
      </c>
      <c r="C1675" s="1" t="s">
        <v>695</v>
      </c>
      <c r="D1675" s="1" t="s">
        <v>764</v>
      </c>
      <c r="E1675" s="1" t="s">
        <v>906</v>
      </c>
    </row>
    <row r="1676" customFormat="false" ht="16" hidden="false" customHeight="false" outlineLevel="0" collapsed="false">
      <c r="A1676" s="1" t="s">
        <v>2818</v>
      </c>
      <c r="B1676" s="1" t="s">
        <v>2817</v>
      </c>
      <c r="C1676" s="1" t="s">
        <v>695</v>
      </c>
      <c r="D1676" s="1" t="s">
        <v>766</v>
      </c>
      <c r="E1676" s="1" t="s">
        <v>906</v>
      </c>
    </row>
    <row r="1677" customFormat="false" ht="16" hidden="false" customHeight="false" outlineLevel="0" collapsed="false">
      <c r="A1677" s="1" t="s">
        <v>2819</v>
      </c>
      <c r="B1677" s="1" t="s">
        <v>2817</v>
      </c>
      <c r="C1677" s="1" t="s">
        <v>695</v>
      </c>
      <c r="D1677" s="1" t="s">
        <v>768</v>
      </c>
      <c r="E1677" s="1" t="s">
        <v>906</v>
      </c>
    </row>
    <row r="1678" customFormat="false" ht="16" hidden="false" customHeight="false" outlineLevel="0" collapsed="false">
      <c r="A1678" s="1" t="s">
        <v>2820</v>
      </c>
      <c r="B1678" s="1" t="s">
        <v>2817</v>
      </c>
      <c r="C1678" s="1" t="s">
        <v>695</v>
      </c>
      <c r="D1678" s="1" t="s">
        <v>770</v>
      </c>
      <c r="E1678" s="1" t="s">
        <v>906</v>
      </c>
    </row>
    <row r="1679" customFormat="false" ht="16" hidden="false" customHeight="false" outlineLevel="0" collapsed="false">
      <c r="A1679" s="1" t="s">
        <v>2821</v>
      </c>
      <c r="B1679" s="1" t="s">
        <v>2817</v>
      </c>
      <c r="C1679" s="1" t="s">
        <v>695</v>
      </c>
      <c r="D1679" s="1" t="s">
        <v>696</v>
      </c>
      <c r="E1679" s="1" t="s">
        <v>906</v>
      </c>
    </row>
    <row r="1680" customFormat="false" ht="16" hidden="false" customHeight="false" outlineLevel="0" collapsed="false">
      <c r="A1680" s="1" t="s">
        <v>2822</v>
      </c>
      <c r="B1680" s="1" t="s">
        <v>2823</v>
      </c>
      <c r="C1680" s="1" t="s">
        <v>695</v>
      </c>
      <c r="D1680" s="1" t="s">
        <v>764</v>
      </c>
      <c r="E1680" s="1" t="s">
        <v>906</v>
      </c>
    </row>
    <row r="1681" customFormat="false" ht="16" hidden="false" customHeight="false" outlineLevel="0" collapsed="false">
      <c r="A1681" s="1" t="s">
        <v>2824</v>
      </c>
      <c r="B1681" s="1" t="s">
        <v>2823</v>
      </c>
      <c r="C1681" s="1" t="s">
        <v>695</v>
      </c>
      <c r="D1681" s="1" t="s">
        <v>766</v>
      </c>
      <c r="E1681" s="1" t="s">
        <v>906</v>
      </c>
    </row>
    <row r="1682" customFormat="false" ht="16" hidden="false" customHeight="false" outlineLevel="0" collapsed="false">
      <c r="A1682" s="1" t="s">
        <v>2825</v>
      </c>
      <c r="B1682" s="1" t="s">
        <v>2823</v>
      </c>
      <c r="C1682" s="1" t="s">
        <v>695</v>
      </c>
      <c r="D1682" s="1" t="s">
        <v>768</v>
      </c>
      <c r="E1682" s="1" t="s">
        <v>906</v>
      </c>
    </row>
    <row r="1683" customFormat="false" ht="16" hidden="false" customHeight="false" outlineLevel="0" collapsed="false">
      <c r="A1683" s="1" t="s">
        <v>2826</v>
      </c>
      <c r="B1683" s="1" t="s">
        <v>2823</v>
      </c>
      <c r="C1683" s="1" t="s">
        <v>695</v>
      </c>
      <c r="D1683" s="1" t="s">
        <v>770</v>
      </c>
      <c r="E1683" s="1" t="s">
        <v>906</v>
      </c>
    </row>
    <row r="1684" customFormat="false" ht="16" hidden="false" customHeight="false" outlineLevel="0" collapsed="false">
      <c r="A1684" s="1" t="s">
        <v>2827</v>
      </c>
      <c r="B1684" s="1" t="s">
        <v>2823</v>
      </c>
      <c r="C1684" s="1" t="s">
        <v>695</v>
      </c>
      <c r="D1684" s="1" t="s">
        <v>696</v>
      </c>
      <c r="E1684" s="1" t="s">
        <v>906</v>
      </c>
    </row>
    <row r="1685" customFormat="false" ht="16" hidden="false" customHeight="false" outlineLevel="0" collapsed="false">
      <c r="A1685" s="1" t="s">
        <v>2828</v>
      </c>
      <c r="B1685" s="1" t="s">
        <v>2829</v>
      </c>
      <c r="C1685" s="1" t="s">
        <v>695</v>
      </c>
      <c r="D1685" s="1" t="s">
        <v>764</v>
      </c>
      <c r="E1685" s="1" t="s">
        <v>906</v>
      </c>
    </row>
    <row r="1686" customFormat="false" ht="16" hidden="false" customHeight="false" outlineLevel="0" collapsed="false">
      <c r="A1686" s="1" t="s">
        <v>2830</v>
      </c>
      <c r="B1686" s="1" t="s">
        <v>2829</v>
      </c>
      <c r="C1686" s="1" t="s">
        <v>695</v>
      </c>
      <c r="D1686" s="1" t="s">
        <v>766</v>
      </c>
      <c r="E1686" s="1" t="s">
        <v>906</v>
      </c>
    </row>
    <row r="1687" customFormat="false" ht="16" hidden="false" customHeight="false" outlineLevel="0" collapsed="false">
      <c r="A1687" s="1" t="s">
        <v>2831</v>
      </c>
      <c r="B1687" s="1" t="s">
        <v>2829</v>
      </c>
      <c r="C1687" s="1" t="s">
        <v>695</v>
      </c>
      <c r="D1687" s="1" t="s">
        <v>768</v>
      </c>
      <c r="E1687" s="1" t="s">
        <v>906</v>
      </c>
    </row>
    <row r="1688" customFormat="false" ht="16" hidden="false" customHeight="false" outlineLevel="0" collapsed="false">
      <c r="A1688" s="1" t="s">
        <v>2832</v>
      </c>
      <c r="B1688" s="1" t="s">
        <v>2829</v>
      </c>
      <c r="C1688" s="1" t="s">
        <v>695</v>
      </c>
      <c r="D1688" s="1" t="s">
        <v>770</v>
      </c>
      <c r="E1688" s="1" t="s">
        <v>906</v>
      </c>
    </row>
    <row r="1689" customFormat="false" ht="16" hidden="false" customHeight="false" outlineLevel="0" collapsed="false">
      <c r="A1689" s="1" t="s">
        <v>2833</v>
      </c>
      <c r="B1689" s="1" t="s">
        <v>2829</v>
      </c>
      <c r="C1689" s="1" t="s">
        <v>695</v>
      </c>
      <c r="D1689" s="1" t="s">
        <v>696</v>
      </c>
      <c r="E1689" s="1" t="s">
        <v>906</v>
      </c>
    </row>
    <row r="1690" customFormat="false" ht="16" hidden="false" customHeight="false" outlineLevel="0" collapsed="false">
      <c r="A1690" s="1" t="s">
        <v>2834</v>
      </c>
      <c r="B1690" s="1" t="s">
        <v>2835</v>
      </c>
      <c r="C1690" s="1" t="s">
        <v>695</v>
      </c>
      <c r="D1690" s="1" t="s">
        <v>764</v>
      </c>
      <c r="E1690" s="1" t="s">
        <v>906</v>
      </c>
    </row>
    <row r="1691" customFormat="false" ht="16" hidden="false" customHeight="false" outlineLevel="0" collapsed="false">
      <c r="A1691" s="1" t="s">
        <v>2836</v>
      </c>
      <c r="B1691" s="1" t="s">
        <v>2835</v>
      </c>
      <c r="C1691" s="1" t="s">
        <v>695</v>
      </c>
      <c r="D1691" s="1" t="s">
        <v>766</v>
      </c>
      <c r="E1691" s="1" t="s">
        <v>906</v>
      </c>
    </row>
    <row r="1692" customFormat="false" ht="16" hidden="false" customHeight="false" outlineLevel="0" collapsed="false">
      <c r="A1692" s="1" t="s">
        <v>2837</v>
      </c>
      <c r="B1692" s="1" t="s">
        <v>2835</v>
      </c>
      <c r="C1692" s="1" t="s">
        <v>695</v>
      </c>
      <c r="D1692" s="1" t="s">
        <v>768</v>
      </c>
      <c r="E1692" s="1" t="s">
        <v>906</v>
      </c>
    </row>
    <row r="1693" customFormat="false" ht="16" hidden="false" customHeight="false" outlineLevel="0" collapsed="false">
      <c r="A1693" s="1" t="s">
        <v>2838</v>
      </c>
      <c r="B1693" s="1" t="s">
        <v>2835</v>
      </c>
      <c r="C1693" s="1" t="s">
        <v>695</v>
      </c>
      <c r="D1693" s="1" t="s">
        <v>770</v>
      </c>
      <c r="E1693" s="1" t="s">
        <v>906</v>
      </c>
    </row>
    <row r="1694" customFormat="false" ht="16" hidden="false" customHeight="false" outlineLevel="0" collapsed="false">
      <c r="A1694" s="1" t="s">
        <v>2839</v>
      </c>
      <c r="B1694" s="1" t="s">
        <v>2835</v>
      </c>
      <c r="C1694" s="1" t="s">
        <v>695</v>
      </c>
      <c r="D1694" s="1" t="s">
        <v>696</v>
      </c>
      <c r="E1694" s="1" t="s">
        <v>906</v>
      </c>
    </row>
    <row r="1695" customFormat="false" ht="16" hidden="false" customHeight="false" outlineLevel="0" collapsed="false">
      <c r="A1695" s="1" t="s">
        <v>2840</v>
      </c>
      <c r="B1695" s="1" t="s">
        <v>2841</v>
      </c>
      <c r="C1695" s="1" t="s">
        <v>695</v>
      </c>
      <c r="D1695" s="1" t="s">
        <v>764</v>
      </c>
      <c r="E1695" s="1" t="s">
        <v>7</v>
      </c>
    </row>
    <row r="1696" customFormat="false" ht="16" hidden="false" customHeight="false" outlineLevel="0" collapsed="false">
      <c r="A1696" s="1" t="s">
        <v>2842</v>
      </c>
      <c r="B1696" s="1" t="s">
        <v>2841</v>
      </c>
      <c r="C1696" s="1" t="s">
        <v>695</v>
      </c>
      <c r="D1696" s="1" t="s">
        <v>766</v>
      </c>
      <c r="E1696" s="1" t="s">
        <v>7</v>
      </c>
    </row>
    <row r="1697" customFormat="false" ht="16" hidden="false" customHeight="false" outlineLevel="0" collapsed="false">
      <c r="A1697" s="1" t="s">
        <v>2843</v>
      </c>
      <c r="B1697" s="1" t="s">
        <v>2841</v>
      </c>
      <c r="C1697" s="1" t="s">
        <v>695</v>
      </c>
      <c r="D1697" s="1" t="s">
        <v>768</v>
      </c>
      <c r="E1697" s="1" t="s">
        <v>7</v>
      </c>
    </row>
    <row r="1698" customFormat="false" ht="16" hidden="false" customHeight="false" outlineLevel="0" collapsed="false">
      <c r="A1698" s="1" t="s">
        <v>2844</v>
      </c>
      <c r="B1698" s="1" t="s">
        <v>2841</v>
      </c>
      <c r="C1698" s="1" t="s">
        <v>695</v>
      </c>
      <c r="D1698" s="1" t="s">
        <v>770</v>
      </c>
      <c r="E1698" s="1" t="s">
        <v>7</v>
      </c>
    </row>
    <row r="1699" customFormat="false" ht="16" hidden="false" customHeight="false" outlineLevel="0" collapsed="false">
      <c r="A1699" s="1" t="s">
        <v>2845</v>
      </c>
      <c r="B1699" s="1" t="s">
        <v>2841</v>
      </c>
      <c r="C1699" s="1" t="s">
        <v>695</v>
      </c>
      <c r="D1699" s="1" t="s">
        <v>696</v>
      </c>
      <c r="E1699" s="1" t="s">
        <v>7</v>
      </c>
    </row>
    <row r="1700" customFormat="false" ht="16" hidden="false" customHeight="false" outlineLevel="0" collapsed="false">
      <c r="A1700" s="1" t="s">
        <v>2846</v>
      </c>
      <c r="B1700" s="1" t="s">
        <v>2847</v>
      </c>
      <c r="C1700" s="1" t="s">
        <v>695</v>
      </c>
      <c r="D1700" s="1" t="s">
        <v>768</v>
      </c>
      <c r="E1700" s="1" t="s">
        <v>7</v>
      </c>
    </row>
    <row r="1701" customFormat="false" ht="16" hidden="false" customHeight="false" outlineLevel="0" collapsed="false">
      <c r="A1701" s="1" t="s">
        <v>2848</v>
      </c>
      <c r="B1701" s="1" t="s">
        <v>61</v>
      </c>
      <c r="C1701" s="1" t="s">
        <v>695</v>
      </c>
      <c r="D1701" s="1" t="s">
        <v>764</v>
      </c>
      <c r="E1701" s="1" t="s">
        <v>7</v>
      </c>
    </row>
    <row r="1702" customFormat="false" ht="16" hidden="false" customHeight="false" outlineLevel="0" collapsed="false">
      <c r="A1702" s="1" t="s">
        <v>2849</v>
      </c>
      <c r="B1702" s="1" t="s">
        <v>61</v>
      </c>
      <c r="C1702" s="1" t="s">
        <v>695</v>
      </c>
      <c r="D1702" s="1" t="s">
        <v>766</v>
      </c>
      <c r="E1702" s="1" t="s">
        <v>7</v>
      </c>
    </row>
    <row r="1703" customFormat="false" ht="16" hidden="false" customHeight="false" outlineLevel="0" collapsed="false">
      <c r="A1703" s="1" t="s">
        <v>2850</v>
      </c>
      <c r="B1703" s="1" t="s">
        <v>61</v>
      </c>
      <c r="C1703" s="1" t="s">
        <v>695</v>
      </c>
      <c r="D1703" s="1" t="s">
        <v>768</v>
      </c>
      <c r="E1703" s="1" t="s">
        <v>7</v>
      </c>
    </row>
    <row r="1704" customFormat="false" ht="16" hidden="false" customHeight="false" outlineLevel="0" collapsed="false">
      <c r="A1704" s="1" t="s">
        <v>2851</v>
      </c>
      <c r="B1704" s="1" t="s">
        <v>61</v>
      </c>
      <c r="C1704" s="1" t="s">
        <v>695</v>
      </c>
      <c r="D1704" s="1" t="s">
        <v>770</v>
      </c>
      <c r="E1704" s="1" t="s">
        <v>7</v>
      </c>
    </row>
    <row r="1705" customFormat="false" ht="16" hidden="false" customHeight="false" outlineLevel="0" collapsed="false">
      <c r="A1705" s="1" t="s">
        <v>2852</v>
      </c>
      <c r="B1705" s="1" t="s">
        <v>61</v>
      </c>
      <c r="C1705" s="1" t="s">
        <v>695</v>
      </c>
      <c r="D1705" s="1" t="s">
        <v>696</v>
      </c>
      <c r="E1705" s="1" t="s">
        <v>7</v>
      </c>
    </row>
    <row r="1706" customFormat="false" ht="16" hidden="false" customHeight="false" outlineLevel="0" collapsed="false">
      <c r="A1706" s="1" t="s">
        <v>2853</v>
      </c>
      <c r="B1706" s="1" t="s">
        <v>2854</v>
      </c>
      <c r="C1706" s="1" t="s">
        <v>695</v>
      </c>
      <c r="D1706" s="1" t="s">
        <v>764</v>
      </c>
      <c r="E1706" s="1" t="s">
        <v>906</v>
      </c>
    </row>
    <row r="1707" customFormat="false" ht="16" hidden="false" customHeight="false" outlineLevel="0" collapsed="false">
      <c r="A1707" s="1" t="s">
        <v>2855</v>
      </c>
      <c r="B1707" s="1" t="s">
        <v>2854</v>
      </c>
      <c r="C1707" s="1" t="s">
        <v>695</v>
      </c>
      <c r="D1707" s="1" t="s">
        <v>766</v>
      </c>
      <c r="E1707" s="1" t="s">
        <v>906</v>
      </c>
    </row>
    <row r="1708" customFormat="false" ht="16" hidden="false" customHeight="false" outlineLevel="0" collapsed="false">
      <c r="A1708" s="1" t="s">
        <v>2856</v>
      </c>
      <c r="B1708" s="1" t="s">
        <v>2854</v>
      </c>
      <c r="C1708" s="1" t="s">
        <v>695</v>
      </c>
      <c r="D1708" s="1" t="s">
        <v>768</v>
      </c>
      <c r="E1708" s="1" t="s">
        <v>906</v>
      </c>
    </row>
    <row r="1709" customFormat="false" ht="16" hidden="false" customHeight="false" outlineLevel="0" collapsed="false">
      <c r="A1709" s="1" t="s">
        <v>2857</v>
      </c>
      <c r="B1709" s="1" t="s">
        <v>2854</v>
      </c>
      <c r="C1709" s="1" t="s">
        <v>695</v>
      </c>
      <c r="D1709" s="1" t="s">
        <v>770</v>
      </c>
      <c r="E1709" s="1" t="s">
        <v>906</v>
      </c>
    </row>
    <row r="1710" customFormat="false" ht="16" hidden="false" customHeight="false" outlineLevel="0" collapsed="false">
      <c r="A1710" s="1" t="s">
        <v>2858</v>
      </c>
      <c r="B1710" s="1" t="s">
        <v>2854</v>
      </c>
      <c r="C1710" s="1" t="s">
        <v>695</v>
      </c>
      <c r="D1710" s="1" t="s">
        <v>696</v>
      </c>
      <c r="E1710" s="1" t="s">
        <v>906</v>
      </c>
    </row>
    <row r="1711" customFormat="false" ht="16" hidden="false" customHeight="false" outlineLevel="0" collapsed="false">
      <c r="A1711" s="1" t="s">
        <v>2859</v>
      </c>
      <c r="B1711" s="1" t="s">
        <v>97</v>
      </c>
      <c r="C1711" s="1" t="s">
        <v>695</v>
      </c>
      <c r="D1711" s="1" t="s">
        <v>764</v>
      </c>
      <c r="E1711" s="1" t="s">
        <v>7</v>
      </c>
    </row>
    <row r="1712" customFormat="false" ht="16" hidden="false" customHeight="false" outlineLevel="0" collapsed="false">
      <c r="A1712" s="1" t="s">
        <v>2860</v>
      </c>
      <c r="B1712" s="1" t="s">
        <v>97</v>
      </c>
      <c r="C1712" s="1" t="s">
        <v>695</v>
      </c>
      <c r="D1712" s="1" t="s">
        <v>766</v>
      </c>
      <c r="E1712" s="1" t="s">
        <v>7</v>
      </c>
    </row>
    <row r="1713" customFormat="false" ht="16" hidden="false" customHeight="false" outlineLevel="0" collapsed="false">
      <c r="A1713" s="1" t="s">
        <v>2861</v>
      </c>
      <c r="B1713" s="1" t="s">
        <v>97</v>
      </c>
      <c r="C1713" s="1" t="s">
        <v>695</v>
      </c>
      <c r="D1713" s="1" t="s">
        <v>768</v>
      </c>
      <c r="E1713" s="1" t="s">
        <v>7</v>
      </c>
    </row>
    <row r="1714" customFormat="false" ht="16" hidden="false" customHeight="false" outlineLevel="0" collapsed="false">
      <c r="A1714" s="1" t="s">
        <v>2862</v>
      </c>
      <c r="B1714" s="1" t="s">
        <v>97</v>
      </c>
      <c r="C1714" s="1" t="s">
        <v>695</v>
      </c>
      <c r="D1714" s="1" t="s">
        <v>770</v>
      </c>
      <c r="E1714" s="1" t="s">
        <v>7</v>
      </c>
    </row>
    <row r="1715" customFormat="false" ht="16" hidden="false" customHeight="false" outlineLevel="0" collapsed="false">
      <c r="A1715" s="1" t="s">
        <v>2863</v>
      </c>
      <c r="B1715" s="1" t="s">
        <v>97</v>
      </c>
      <c r="C1715" s="1" t="s">
        <v>695</v>
      </c>
      <c r="D1715" s="1" t="s">
        <v>696</v>
      </c>
      <c r="E1715" s="1" t="s">
        <v>7</v>
      </c>
    </row>
    <row r="1716" customFormat="false" ht="16" hidden="false" customHeight="false" outlineLevel="0" collapsed="false">
      <c r="A1716" s="1" t="s">
        <v>2864</v>
      </c>
      <c r="B1716" s="1" t="s">
        <v>2865</v>
      </c>
      <c r="C1716" s="1" t="s">
        <v>695</v>
      </c>
      <c r="D1716" s="1" t="s">
        <v>764</v>
      </c>
      <c r="E1716" s="1" t="s">
        <v>906</v>
      </c>
    </row>
    <row r="1717" customFormat="false" ht="16" hidden="false" customHeight="false" outlineLevel="0" collapsed="false">
      <c r="A1717" s="1" t="s">
        <v>2866</v>
      </c>
      <c r="B1717" s="1" t="s">
        <v>2865</v>
      </c>
      <c r="C1717" s="1" t="s">
        <v>695</v>
      </c>
      <c r="D1717" s="1" t="s">
        <v>766</v>
      </c>
      <c r="E1717" s="1" t="s">
        <v>906</v>
      </c>
    </row>
    <row r="1718" customFormat="false" ht="16" hidden="false" customHeight="false" outlineLevel="0" collapsed="false">
      <c r="A1718" s="1" t="s">
        <v>2867</v>
      </c>
      <c r="B1718" s="1" t="s">
        <v>2865</v>
      </c>
      <c r="C1718" s="1" t="s">
        <v>695</v>
      </c>
      <c r="D1718" s="1" t="s">
        <v>768</v>
      </c>
      <c r="E1718" s="1" t="s">
        <v>906</v>
      </c>
    </row>
    <row r="1719" customFormat="false" ht="16" hidden="false" customHeight="false" outlineLevel="0" collapsed="false">
      <c r="A1719" s="1" t="s">
        <v>2868</v>
      </c>
      <c r="B1719" s="1" t="s">
        <v>2865</v>
      </c>
      <c r="C1719" s="1" t="s">
        <v>695</v>
      </c>
      <c r="D1719" s="1" t="s">
        <v>770</v>
      </c>
      <c r="E1719" s="1" t="s">
        <v>906</v>
      </c>
    </row>
    <row r="1720" customFormat="false" ht="16" hidden="false" customHeight="false" outlineLevel="0" collapsed="false">
      <c r="A1720" s="1" t="s">
        <v>2869</v>
      </c>
      <c r="B1720" s="1" t="s">
        <v>2865</v>
      </c>
      <c r="C1720" s="1" t="s">
        <v>695</v>
      </c>
      <c r="D1720" s="1" t="s">
        <v>696</v>
      </c>
      <c r="E1720" s="1" t="s">
        <v>906</v>
      </c>
    </row>
    <row r="1721" customFormat="false" ht="16" hidden="false" customHeight="false" outlineLevel="0" collapsed="false">
      <c r="A1721" s="1" t="s">
        <v>2870</v>
      </c>
      <c r="B1721" s="1" t="s">
        <v>2871</v>
      </c>
      <c r="C1721" s="1" t="s">
        <v>695</v>
      </c>
      <c r="D1721" s="1" t="s">
        <v>764</v>
      </c>
      <c r="E1721" s="1" t="s">
        <v>7</v>
      </c>
    </row>
    <row r="1722" customFormat="false" ht="16" hidden="false" customHeight="false" outlineLevel="0" collapsed="false">
      <c r="A1722" s="1" t="s">
        <v>2872</v>
      </c>
      <c r="B1722" s="1" t="s">
        <v>2871</v>
      </c>
      <c r="C1722" s="1" t="s">
        <v>695</v>
      </c>
      <c r="D1722" s="1" t="s">
        <v>766</v>
      </c>
      <c r="E1722" s="1" t="s">
        <v>7</v>
      </c>
    </row>
    <row r="1723" customFormat="false" ht="16" hidden="false" customHeight="false" outlineLevel="0" collapsed="false">
      <c r="A1723" s="1" t="s">
        <v>2873</v>
      </c>
      <c r="B1723" s="1" t="s">
        <v>2871</v>
      </c>
      <c r="C1723" s="1" t="s">
        <v>695</v>
      </c>
      <c r="D1723" s="1" t="s">
        <v>768</v>
      </c>
      <c r="E1723" s="1" t="s">
        <v>7</v>
      </c>
    </row>
    <row r="1724" customFormat="false" ht="16" hidden="false" customHeight="false" outlineLevel="0" collapsed="false">
      <c r="A1724" s="1" t="s">
        <v>2874</v>
      </c>
      <c r="B1724" s="1" t="s">
        <v>2871</v>
      </c>
      <c r="C1724" s="1" t="s">
        <v>695</v>
      </c>
      <c r="D1724" s="1" t="s">
        <v>770</v>
      </c>
      <c r="E1724" s="1" t="s">
        <v>7</v>
      </c>
    </row>
    <row r="1725" customFormat="false" ht="16" hidden="false" customHeight="false" outlineLevel="0" collapsed="false">
      <c r="A1725" s="1" t="s">
        <v>2875</v>
      </c>
      <c r="B1725" s="1" t="s">
        <v>2871</v>
      </c>
      <c r="C1725" s="1" t="s">
        <v>695</v>
      </c>
      <c r="D1725" s="1" t="s">
        <v>696</v>
      </c>
      <c r="E1725" s="1" t="s">
        <v>7</v>
      </c>
    </row>
    <row r="1726" customFormat="false" ht="16" hidden="false" customHeight="false" outlineLevel="0" collapsed="false">
      <c r="A1726" s="1" t="s">
        <v>2876</v>
      </c>
      <c r="B1726" s="1" t="s">
        <v>2877</v>
      </c>
      <c r="C1726" s="1" t="s">
        <v>695</v>
      </c>
      <c r="D1726" s="1" t="s">
        <v>764</v>
      </c>
      <c r="E1726" s="1" t="s">
        <v>7</v>
      </c>
    </row>
    <row r="1727" customFormat="false" ht="16" hidden="false" customHeight="false" outlineLevel="0" collapsed="false">
      <c r="A1727" s="1" t="s">
        <v>2878</v>
      </c>
      <c r="B1727" s="1" t="s">
        <v>2877</v>
      </c>
      <c r="C1727" s="1" t="s">
        <v>695</v>
      </c>
      <c r="D1727" s="1" t="s">
        <v>766</v>
      </c>
      <c r="E1727" s="1" t="s">
        <v>7</v>
      </c>
    </row>
    <row r="1728" customFormat="false" ht="16" hidden="false" customHeight="false" outlineLevel="0" collapsed="false">
      <c r="A1728" s="1" t="s">
        <v>2879</v>
      </c>
      <c r="B1728" s="1" t="s">
        <v>2877</v>
      </c>
      <c r="C1728" s="1" t="s">
        <v>695</v>
      </c>
      <c r="D1728" s="1" t="s">
        <v>768</v>
      </c>
      <c r="E1728" s="1" t="s">
        <v>7</v>
      </c>
    </row>
    <row r="1729" customFormat="false" ht="16" hidden="false" customHeight="false" outlineLevel="0" collapsed="false">
      <c r="A1729" s="1" t="s">
        <v>2880</v>
      </c>
      <c r="B1729" s="1" t="s">
        <v>2877</v>
      </c>
      <c r="C1729" s="1" t="s">
        <v>695</v>
      </c>
      <c r="D1729" s="1" t="s">
        <v>770</v>
      </c>
      <c r="E1729" s="1" t="s">
        <v>7</v>
      </c>
    </row>
    <row r="1730" customFormat="false" ht="16" hidden="false" customHeight="false" outlineLevel="0" collapsed="false">
      <c r="A1730" s="1" t="s">
        <v>2881</v>
      </c>
      <c r="B1730" s="1" t="s">
        <v>2877</v>
      </c>
      <c r="C1730" s="1" t="s">
        <v>695</v>
      </c>
      <c r="D1730" s="1" t="s">
        <v>696</v>
      </c>
      <c r="E1730" s="1" t="s">
        <v>7</v>
      </c>
    </row>
    <row r="1731" customFormat="false" ht="16" hidden="false" customHeight="false" outlineLevel="0" collapsed="false">
      <c r="A1731" s="1" t="s">
        <v>2882</v>
      </c>
      <c r="B1731" s="1" t="s">
        <v>2883</v>
      </c>
      <c r="C1731" s="1" t="s">
        <v>695</v>
      </c>
      <c r="D1731" s="1" t="s">
        <v>764</v>
      </c>
      <c r="E1731" s="1" t="s">
        <v>7</v>
      </c>
    </row>
    <row r="1732" customFormat="false" ht="16" hidden="false" customHeight="false" outlineLevel="0" collapsed="false">
      <c r="A1732" s="1" t="s">
        <v>2884</v>
      </c>
      <c r="B1732" s="1" t="s">
        <v>2883</v>
      </c>
      <c r="C1732" s="1" t="s">
        <v>695</v>
      </c>
      <c r="D1732" s="1" t="s">
        <v>766</v>
      </c>
      <c r="E1732" s="1" t="s">
        <v>7</v>
      </c>
    </row>
    <row r="1733" customFormat="false" ht="16" hidden="false" customHeight="false" outlineLevel="0" collapsed="false">
      <c r="A1733" s="1" t="s">
        <v>2885</v>
      </c>
      <c r="B1733" s="1" t="s">
        <v>2883</v>
      </c>
      <c r="C1733" s="1" t="s">
        <v>695</v>
      </c>
      <c r="D1733" s="1" t="s">
        <v>768</v>
      </c>
      <c r="E1733" s="1" t="s">
        <v>7</v>
      </c>
    </row>
    <row r="1734" customFormat="false" ht="16" hidden="false" customHeight="false" outlineLevel="0" collapsed="false">
      <c r="A1734" s="1" t="s">
        <v>2886</v>
      </c>
      <c r="B1734" s="1" t="s">
        <v>2883</v>
      </c>
      <c r="C1734" s="1" t="s">
        <v>695</v>
      </c>
      <c r="D1734" s="1" t="s">
        <v>770</v>
      </c>
      <c r="E1734" s="1" t="s">
        <v>7</v>
      </c>
    </row>
    <row r="1735" customFormat="false" ht="16" hidden="false" customHeight="false" outlineLevel="0" collapsed="false">
      <c r="A1735" s="1" t="s">
        <v>2887</v>
      </c>
      <c r="B1735" s="1" t="s">
        <v>2883</v>
      </c>
      <c r="C1735" s="1" t="s">
        <v>695</v>
      </c>
      <c r="D1735" s="1" t="s">
        <v>696</v>
      </c>
      <c r="E1735" s="1" t="s">
        <v>7</v>
      </c>
    </row>
    <row r="1736" customFormat="false" ht="16" hidden="false" customHeight="false" outlineLevel="0" collapsed="false">
      <c r="A1736" s="1" t="s">
        <v>2888</v>
      </c>
      <c r="B1736" s="1" t="s">
        <v>2889</v>
      </c>
      <c r="C1736" s="1" t="s">
        <v>695</v>
      </c>
      <c r="D1736" s="1" t="s">
        <v>764</v>
      </c>
      <c r="E1736" s="1" t="s">
        <v>7</v>
      </c>
    </row>
    <row r="1737" customFormat="false" ht="16" hidden="false" customHeight="false" outlineLevel="0" collapsed="false">
      <c r="A1737" s="1" t="s">
        <v>2890</v>
      </c>
      <c r="B1737" s="1" t="s">
        <v>2889</v>
      </c>
      <c r="C1737" s="1" t="s">
        <v>695</v>
      </c>
      <c r="D1737" s="1" t="s">
        <v>766</v>
      </c>
      <c r="E1737" s="1" t="s">
        <v>7</v>
      </c>
    </row>
    <row r="1738" customFormat="false" ht="16" hidden="false" customHeight="false" outlineLevel="0" collapsed="false">
      <c r="A1738" s="1" t="s">
        <v>2891</v>
      </c>
      <c r="B1738" s="1" t="s">
        <v>2889</v>
      </c>
      <c r="C1738" s="1" t="s">
        <v>695</v>
      </c>
      <c r="D1738" s="1" t="s">
        <v>768</v>
      </c>
      <c r="E1738" s="1" t="s">
        <v>7</v>
      </c>
    </row>
    <row r="1739" customFormat="false" ht="16" hidden="false" customHeight="false" outlineLevel="0" collapsed="false">
      <c r="A1739" s="1" t="s">
        <v>2892</v>
      </c>
      <c r="B1739" s="1" t="s">
        <v>2889</v>
      </c>
      <c r="C1739" s="1" t="s">
        <v>695</v>
      </c>
      <c r="D1739" s="1" t="s">
        <v>770</v>
      </c>
      <c r="E1739" s="1" t="s">
        <v>7</v>
      </c>
    </row>
    <row r="1740" customFormat="false" ht="16" hidden="false" customHeight="false" outlineLevel="0" collapsed="false">
      <c r="A1740" s="1" t="s">
        <v>2893</v>
      </c>
      <c r="B1740" s="1" t="s">
        <v>2889</v>
      </c>
      <c r="C1740" s="1" t="s">
        <v>695</v>
      </c>
      <c r="D1740" s="1" t="s">
        <v>696</v>
      </c>
      <c r="E1740" s="1" t="s">
        <v>7</v>
      </c>
    </row>
    <row r="1741" customFormat="false" ht="16" hidden="false" customHeight="false" outlineLevel="0" collapsed="false">
      <c r="A1741" s="1" t="s">
        <v>2894</v>
      </c>
      <c r="B1741" s="1" t="s">
        <v>2895</v>
      </c>
      <c r="C1741" s="1" t="s">
        <v>695</v>
      </c>
      <c r="D1741" s="1" t="s">
        <v>764</v>
      </c>
      <c r="E1741" s="1" t="s">
        <v>7</v>
      </c>
    </row>
    <row r="1742" customFormat="false" ht="16" hidden="false" customHeight="false" outlineLevel="0" collapsed="false">
      <c r="A1742" s="1" t="s">
        <v>2896</v>
      </c>
      <c r="B1742" s="1" t="s">
        <v>2895</v>
      </c>
      <c r="C1742" s="1" t="s">
        <v>695</v>
      </c>
      <c r="D1742" s="1" t="s">
        <v>766</v>
      </c>
      <c r="E1742" s="1" t="s">
        <v>7</v>
      </c>
    </row>
    <row r="1743" customFormat="false" ht="16" hidden="false" customHeight="false" outlineLevel="0" collapsed="false">
      <c r="A1743" s="1" t="s">
        <v>2897</v>
      </c>
      <c r="B1743" s="1" t="s">
        <v>2895</v>
      </c>
      <c r="C1743" s="1" t="s">
        <v>695</v>
      </c>
      <c r="D1743" s="1" t="s">
        <v>768</v>
      </c>
      <c r="E1743" s="1" t="s">
        <v>7</v>
      </c>
    </row>
    <row r="1744" customFormat="false" ht="16" hidden="false" customHeight="false" outlineLevel="0" collapsed="false">
      <c r="A1744" s="1" t="s">
        <v>2898</v>
      </c>
      <c r="B1744" s="1" t="s">
        <v>2895</v>
      </c>
      <c r="C1744" s="1" t="s">
        <v>695</v>
      </c>
      <c r="D1744" s="1" t="s">
        <v>770</v>
      </c>
      <c r="E1744" s="1" t="s">
        <v>7</v>
      </c>
    </row>
    <row r="1745" customFormat="false" ht="16" hidden="false" customHeight="false" outlineLevel="0" collapsed="false">
      <c r="A1745" s="1" t="s">
        <v>2899</v>
      </c>
      <c r="B1745" s="1" t="s">
        <v>2895</v>
      </c>
      <c r="C1745" s="1" t="s">
        <v>695</v>
      </c>
      <c r="D1745" s="1" t="s">
        <v>696</v>
      </c>
      <c r="E1745" s="1" t="s">
        <v>7</v>
      </c>
    </row>
    <row r="1746" customFormat="false" ht="16" hidden="false" customHeight="false" outlineLevel="0" collapsed="false">
      <c r="A1746" s="1" t="s">
        <v>2900</v>
      </c>
      <c r="B1746" s="1" t="s">
        <v>2901</v>
      </c>
      <c r="C1746" s="1" t="s">
        <v>2902</v>
      </c>
      <c r="D1746" s="1" t="s">
        <v>2903</v>
      </c>
      <c r="E1746" s="1" t="s">
        <v>2904</v>
      </c>
    </row>
    <row r="1747" customFormat="false" ht="16" hidden="false" customHeight="false" outlineLevel="0" collapsed="false">
      <c r="A1747" s="1" t="s">
        <v>2905</v>
      </c>
      <c r="B1747" s="1" t="s">
        <v>2906</v>
      </c>
      <c r="C1747" s="1" t="s">
        <v>2902</v>
      </c>
      <c r="D1747" s="1" t="s">
        <v>2903</v>
      </c>
      <c r="E1747" s="1" t="s">
        <v>2904</v>
      </c>
    </row>
    <row r="1748" customFormat="false" ht="16" hidden="false" customHeight="false" outlineLevel="0" collapsed="false">
      <c r="A1748" s="1" t="s">
        <v>2907</v>
      </c>
      <c r="B1748" s="1" t="s">
        <v>2908</v>
      </c>
      <c r="C1748" s="1" t="s">
        <v>2902</v>
      </c>
      <c r="D1748" s="1" t="s">
        <v>2903</v>
      </c>
      <c r="E1748" s="1" t="s">
        <v>2904</v>
      </c>
    </row>
    <row r="1749" customFormat="false" ht="16" hidden="false" customHeight="false" outlineLevel="0" collapsed="false">
      <c r="A1749" s="1" t="s">
        <v>2909</v>
      </c>
      <c r="B1749" s="1" t="s">
        <v>2910</v>
      </c>
      <c r="C1749" s="1" t="s">
        <v>2902</v>
      </c>
      <c r="D1749" s="1" t="s">
        <v>2903</v>
      </c>
      <c r="E1749" s="1" t="s">
        <v>2904</v>
      </c>
    </row>
    <row r="1750" customFormat="false" ht="16" hidden="false" customHeight="false" outlineLevel="0" collapsed="false">
      <c r="A1750" s="1" t="s">
        <v>2911</v>
      </c>
      <c r="B1750" s="1" t="s">
        <v>2912</v>
      </c>
      <c r="C1750" s="1" t="s">
        <v>2902</v>
      </c>
      <c r="D1750" s="1" t="s">
        <v>2903</v>
      </c>
      <c r="E1750" s="1" t="s">
        <v>2904</v>
      </c>
    </row>
    <row r="1751" customFormat="false" ht="16" hidden="false" customHeight="false" outlineLevel="0" collapsed="false">
      <c r="A1751" s="1" t="s">
        <v>2913</v>
      </c>
      <c r="B1751" s="1" t="s">
        <v>2914</v>
      </c>
      <c r="C1751" s="1" t="s">
        <v>703</v>
      </c>
      <c r="D1751" s="1" t="s">
        <v>2915</v>
      </c>
      <c r="E1751" s="1" t="s">
        <v>7</v>
      </c>
    </row>
    <row r="1752" customFormat="false" ht="16" hidden="false" customHeight="false" outlineLevel="0" collapsed="false">
      <c r="A1752" s="1" t="s">
        <v>2916</v>
      </c>
      <c r="B1752" s="1" t="s">
        <v>2917</v>
      </c>
      <c r="C1752" s="1" t="s">
        <v>703</v>
      </c>
      <c r="D1752" s="1" t="s">
        <v>2915</v>
      </c>
      <c r="E1752" s="1" t="s">
        <v>7</v>
      </c>
    </row>
    <row r="1753" customFormat="false" ht="16" hidden="false" customHeight="false" outlineLevel="0" collapsed="false">
      <c r="A1753" s="1" t="s">
        <v>2918</v>
      </c>
      <c r="B1753" s="1" t="s">
        <v>2919</v>
      </c>
      <c r="C1753" s="1" t="s">
        <v>703</v>
      </c>
      <c r="D1753" s="1" t="s">
        <v>2915</v>
      </c>
      <c r="E1753" s="1" t="s">
        <v>7</v>
      </c>
    </row>
    <row r="1754" customFormat="false" ht="16" hidden="false" customHeight="false" outlineLevel="0" collapsed="false">
      <c r="A1754" s="1" t="s">
        <v>2920</v>
      </c>
      <c r="B1754" s="1" t="s">
        <v>981</v>
      </c>
      <c r="C1754" s="1" t="s">
        <v>703</v>
      </c>
      <c r="D1754" s="1" t="s">
        <v>704</v>
      </c>
      <c r="E1754" s="1" t="s">
        <v>7</v>
      </c>
    </row>
    <row r="1755" customFormat="false" ht="16" hidden="false" customHeight="false" outlineLevel="0" collapsed="false">
      <c r="A1755" s="1" t="s">
        <v>2921</v>
      </c>
      <c r="B1755" s="1" t="s">
        <v>2922</v>
      </c>
      <c r="C1755" s="1" t="s">
        <v>703</v>
      </c>
      <c r="D1755" s="1" t="s">
        <v>2915</v>
      </c>
      <c r="E1755" s="1" t="s">
        <v>7</v>
      </c>
    </row>
    <row r="1756" customFormat="false" ht="16" hidden="false" customHeight="false" outlineLevel="0" collapsed="false">
      <c r="A1756" s="1" t="s">
        <v>2923</v>
      </c>
      <c r="B1756" s="1" t="s">
        <v>2924</v>
      </c>
      <c r="C1756" s="1" t="s">
        <v>703</v>
      </c>
      <c r="D1756" s="1" t="s">
        <v>2915</v>
      </c>
      <c r="E1756" s="1" t="s">
        <v>7</v>
      </c>
    </row>
    <row r="1757" customFormat="false" ht="16" hidden="false" customHeight="false" outlineLevel="0" collapsed="false">
      <c r="A1757" s="1" t="s">
        <v>2925</v>
      </c>
      <c r="B1757" s="1" t="s">
        <v>2926</v>
      </c>
      <c r="C1757" s="1" t="s">
        <v>703</v>
      </c>
      <c r="D1757" s="1" t="s">
        <v>2915</v>
      </c>
      <c r="E1757" s="1" t="s">
        <v>7</v>
      </c>
    </row>
    <row r="1758" customFormat="false" ht="16" hidden="false" customHeight="false" outlineLevel="0" collapsed="false">
      <c r="A1758" s="1" t="s">
        <v>2927</v>
      </c>
      <c r="B1758" s="1" t="s">
        <v>2928</v>
      </c>
      <c r="C1758" s="1" t="s">
        <v>703</v>
      </c>
      <c r="D1758" s="1" t="s">
        <v>2929</v>
      </c>
      <c r="E1758" s="1" t="s">
        <v>7</v>
      </c>
    </row>
    <row r="1759" customFormat="false" ht="16" hidden="false" customHeight="false" outlineLevel="0" collapsed="false">
      <c r="A1759" s="1" t="s">
        <v>2930</v>
      </c>
      <c r="B1759" s="1" t="s">
        <v>2931</v>
      </c>
      <c r="C1759" s="1" t="s">
        <v>703</v>
      </c>
      <c r="D1759" s="1" t="s">
        <v>2915</v>
      </c>
      <c r="E1759" s="1" t="s">
        <v>7</v>
      </c>
    </row>
    <row r="1760" customFormat="false" ht="16" hidden="false" customHeight="false" outlineLevel="0" collapsed="false">
      <c r="A1760" s="1" t="s">
        <v>2932</v>
      </c>
      <c r="B1760" s="1" t="s">
        <v>2933</v>
      </c>
      <c r="C1760" s="1" t="s">
        <v>703</v>
      </c>
      <c r="D1760" s="1" t="s">
        <v>2915</v>
      </c>
      <c r="E1760" s="1" t="s">
        <v>7</v>
      </c>
    </row>
    <row r="1761" customFormat="false" ht="16" hidden="false" customHeight="false" outlineLevel="0" collapsed="false">
      <c r="A1761" s="1" t="s">
        <v>2934</v>
      </c>
      <c r="B1761" s="1" t="s">
        <v>2935</v>
      </c>
      <c r="C1761" s="1" t="s">
        <v>703</v>
      </c>
      <c r="D1761" s="1" t="s">
        <v>704</v>
      </c>
      <c r="E1761" s="1" t="s">
        <v>7</v>
      </c>
    </row>
    <row r="1762" customFormat="false" ht="16" hidden="false" customHeight="false" outlineLevel="0" collapsed="false">
      <c r="A1762" s="1" t="s">
        <v>2936</v>
      </c>
      <c r="B1762" s="1" t="s">
        <v>2937</v>
      </c>
      <c r="C1762" s="1" t="s">
        <v>703</v>
      </c>
      <c r="D1762" s="1" t="s">
        <v>2915</v>
      </c>
      <c r="E1762" s="1" t="s">
        <v>7</v>
      </c>
    </row>
    <row r="1763" customFormat="false" ht="16" hidden="false" customHeight="false" outlineLevel="0" collapsed="false">
      <c r="A1763" s="1" t="s">
        <v>2938</v>
      </c>
      <c r="B1763" s="1" t="s">
        <v>2939</v>
      </c>
      <c r="C1763" s="1" t="s">
        <v>703</v>
      </c>
      <c r="D1763" s="1" t="s">
        <v>2929</v>
      </c>
      <c r="E1763" s="1" t="s">
        <v>7</v>
      </c>
    </row>
    <row r="1764" customFormat="false" ht="16" hidden="false" customHeight="false" outlineLevel="0" collapsed="false">
      <c r="A1764" s="1" t="s">
        <v>2940</v>
      </c>
      <c r="B1764" s="1" t="s">
        <v>2941</v>
      </c>
      <c r="C1764" s="1" t="s">
        <v>703</v>
      </c>
      <c r="D1764" s="1" t="s">
        <v>2915</v>
      </c>
      <c r="E1764" s="1" t="s">
        <v>7</v>
      </c>
    </row>
    <row r="1765" customFormat="false" ht="16" hidden="false" customHeight="false" outlineLevel="0" collapsed="false">
      <c r="A1765" s="1" t="s">
        <v>2942</v>
      </c>
      <c r="B1765" s="1" t="s">
        <v>2943</v>
      </c>
      <c r="C1765" s="1" t="s">
        <v>703</v>
      </c>
      <c r="D1765" s="1" t="s">
        <v>2915</v>
      </c>
      <c r="E1765" s="1" t="s">
        <v>7</v>
      </c>
    </row>
    <row r="1766" customFormat="false" ht="16" hidden="false" customHeight="false" outlineLevel="0" collapsed="false">
      <c r="A1766" s="1" t="s">
        <v>2944</v>
      </c>
      <c r="B1766" s="1" t="s">
        <v>2945</v>
      </c>
      <c r="C1766" s="1" t="s">
        <v>703</v>
      </c>
      <c r="D1766" s="1" t="s">
        <v>2915</v>
      </c>
      <c r="E1766" s="1" t="s">
        <v>7</v>
      </c>
    </row>
    <row r="1767" customFormat="false" ht="16" hidden="false" customHeight="false" outlineLevel="0" collapsed="false">
      <c r="A1767" s="1" t="s">
        <v>2946</v>
      </c>
      <c r="B1767" s="1" t="s">
        <v>2947</v>
      </c>
      <c r="C1767" s="1" t="s">
        <v>703</v>
      </c>
      <c r="D1767" s="1" t="s">
        <v>2915</v>
      </c>
      <c r="E1767" s="1" t="s">
        <v>7</v>
      </c>
    </row>
    <row r="1768" customFormat="false" ht="16" hidden="false" customHeight="false" outlineLevel="0" collapsed="false">
      <c r="A1768" s="1" t="s">
        <v>2948</v>
      </c>
      <c r="B1768" s="1" t="s">
        <v>2949</v>
      </c>
      <c r="C1768" s="1" t="s">
        <v>703</v>
      </c>
      <c r="D1768" s="1" t="s">
        <v>2915</v>
      </c>
      <c r="E1768" s="1" t="s">
        <v>7</v>
      </c>
    </row>
    <row r="1769" customFormat="false" ht="16" hidden="false" customHeight="false" outlineLevel="0" collapsed="false">
      <c r="A1769" s="1" t="s">
        <v>2950</v>
      </c>
      <c r="B1769" s="1" t="s">
        <v>2951</v>
      </c>
      <c r="C1769" s="1" t="s">
        <v>703</v>
      </c>
      <c r="D1769" s="1" t="s">
        <v>2915</v>
      </c>
      <c r="E1769" s="1" t="s">
        <v>7</v>
      </c>
    </row>
    <row r="1770" customFormat="false" ht="16" hidden="false" customHeight="false" outlineLevel="0" collapsed="false">
      <c r="A1770" s="1" t="s">
        <v>2952</v>
      </c>
      <c r="B1770" s="1" t="s">
        <v>2953</v>
      </c>
      <c r="C1770" s="1" t="s">
        <v>703</v>
      </c>
      <c r="D1770" s="1" t="s">
        <v>2915</v>
      </c>
      <c r="E1770" s="1" t="s">
        <v>7</v>
      </c>
    </row>
    <row r="1771" customFormat="false" ht="16" hidden="false" customHeight="false" outlineLevel="0" collapsed="false">
      <c r="A1771" s="1" t="s">
        <v>2954</v>
      </c>
      <c r="B1771" s="1" t="s">
        <v>2955</v>
      </c>
      <c r="C1771" s="1" t="s">
        <v>703</v>
      </c>
      <c r="D1771" s="1" t="s">
        <v>2915</v>
      </c>
      <c r="E1771" s="1" t="s">
        <v>7</v>
      </c>
    </row>
    <row r="1772" customFormat="false" ht="16" hidden="false" customHeight="false" outlineLevel="0" collapsed="false">
      <c r="A1772" s="1" t="s">
        <v>2956</v>
      </c>
      <c r="B1772" s="1" t="s">
        <v>2957</v>
      </c>
      <c r="C1772" s="1" t="s">
        <v>703</v>
      </c>
      <c r="D1772" s="1" t="s">
        <v>2915</v>
      </c>
      <c r="E1772" s="1" t="s">
        <v>7</v>
      </c>
    </row>
    <row r="1773" customFormat="false" ht="16" hidden="false" customHeight="false" outlineLevel="0" collapsed="false">
      <c r="A1773" s="1" t="s">
        <v>2958</v>
      </c>
      <c r="B1773" s="1" t="s">
        <v>2959</v>
      </c>
      <c r="C1773" s="1" t="s">
        <v>703</v>
      </c>
      <c r="D1773" s="1" t="s">
        <v>2915</v>
      </c>
      <c r="E1773" s="1" t="s">
        <v>7</v>
      </c>
    </row>
    <row r="1774" customFormat="false" ht="16" hidden="false" customHeight="false" outlineLevel="0" collapsed="false">
      <c r="A1774" s="1" t="s">
        <v>2960</v>
      </c>
      <c r="B1774" s="1" t="s">
        <v>2961</v>
      </c>
      <c r="C1774" s="1" t="s">
        <v>703</v>
      </c>
      <c r="D1774" s="1" t="s">
        <v>2915</v>
      </c>
      <c r="E1774" s="1" t="s">
        <v>7</v>
      </c>
    </row>
    <row r="1775" customFormat="false" ht="16" hidden="false" customHeight="false" outlineLevel="0" collapsed="false">
      <c r="A1775" s="1" t="s">
        <v>2962</v>
      </c>
      <c r="B1775" s="1" t="s">
        <v>2963</v>
      </c>
      <c r="C1775" s="1" t="s">
        <v>703</v>
      </c>
      <c r="D1775" s="1" t="s">
        <v>2915</v>
      </c>
      <c r="E1775" s="1" t="s">
        <v>7</v>
      </c>
    </row>
    <row r="1776" customFormat="false" ht="16" hidden="false" customHeight="false" outlineLevel="0" collapsed="false">
      <c r="A1776" s="1" t="s">
        <v>2964</v>
      </c>
      <c r="B1776" s="1" t="s">
        <v>2965</v>
      </c>
      <c r="C1776" s="1" t="s">
        <v>703</v>
      </c>
      <c r="D1776" s="1" t="s">
        <v>2915</v>
      </c>
      <c r="E1776" s="1" t="s">
        <v>7</v>
      </c>
    </row>
    <row r="1777" customFormat="false" ht="16" hidden="false" customHeight="false" outlineLevel="0" collapsed="false">
      <c r="A1777" s="1" t="s">
        <v>2966</v>
      </c>
      <c r="B1777" s="1" t="s">
        <v>2967</v>
      </c>
      <c r="C1777" s="1" t="s">
        <v>703</v>
      </c>
      <c r="D1777" s="1" t="s">
        <v>2915</v>
      </c>
      <c r="E1777" s="1" t="s">
        <v>7</v>
      </c>
    </row>
    <row r="1778" customFormat="false" ht="16" hidden="false" customHeight="false" outlineLevel="0" collapsed="false">
      <c r="A1778" s="1" t="s">
        <v>2968</v>
      </c>
      <c r="B1778" s="1" t="s">
        <v>2969</v>
      </c>
      <c r="C1778" s="1" t="s">
        <v>703</v>
      </c>
      <c r="D1778" s="1" t="s">
        <v>2915</v>
      </c>
      <c r="E1778" s="1" t="s">
        <v>7</v>
      </c>
    </row>
    <row r="1779" customFormat="false" ht="16" hidden="false" customHeight="false" outlineLevel="0" collapsed="false">
      <c r="A1779" s="1" t="s">
        <v>2970</v>
      </c>
      <c r="B1779" s="1" t="s">
        <v>2971</v>
      </c>
      <c r="C1779" s="1" t="s">
        <v>703</v>
      </c>
      <c r="D1779" s="1" t="s">
        <v>2915</v>
      </c>
      <c r="E1779" s="1" t="s">
        <v>7</v>
      </c>
    </row>
    <row r="1780" customFormat="false" ht="16" hidden="false" customHeight="false" outlineLevel="0" collapsed="false">
      <c r="A1780" s="1" t="s">
        <v>2972</v>
      </c>
      <c r="B1780" s="1" t="s">
        <v>2973</v>
      </c>
      <c r="C1780" s="1" t="s">
        <v>703</v>
      </c>
      <c r="D1780" s="1" t="s">
        <v>2915</v>
      </c>
      <c r="E1780" s="1" t="s">
        <v>7</v>
      </c>
    </row>
    <row r="1781" customFormat="false" ht="16" hidden="false" customHeight="false" outlineLevel="0" collapsed="false">
      <c r="A1781" s="1" t="s">
        <v>2974</v>
      </c>
      <c r="B1781" s="1" t="s">
        <v>2975</v>
      </c>
      <c r="C1781" s="1" t="s">
        <v>703</v>
      </c>
      <c r="D1781" s="1" t="s">
        <v>2915</v>
      </c>
      <c r="E1781" s="1" t="s">
        <v>7</v>
      </c>
    </row>
    <row r="1782" customFormat="false" ht="16" hidden="false" customHeight="false" outlineLevel="0" collapsed="false">
      <c r="A1782" s="1" t="s">
        <v>2976</v>
      </c>
      <c r="B1782" s="1" t="s">
        <v>2977</v>
      </c>
      <c r="C1782" s="1" t="s">
        <v>703</v>
      </c>
      <c r="D1782" s="1" t="s">
        <v>2915</v>
      </c>
      <c r="E1782" s="1" t="s">
        <v>7</v>
      </c>
    </row>
    <row r="1783" customFormat="false" ht="16" hidden="false" customHeight="false" outlineLevel="0" collapsed="false">
      <c r="A1783" s="1" t="s">
        <v>2978</v>
      </c>
      <c r="B1783" s="1" t="s">
        <v>2979</v>
      </c>
      <c r="C1783" s="1" t="s">
        <v>703</v>
      </c>
      <c r="D1783" s="1" t="s">
        <v>2915</v>
      </c>
      <c r="E1783" s="1" t="s">
        <v>7</v>
      </c>
    </row>
    <row r="1784" customFormat="false" ht="16" hidden="false" customHeight="false" outlineLevel="0" collapsed="false">
      <c r="A1784" s="1" t="s">
        <v>2980</v>
      </c>
      <c r="B1784" s="1" t="s">
        <v>2981</v>
      </c>
      <c r="C1784" s="1" t="s">
        <v>703</v>
      </c>
      <c r="D1784" s="1" t="s">
        <v>2915</v>
      </c>
      <c r="E1784" s="1" t="s">
        <v>7</v>
      </c>
    </row>
    <row r="1785" customFormat="false" ht="16" hidden="false" customHeight="false" outlineLevel="0" collapsed="false">
      <c r="A1785" s="1" t="s">
        <v>2982</v>
      </c>
      <c r="B1785" s="1" t="s">
        <v>2983</v>
      </c>
      <c r="C1785" s="1" t="s">
        <v>703</v>
      </c>
      <c r="D1785" s="1" t="s">
        <v>2915</v>
      </c>
      <c r="E1785" s="1" t="s">
        <v>7</v>
      </c>
    </row>
    <row r="1786" customFormat="false" ht="16" hidden="false" customHeight="false" outlineLevel="0" collapsed="false">
      <c r="A1786" s="1" t="s">
        <v>2984</v>
      </c>
      <c r="B1786" s="1" t="s">
        <v>2985</v>
      </c>
      <c r="C1786" s="1" t="s">
        <v>703</v>
      </c>
      <c r="D1786" s="1" t="s">
        <v>2915</v>
      </c>
      <c r="E1786" s="1" t="s">
        <v>7</v>
      </c>
    </row>
    <row r="1787" customFormat="false" ht="16" hidden="false" customHeight="false" outlineLevel="0" collapsed="false">
      <c r="A1787" s="1" t="s">
        <v>2986</v>
      </c>
      <c r="B1787" s="1" t="s">
        <v>2987</v>
      </c>
      <c r="C1787" s="1" t="s">
        <v>703</v>
      </c>
      <c r="D1787" s="1" t="s">
        <v>2915</v>
      </c>
      <c r="E1787" s="1" t="s">
        <v>7</v>
      </c>
    </row>
    <row r="1788" customFormat="false" ht="16" hidden="false" customHeight="false" outlineLevel="0" collapsed="false">
      <c r="A1788" s="1" t="s">
        <v>2988</v>
      </c>
      <c r="B1788" s="1" t="s">
        <v>2989</v>
      </c>
      <c r="C1788" s="1" t="s">
        <v>703</v>
      </c>
      <c r="D1788" s="1" t="s">
        <v>2915</v>
      </c>
      <c r="E1788" s="1" t="s">
        <v>7</v>
      </c>
    </row>
    <row r="1789" customFormat="false" ht="16" hidden="false" customHeight="false" outlineLevel="0" collapsed="false">
      <c r="A1789" s="1" t="s">
        <v>2990</v>
      </c>
      <c r="B1789" s="1" t="s">
        <v>2991</v>
      </c>
      <c r="C1789" s="1" t="s">
        <v>703</v>
      </c>
      <c r="D1789" s="1" t="s">
        <v>2915</v>
      </c>
      <c r="E1789" s="1" t="s">
        <v>7</v>
      </c>
    </row>
    <row r="1790" customFormat="false" ht="16" hidden="false" customHeight="false" outlineLevel="0" collapsed="false">
      <c r="A1790" s="1" t="s">
        <v>2992</v>
      </c>
      <c r="B1790" s="1" t="s">
        <v>2993</v>
      </c>
      <c r="C1790" s="1" t="s">
        <v>703</v>
      </c>
      <c r="D1790" s="1" t="s">
        <v>2915</v>
      </c>
      <c r="E1790" s="1" t="s">
        <v>7</v>
      </c>
    </row>
    <row r="1791" customFormat="false" ht="16" hidden="false" customHeight="false" outlineLevel="0" collapsed="false">
      <c r="A1791" s="1" t="s">
        <v>2994</v>
      </c>
      <c r="B1791" s="1" t="s">
        <v>2995</v>
      </c>
      <c r="C1791" s="1" t="s">
        <v>703</v>
      </c>
      <c r="D1791" s="1" t="s">
        <v>2915</v>
      </c>
      <c r="E1791" s="1" t="s">
        <v>7</v>
      </c>
    </row>
    <row r="1792" customFormat="false" ht="16" hidden="false" customHeight="false" outlineLevel="0" collapsed="false">
      <c r="A1792" s="1" t="s">
        <v>2996</v>
      </c>
      <c r="B1792" s="1" t="s">
        <v>2997</v>
      </c>
      <c r="C1792" s="1" t="s">
        <v>703</v>
      </c>
      <c r="D1792" s="1" t="s">
        <v>2915</v>
      </c>
      <c r="E1792" s="1" t="s">
        <v>7</v>
      </c>
    </row>
    <row r="1793" customFormat="false" ht="16" hidden="false" customHeight="false" outlineLevel="0" collapsed="false">
      <c r="A1793" s="1" t="s">
        <v>2998</v>
      </c>
      <c r="B1793" s="1" t="s">
        <v>2999</v>
      </c>
      <c r="C1793" s="1" t="s">
        <v>703</v>
      </c>
      <c r="D1793" s="1" t="s">
        <v>2915</v>
      </c>
      <c r="E1793" s="1" t="s">
        <v>1714</v>
      </c>
    </row>
    <row r="1794" customFormat="false" ht="16" hidden="false" customHeight="false" outlineLevel="0" collapsed="false">
      <c r="A1794" s="1" t="s">
        <v>3000</v>
      </c>
      <c r="B1794" s="1" t="s">
        <v>3001</v>
      </c>
      <c r="C1794" s="1" t="s">
        <v>703</v>
      </c>
      <c r="D1794" s="1" t="s">
        <v>3002</v>
      </c>
      <c r="E1794" s="1" t="s">
        <v>1714</v>
      </c>
    </row>
    <row r="1795" customFormat="false" ht="16" hidden="false" customHeight="false" outlineLevel="0" collapsed="false">
      <c r="A1795" s="1" t="s">
        <v>3003</v>
      </c>
      <c r="B1795" s="1" t="s">
        <v>3004</v>
      </c>
      <c r="C1795" s="1" t="s">
        <v>703</v>
      </c>
      <c r="D1795" s="1" t="s">
        <v>3002</v>
      </c>
      <c r="E1795" s="1" t="s">
        <v>1714</v>
      </c>
    </row>
    <row r="1796" customFormat="false" ht="16" hidden="false" customHeight="false" outlineLevel="0" collapsed="false">
      <c r="A1796" s="1" t="s">
        <v>3005</v>
      </c>
      <c r="B1796" s="1" t="s">
        <v>3006</v>
      </c>
      <c r="C1796" s="1" t="s">
        <v>703</v>
      </c>
      <c r="D1796" s="1" t="s">
        <v>704</v>
      </c>
      <c r="E1796" s="1" t="s">
        <v>1714</v>
      </c>
    </row>
    <row r="1797" customFormat="false" ht="16" hidden="false" customHeight="false" outlineLevel="0" collapsed="false">
      <c r="A1797" s="1" t="s">
        <v>3007</v>
      </c>
      <c r="B1797" s="1" t="s">
        <v>3008</v>
      </c>
      <c r="C1797" s="1" t="s">
        <v>703</v>
      </c>
      <c r="D1797" s="1" t="s">
        <v>2929</v>
      </c>
      <c r="E1797" s="1" t="s">
        <v>1714</v>
      </c>
    </row>
    <row r="1798" customFormat="false" ht="16" hidden="false" customHeight="false" outlineLevel="0" collapsed="false">
      <c r="A1798" s="1" t="s">
        <v>3009</v>
      </c>
      <c r="B1798" s="1" t="s">
        <v>3010</v>
      </c>
      <c r="C1798" s="1" t="s">
        <v>703</v>
      </c>
      <c r="D1798" s="1" t="s">
        <v>704</v>
      </c>
      <c r="E1798" s="1" t="s">
        <v>1714</v>
      </c>
    </row>
    <row r="1799" customFormat="false" ht="16" hidden="false" customHeight="false" outlineLevel="0" collapsed="false">
      <c r="A1799" s="1" t="s">
        <v>3011</v>
      </c>
      <c r="B1799" s="1" t="s">
        <v>3012</v>
      </c>
      <c r="C1799" s="1" t="s">
        <v>703</v>
      </c>
      <c r="D1799" s="1" t="s">
        <v>2915</v>
      </c>
      <c r="E1799" s="1" t="s">
        <v>7</v>
      </c>
    </row>
    <row r="1800" customFormat="false" ht="16" hidden="false" customHeight="false" outlineLevel="0" collapsed="false">
      <c r="A1800" s="1" t="s">
        <v>3013</v>
      </c>
      <c r="B1800" s="1" t="s">
        <v>3014</v>
      </c>
      <c r="C1800" s="1" t="s">
        <v>703</v>
      </c>
      <c r="D1800" s="1" t="s">
        <v>2915</v>
      </c>
      <c r="E1800" s="1" t="s">
        <v>7</v>
      </c>
    </row>
    <row r="1801" customFormat="false" ht="16" hidden="false" customHeight="false" outlineLevel="0" collapsed="false">
      <c r="A1801" s="1" t="s">
        <v>3015</v>
      </c>
      <c r="B1801" s="1" t="s">
        <v>3016</v>
      </c>
      <c r="C1801" s="1" t="s">
        <v>703</v>
      </c>
      <c r="D1801" s="1" t="s">
        <v>2929</v>
      </c>
      <c r="E1801" s="1" t="s">
        <v>7</v>
      </c>
    </row>
    <row r="1802" customFormat="false" ht="16" hidden="false" customHeight="false" outlineLevel="0" collapsed="false">
      <c r="A1802" s="1" t="s">
        <v>3017</v>
      </c>
      <c r="B1802" s="1" t="s">
        <v>3018</v>
      </c>
      <c r="C1802" s="1" t="s">
        <v>703</v>
      </c>
      <c r="D1802" s="1" t="s">
        <v>2929</v>
      </c>
      <c r="E1802" s="1" t="s">
        <v>7</v>
      </c>
    </row>
    <row r="1803" customFormat="false" ht="16" hidden="false" customHeight="false" outlineLevel="0" collapsed="false">
      <c r="A1803" s="1" t="s">
        <v>3019</v>
      </c>
      <c r="B1803" s="1" t="s">
        <v>3020</v>
      </c>
      <c r="C1803" s="1" t="s">
        <v>703</v>
      </c>
      <c r="D1803" s="1" t="s">
        <v>2915</v>
      </c>
      <c r="E1803" s="1" t="s">
        <v>7</v>
      </c>
    </row>
    <row r="1804" customFormat="false" ht="16" hidden="false" customHeight="false" outlineLevel="0" collapsed="false">
      <c r="A1804" s="1" t="s">
        <v>3021</v>
      </c>
      <c r="B1804" s="1" t="s">
        <v>3022</v>
      </c>
      <c r="C1804" s="1" t="s">
        <v>703</v>
      </c>
      <c r="D1804" s="1" t="s">
        <v>2915</v>
      </c>
      <c r="E1804" s="1" t="s">
        <v>7</v>
      </c>
    </row>
    <row r="1805" customFormat="false" ht="16" hidden="false" customHeight="false" outlineLevel="0" collapsed="false">
      <c r="A1805" s="1" t="s">
        <v>3023</v>
      </c>
      <c r="B1805" s="1" t="s">
        <v>3024</v>
      </c>
      <c r="C1805" s="1" t="s">
        <v>703</v>
      </c>
      <c r="D1805" s="1" t="s">
        <v>2915</v>
      </c>
      <c r="E1805" s="1" t="s">
        <v>7</v>
      </c>
    </row>
    <row r="1806" customFormat="false" ht="16" hidden="false" customHeight="false" outlineLevel="0" collapsed="false">
      <c r="A1806" s="1" t="s">
        <v>3025</v>
      </c>
      <c r="B1806" s="1" t="s">
        <v>3026</v>
      </c>
      <c r="C1806" s="1" t="s">
        <v>703</v>
      </c>
      <c r="D1806" s="1" t="s">
        <v>2915</v>
      </c>
      <c r="E1806" s="1" t="s">
        <v>7</v>
      </c>
    </row>
    <row r="1807" customFormat="false" ht="16" hidden="false" customHeight="false" outlineLevel="0" collapsed="false">
      <c r="A1807" s="1" t="s">
        <v>3027</v>
      </c>
      <c r="B1807" s="1" t="s">
        <v>3028</v>
      </c>
      <c r="C1807" s="1" t="s">
        <v>703</v>
      </c>
      <c r="D1807" s="1" t="s">
        <v>2915</v>
      </c>
      <c r="E1807" s="1" t="s">
        <v>7</v>
      </c>
    </row>
    <row r="1808" customFormat="false" ht="16" hidden="false" customHeight="false" outlineLevel="0" collapsed="false">
      <c r="A1808" s="1" t="s">
        <v>3029</v>
      </c>
      <c r="B1808" s="1" t="s">
        <v>3030</v>
      </c>
      <c r="C1808" s="1" t="s">
        <v>703</v>
      </c>
      <c r="D1808" s="1" t="s">
        <v>2915</v>
      </c>
      <c r="E1808" s="1" t="s">
        <v>7</v>
      </c>
    </row>
    <row r="1809" customFormat="false" ht="16" hidden="false" customHeight="false" outlineLevel="0" collapsed="false">
      <c r="A1809" s="1" t="s">
        <v>3031</v>
      </c>
      <c r="B1809" s="1" t="s">
        <v>3032</v>
      </c>
      <c r="C1809" s="1" t="s">
        <v>703</v>
      </c>
      <c r="D1809" s="1" t="s">
        <v>2915</v>
      </c>
      <c r="E1809" s="1" t="s">
        <v>7</v>
      </c>
    </row>
    <row r="1810" customFormat="false" ht="16" hidden="false" customHeight="false" outlineLevel="0" collapsed="false">
      <c r="A1810" s="1" t="s">
        <v>3033</v>
      </c>
      <c r="B1810" s="1" t="s">
        <v>3034</v>
      </c>
      <c r="C1810" s="1" t="s">
        <v>703</v>
      </c>
      <c r="D1810" s="1" t="s">
        <v>2915</v>
      </c>
      <c r="E1810" s="1" t="s">
        <v>7</v>
      </c>
    </row>
    <row r="1811" customFormat="false" ht="16" hidden="false" customHeight="false" outlineLevel="0" collapsed="false">
      <c r="A1811" s="1" t="s">
        <v>3035</v>
      </c>
      <c r="B1811" s="1" t="s">
        <v>3036</v>
      </c>
      <c r="C1811" s="1" t="s">
        <v>703</v>
      </c>
      <c r="D1811" s="1" t="s">
        <v>2915</v>
      </c>
      <c r="E1811" s="1" t="s">
        <v>2793</v>
      </c>
    </row>
    <row r="1812" customFormat="false" ht="16" hidden="false" customHeight="false" outlineLevel="0" collapsed="false">
      <c r="A1812" s="1" t="s">
        <v>3037</v>
      </c>
      <c r="B1812" s="1" t="s">
        <v>3038</v>
      </c>
      <c r="C1812" s="1" t="s">
        <v>703</v>
      </c>
      <c r="D1812" s="1" t="s">
        <v>2915</v>
      </c>
      <c r="E1812" s="1" t="s">
        <v>2793</v>
      </c>
    </row>
    <row r="1813" customFormat="false" ht="16" hidden="false" customHeight="false" outlineLevel="0" collapsed="false">
      <c r="A1813" s="1" t="s">
        <v>3039</v>
      </c>
      <c r="B1813" s="1" t="s">
        <v>3040</v>
      </c>
      <c r="C1813" s="1" t="s">
        <v>703</v>
      </c>
      <c r="D1813" s="1" t="s">
        <v>2915</v>
      </c>
      <c r="E1813" s="1" t="s">
        <v>7</v>
      </c>
    </row>
    <row r="1814" customFormat="false" ht="16" hidden="false" customHeight="false" outlineLevel="0" collapsed="false">
      <c r="A1814" s="1" t="s">
        <v>3041</v>
      </c>
      <c r="B1814" s="1" t="s">
        <v>3042</v>
      </c>
      <c r="C1814" s="1" t="s">
        <v>703</v>
      </c>
      <c r="D1814" s="1" t="s">
        <v>2915</v>
      </c>
      <c r="E1814" s="1" t="s">
        <v>7</v>
      </c>
    </row>
    <row r="1815" customFormat="false" ht="16" hidden="false" customHeight="false" outlineLevel="0" collapsed="false">
      <c r="A1815" s="1" t="s">
        <v>3043</v>
      </c>
      <c r="B1815" s="1" t="s">
        <v>3044</v>
      </c>
      <c r="C1815" s="1" t="s">
        <v>703</v>
      </c>
      <c r="D1815" s="1" t="s">
        <v>2915</v>
      </c>
      <c r="E1815" s="1" t="s">
        <v>7</v>
      </c>
    </row>
    <row r="1816" customFormat="false" ht="16" hidden="false" customHeight="false" outlineLevel="0" collapsed="false">
      <c r="A1816" s="1" t="s">
        <v>3045</v>
      </c>
      <c r="B1816" s="1" t="s">
        <v>3046</v>
      </c>
      <c r="C1816" s="1" t="s">
        <v>703</v>
      </c>
      <c r="D1816" s="1" t="s">
        <v>2915</v>
      </c>
      <c r="E1816" s="1" t="s">
        <v>7</v>
      </c>
    </row>
    <row r="1817" customFormat="false" ht="16" hidden="false" customHeight="false" outlineLevel="0" collapsed="false">
      <c r="A1817" s="1" t="s">
        <v>3047</v>
      </c>
      <c r="B1817" s="1" t="s">
        <v>3048</v>
      </c>
      <c r="C1817" s="1" t="s">
        <v>703</v>
      </c>
      <c r="D1817" s="1" t="s">
        <v>2915</v>
      </c>
      <c r="E1817" s="1" t="s">
        <v>7</v>
      </c>
    </row>
    <row r="1818" customFormat="false" ht="16" hidden="false" customHeight="false" outlineLevel="0" collapsed="false">
      <c r="A1818" s="1" t="s">
        <v>3049</v>
      </c>
      <c r="B1818" s="1" t="s">
        <v>3050</v>
      </c>
      <c r="C1818" s="1" t="s">
        <v>703</v>
      </c>
      <c r="D1818" s="1" t="s">
        <v>2915</v>
      </c>
      <c r="E1818" s="1" t="s">
        <v>7</v>
      </c>
    </row>
    <row r="1819" customFormat="false" ht="16" hidden="false" customHeight="false" outlineLevel="0" collapsed="false">
      <c r="A1819" s="1" t="s">
        <v>3051</v>
      </c>
      <c r="B1819" s="1" t="s">
        <v>3052</v>
      </c>
      <c r="C1819" s="1" t="s">
        <v>703</v>
      </c>
      <c r="D1819" s="1" t="s">
        <v>2915</v>
      </c>
      <c r="E1819" s="1" t="s">
        <v>7</v>
      </c>
    </row>
    <row r="1820" customFormat="false" ht="16" hidden="false" customHeight="false" outlineLevel="0" collapsed="false">
      <c r="A1820" s="1" t="s">
        <v>3053</v>
      </c>
      <c r="B1820" s="1" t="s">
        <v>3054</v>
      </c>
      <c r="C1820" s="1" t="s">
        <v>703</v>
      </c>
      <c r="D1820" s="1" t="s">
        <v>2915</v>
      </c>
      <c r="E1820" s="1" t="s">
        <v>7</v>
      </c>
    </row>
    <row r="1821" customFormat="false" ht="16" hidden="false" customHeight="false" outlineLevel="0" collapsed="false">
      <c r="A1821" s="1" t="s">
        <v>3055</v>
      </c>
      <c r="B1821" s="1" t="s">
        <v>3056</v>
      </c>
      <c r="C1821" s="1" t="s">
        <v>703</v>
      </c>
      <c r="D1821" s="1" t="s">
        <v>2915</v>
      </c>
      <c r="E1821" s="1" t="s">
        <v>7</v>
      </c>
    </row>
    <row r="1822" customFormat="false" ht="16" hidden="false" customHeight="false" outlineLevel="0" collapsed="false">
      <c r="A1822" s="1" t="s">
        <v>3057</v>
      </c>
      <c r="B1822" s="1" t="s">
        <v>3058</v>
      </c>
      <c r="C1822" s="1" t="s">
        <v>703</v>
      </c>
      <c r="D1822" s="1" t="s">
        <v>2915</v>
      </c>
      <c r="E1822" s="1" t="s">
        <v>7</v>
      </c>
    </row>
    <row r="1823" customFormat="false" ht="16" hidden="false" customHeight="false" outlineLevel="0" collapsed="false">
      <c r="A1823" s="1" t="s">
        <v>3059</v>
      </c>
      <c r="B1823" s="1" t="s">
        <v>3060</v>
      </c>
      <c r="C1823" s="1" t="s">
        <v>703</v>
      </c>
      <c r="D1823" s="1" t="s">
        <v>2915</v>
      </c>
      <c r="E1823" s="1" t="s">
        <v>7</v>
      </c>
    </row>
    <row r="1824" customFormat="false" ht="16" hidden="false" customHeight="false" outlineLevel="0" collapsed="false">
      <c r="A1824" s="1" t="s">
        <v>3061</v>
      </c>
      <c r="B1824" s="1" t="s">
        <v>3062</v>
      </c>
      <c r="C1824" s="1" t="s">
        <v>703</v>
      </c>
      <c r="D1824" s="1" t="s">
        <v>2915</v>
      </c>
      <c r="E1824" s="1" t="s">
        <v>7</v>
      </c>
    </row>
    <row r="1825" customFormat="false" ht="16" hidden="false" customHeight="false" outlineLevel="0" collapsed="false">
      <c r="A1825" s="1" t="s">
        <v>3063</v>
      </c>
      <c r="B1825" s="1" t="s">
        <v>3064</v>
      </c>
      <c r="C1825" s="1" t="s">
        <v>703</v>
      </c>
      <c r="D1825" s="1" t="s">
        <v>2915</v>
      </c>
      <c r="E1825" s="1" t="s">
        <v>7</v>
      </c>
    </row>
    <row r="1826" customFormat="false" ht="16" hidden="false" customHeight="false" outlineLevel="0" collapsed="false">
      <c r="A1826" s="1" t="s">
        <v>3065</v>
      </c>
      <c r="B1826" s="1" t="s">
        <v>3066</v>
      </c>
      <c r="C1826" s="1" t="s">
        <v>703</v>
      </c>
      <c r="D1826" s="1" t="s">
        <v>2915</v>
      </c>
      <c r="E1826" s="1" t="s">
        <v>7</v>
      </c>
    </row>
    <row r="1827" customFormat="false" ht="16" hidden="false" customHeight="false" outlineLevel="0" collapsed="false">
      <c r="A1827" s="1" t="s">
        <v>3067</v>
      </c>
      <c r="B1827" s="1" t="s">
        <v>3068</v>
      </c>
      <c r="C1827" s="1" t="s">
        <v>703</v>
      </c>
      <c r="D1827" s="1" t="s">
        <v>2915</v>
      </c>
      <c r="E1827" s="1" t="s">
        <v>7</v>
      </c>
    </row>
    <row r="1828" customFormat="false" ht="16" hidden="false" customHeight="false" outlineLevel="0" collapsed="false">
      <c r="A1828" s="1" t="s">
        <v>3069</v>
      </c>
      <c r="B1828" s="1" t="s">
        <v>3070</v>
      </c>
      <c r="C1828" s="1" t="s">
        <v>703</v>
      </c>
      <c r="D1828" s="1" t="s">
        <v>2915</v>
      </c>
      <c r="E1828" s="1" t="s">
        <v>7</v>
      </c>
    </row>
    <row r="1829" customFormat="false" ht="16" hidden="false" customHeight="false" outlineLevel="0" collapsed="false">
      <c r="A1829" s="1" t="s">
        <v>3071</v>
      </c>
      <c r="B1829" s="1" t="s">
        <v>3072</v>
      </c>
      <c r="C1829" s="1" t="s">
        <v>703</v>
      </c>
      <c r="D1829" s="1" t="s">
        <v>2915</v>
      </c>
      <c r="E1829" s="1" t="s">
        <v>7</v>
      </c>
    </row>
    <row r="1830" customFormat="false" ht="16" hidden="false" customHeight="false" outlineLevel="0" collapsed="false">
      <c r="A1830" s="1" t="s">
        <v>3073</v>
      </c>
      <c r="B1830" s="1" t="s">
        <v>3074</v>
      </c>
      <c r="C1830" s="1" t="s">
        <v>703</v>
      </c>
      <c r="D1830" s="1" t="s">
        <v>2915</v>
      </c>
      <c r="E1830" s="1" t="s">
        <v>7</v>
      </c>
    </row>
    <row r="1831" customFormat="false" ht="16" hidden="false" customHeight="false" outlineLevel="0" collapsed="false">
      <c r="A1831" s="1" t="s">
        <v>3075</v>
      </c>
      <c r="B1831" s="1" t="s">
        <v>3076</v>
      </c>
      <c r="C1831" s="1" t="s">
        <v>703</v>
      </c>
      <c r="D1831" s="1" t="s">
        <v>2915</v>
      </c>
      <c r="E1831" s="1" t="s">
        <v>7</v>
      </c>
    </row>
    <row r="1832" customFormat="false" ht="16" hidden="false" customHeight="false" outlineLevel="0" collapsed="false">
      <c r="A1832" s="1" t="s">
        <v>3077</v>
      </c>
      <c r="B1832" s="1" t="s">
        <v>3078</v>
      </c>
      <c r="C1832" s="1" t="s">
        <v>703</v>
      </c>
      <c r="D1832" s="1" t="s">
        <v>2915</v>
      </c>
      <c r="E1832" s="1" t="s">
        <v>7</v>
      </c>
    </row>
    <row r="1833" customFormat="false" ht="16" hidden="false" customHeight="false" outlineLevel="0" collapsed="false">
      <c r="A1833" s="1" t="s">
        <v>3079</v>
      </c>
      <c r="B1833" s="1" t="s">
        <v>3080</v>
      </c>
      <c r="C1833" s="1" t="s">
        <v>703</v>
      </c>
      <c r="D1833" s="1" t="s">
        <v>2929</v>
      </c>
      <c r="E1833" s="1" t="s">
        <v>7</v>
      </c>
    </row>
    <row r="1834" customFormat="false" ht="16" hidden="false" customHeight="false" outlineLevel="0" collapsed="false">
      <c r="A1834" s="1" t="s">
        <v>3081</v>
      </c>
      <c r="B1834" s="1" t="s">
        <v>3082</v>
      </c>
      <c r="C1834" s="1" t="s">
        <v>703</v>
      </c>
      <c r="D1834" s="1" t="s">
        <v>2915</v>
      </c>
      <c r="E1834" s="1" t="s">
        <v>7</v>
      </c>
    </row>
    <row r="1835" customFormat="false" ht="16" hidden="false" customHeight="false" outlineLevel="0" collapsed="false">
      <c r="A1835" s="1" t="s">
        <v>3083</v>
      </c>
      <c r="B1835" s="1" t="s">
        <v>3084</v>
      </c>
      <c r="C1835" s="1" t="s">
        <v>703</v>
      </c>
      <c r="D1835" s="1" t="s">
        <v>2915</v>
      </c>
      <c r="E1835" s="1" t="s">
        <v>7</v>
      </c>
    </row>
    <row r="1836" customFormat="false" ht="16" hidden="false" customHeight="false" outlineLevel="0" collapsed="false">
      <c r="A1836" s="1" t="s">
        <v>3085</v>
      </c>
      <c r="B1836" s="1" t="s">
        <v>3086</v>
      </c>
      <c r="C1836" s="1" t="s">
        <v>703</v>
      </c>
      <c r="D1836" s="1" t="s">
        <v>2915</v>
      </c>
      <c r="E1836" s="1" t="s">
        <v>7</v>
      </c>
    </row>
    <row r="1837" customFormat="false" ht="16" hidden="false" customHeight="false" outlineLevel="0" collapsed="false">
      <c r="A1837" s="1" t="s">
        <v>3087</v>
      </c>
      <c r="B1837" s="1" t="s">
        <v>3088</v>
      </c>
      <c r="C1837" s="1" t="s">
        <v>703</v>
      </c>
      <c r="D1837" s="1" t="s">
        <v>2915</v>
      </c>
      <c r="E1837" s="1" t="s">
        <v>7</v>
      </c>
    </row>
    <row r="1838" customFormat="false" ht="16" hidden="false" customHeight="false" outlineLevel="0" collapsed="false">
      <c r="A1838" s="1" t="s">
        <v>3089</v>
      </c>
      <c r="B1838" s="1" t="s">
        <v>3090</v>
      </c>
      <c r="C1838" s="1" t="s">
        <v>703</v>
      </c>
      <c r="D1838" s="1" t="s">
        <v>2915</v>
      </c>
      <c r="E1838" s="1" t="s">
        <v>7</v>
      </c>
    </row>
    <row r="1839" customFormat="false" ht="16" hidden="false" customHeight="false" outlineLevel="0" collapsed="false">
      <c r="A1839" s="1" t="s">
        <v>3091</v>
      </c>
      <c r="B1839" s="1" t="s">
        <v>3092</v>
      </c>
      <c r="C1839" s="1" t="s">
        <v>703</v>
      </c>
      <c r="D1839" s="1" t="s">
        <v>704</v>
      </c>
      <c r="E1839" s="1" t="s">
        <v>7</v>
      </c>
    </row>
    <row r="1840" customFormat="false" ht="16" hidden="false" customHeight="false" outlineLevel="0" collapsed="false">
      <c r="A1840" s="1" t="s">
        <v>3093</v>
      </c>
      <c r="B1840" s="1" t="s">
        <v>3094</v>
      </c>
      <c r="C1840" s="1" t="s">
        <v>703</v>
      </c>
      <c r="D1840" s="1" t="s">
        <v>2915</v>
      </c>
      <c r="E1840" s="1" t="s">
        <v>7</v>
      </c>
    </row>
    <row r="1841" customFormat="false" ht="16" hidden="false" customHeight="false" outlineLevel="0" collapsed="false">
      <c r="A1841" s="1" t="s">
        <v>3095</v>
      </c>
      <c r="B1841" s="1" t="s">
        <v>3096</v>
      </c>
      <c r="C1841" s="1" t="s">
        <v>703</v>
      </c>
      <c r="D1841" s="1" t="s">
        <v>2915</v>
      </c>
      <c r="E1841" s="1" t="s">
        <v>7</v>
      </c>
    </row>
    <row r="1842" customFormat="false" ht="16" hidden="false" customHeight="false" outlineLevel="0" collapsed="false">
      <c r="A1842" s="1" t="s">
        <v>3097</v>
      </c>
      <c r="B1842" s="1" t="s">
        <v>3098</v>
      </c>
      <c r="C1842" s="1" t="s">
        <v>703</v>
      </c>
      <c r="D1842" s="1" t="s">
        <v>2915</v>
      </c>
      <c r="E1842" s="1" t="s">
        <v>7</v>
      </c>
    </row>
    <row r="1843" customFormat="false" ht="16" hidden="false" customHeight="false" outlineLevel="0" collapsed="false">
      <c r="A1843" s="1" t="s">
        <v>3099</v>
      </c>
      <c r="B1843" s="1" t="s">
        <v>3100</v>
      </c>
      <c r="C1843" s="1" t="s">
        <v>703</v>
      </c>
      <c r="D1843" s="1" t="s">
        <v>2915</v>
      </c>
      <c r="E1843" s="1" t="s">
        <v>7</v>
      </c>
    </row>
    <row r="1844" customFormat="false" ht="16" hidden="false" customHeight="false" outlineLevel="0" collapsed="false">
      <c r="A1844" s="1" t="s">
        <v>3101</v>
      </c>
      <c r="B1844" s="1" t="s">
        <v>3102</v>
      </c>
      <c r="C1844" s="1" t="s">
        <v>703</v>
      </c>
      <c r="D1844" s="1" t="s">
        <v>2915</v>
      </c>
      <c r="E1844" s="1" t="s">
        <v>7</v>
      </c>
    </row>
    <row r="1845" customFormat="false" ht="16" hidden="false" customHeight="false" outlineLevel="0" collapsed="false">
      <c r="A1845" s="1" t="s">
        <v>3103</v>
      </c>
      <c r="B1845" s="1" t="s">
        <v>3104</v>
      </c>
      <c r="C1845" s="1" t="s">
        <v>703</v>
      </c>
      <c r="D1845" s="1" t="s">
        <v>2915</v>
      </c>
      <c r="E1845" s="1" t="s">
        <v>7</v>
      </c>
    </row>
    <row r="1846" customFormat="false" ht="16" hidden="false" customHeight="false" outlineLevel="0" collapsed="false">
      <c r="A1846" s="1" t="s">
        <v>3105</v>
      </c>
      <c r="B1846" s="1" t="s">
        <v>3106</v>
      </c>
      <c r="C1846" s="1" t="s">
        <v>703</v>
      </c>
      <c r="D1846" s="1" t="s">
        <v>2915</v>
      </c>
      <c r="E1846" s="1" t="s">
        <v>7</v>
      </c>
    </row>
    <row r="1847" customFormat="false" ht="16" hidden="false" customHeight="false" outlineLevel="0" collapsed="false">
      <c r="A1847" s="1" t="s">
        <v>3107</v>
      </c>
      <c r="B1847" s="1" t="s">
        <v>3108</v>
      </c>
      <c r="C1847" s="1" t="s">
        <v>703</v>
      </c>
      <c r="D1847" s="1" t="s">
        <v>2915</v>
      </c>
      <c r="E1847" s="1" t="s">
        <v>7</v>
      </c>
    </row>
    <row r="1848" customFormat="false" ht="16" hidden="false" customHeight="false" outlineLevel="0" collapsed="false">
      <c r="A1848" s="1" t="s">
        <v>3109</v>
      </c>
      <c r="B1848" s="1" t="s">
        <v>3110</v>
      </c>
      <c r="C1848" s="1" t="s">
        <v>703</v>
      </c>
      <c r="D1848" s="1" t="s">
        <v>2929</v>
      </c>
      <c r="E1848" s="1" t="s">
        <v>7</v>
      </c>
    </row>
    <row r="1849" customFormat="false" ht="16" hidden="false" customHeight="false" outlineLevel="0" collapsed="false">
      <c r="A1849" s="1" t="s">
        <v>3111</v>
      </c>
      <c r="B1849" s="1" t="s">
        <v>3112</v>
      </c>
      <c r="C1849" s="1" t="s">
        <v>703</v>
      </c>
      <c r="D1849" s="1" t="s">
        <v>2915</v>
      </c>
      <c r="E1849" s="1" t="s">
        <v>7</v>
      </c>
    </row>
    <row r="1850" customFormat="false" ht="16" hidden="false" customHeight="false" outlineLevel="0" collapsed="false">
      <c r="A1850" s="1" t="s">
        <v>3113</v>
      </c>
      <c r="B1850" s="1" t="s">
        <v>3114</v>
      </c>
      <c r="C1850" s="1" t="s">
        <v>703</v>
      </c>
      <c r="D1850" s="1" t="s">
        <v>2915</v>
      </c>
      <c r="E1850" s="1" t="s">
        <v>7</v>
      </c>
    </row>
    <row r="1851" customFormat="false" ht="16" hidden="false" customHeight="false" outlineLevel="0" collapsed="false">
      <c r="A1851" s="1" t="s">
        <v>3115</v>
      </c>
      <c r="B1851" s="1" t="s">
        <v>3116</v>
      </c>
      <c r="C1851" s="1" t="s">
        <v>703</v>
      </c>
      <c r="D1851" s="1" t="s">
        <v>2915</v>
      </c>
      <c r="E1851" s="1" t="s">
        <v>7</v>
      </c>
    </row>
    <row r="1852" customFormat="false" ht="16" hidden="false" customHeight="false" outlineLevel="0" collapsed="false">
      <c r="A1852" s="1" t="s">
        <v>3117</v>
      </c>
      <c r="B1852" s="1" t="s">
        <v>3118</v>
      </c>
      <c r="C1852" s="1" t="s">
        <v>703</v>
      </c>
      <c r="D1852" s="1" t="s">
        <v>2915</v>
      </c>
      <c r="E1852" s="1" t="s">
        <v>7</v>
      </c>
    </row>
    <row r="1853" customFormat="false" ht="16" hidden="false" customHeight="false" outlineLevel="0" collapsed="false">
      <c r="A1853" s="1" t="s">
        <v>3119</v>
      </c>
      <c r="B1853" s="1" t="s">
        <v>3120</v>
      </c>
      <c r="C1853" s="1" t="s">
        <v>703</v>
      </c>
      <c r="D1853" s="1" t="s">
        <v>2915</v>
      </c>
      <c r="E1853" s="1" t="s">
        <v>7</v>
      </c>
    </row>
    <row r="1854" customFormat="false" ht="16" hidden="false" customHeight="false" outlineLevel="0" collapsed="false">
      <c r="A1854" s="1" t="s">
        <v>3121</v>
      </c>
      <c r="B1854" s="1" t="s">
        <v>3122</v>
      </c>
      <c r="C1854" s="1" t="s">
        <v>703</v>
      </c>
      <c r="D1854" s="1" t="s">
        <v>2915</v>
      </c>
      <c r="E1854" s="1" t="s">
        <v>7</v>
      </c>
    </row>
    <row r="1855" customFormat="false" ht="16" hidden="false" customHeight="false" outlineLevel="0" collapsed="false">
      <c r="A1855" s="1" t="s">
        <v>3123</v>
      </c>
      <c r="B1855" s="1" t="s">
        <v>3124</v>
      </c>
      <c r="C1855" s="1" t="s">
        <v>703</v>
      </c>
      <c r="D1855" s="1" t="s">
        <v>2915</v>
      </c>
      <c r="E1855" s="1" t="s">
        <v>7</v>
      </c>
    </row>
    <row r="1856" customFormat="false" ht="16" hidden="false" customHeight="false" outlineLevel="0" collapsed="false">
      <c r="A1856" s="1" t="s">
        <v>3125</v>
      </c>
      <c r="B1856" s="1" t="s">
        <v>3126</v>
      </c>
      <c r="C1856" s="1" t="s">
        <v>703</v>
      </c>
      <c r="D1856" s="1" t="s">
        <v>2915</v>
      </c>
      <c r="E1856" s="1" t="s">
        <v>7</v>
      </c>
    </row>
    <row r="1857" customFormat="false" ht="16" hidden="false" customHeight="false" outlineLevel="0" collapsed="false">
      <c r="A1857" s="1" t="s">
        <v>3127</v>
      </c>
      <c r="B1857" s="1" t="s">
        <v>3128</v>
      </c>
      <c r="C1857" s="1" t="s">
        <v>703</v>
      </c>
      <c r="D1857" s="1" t="s">
        <v>2915</v>
      </c>
      <c r="E1857" s="1" t="s">
        <v>7</v>
      </c>
    </row>
    <row r="1858" customFormat="false" ht="16" hidden="false" customHeight="false" outlineLevel="0" collapsed="false">
      <c r="A1858" s="1" t="s">
        <v>3129</v>
      </c>
      <c r="B1858" s="1" t="s">
        <v>3130</v>
      </c>
      <c r="C1858" s="1" t="s">
        <v>703</v>
      </c>
      <c r="D1858" s="1" t="s">
        <v>2915</v>
      </c>
      <c r="E1858" s="1" t="s">
        <v>7</v>
      </c>
    </row>
    <row r="1859" customFormat="false" ht="16" hidden="false" customHeight="false" outlineLevel="0" collapsed="false">
      <c r="A1859" s="1" t="s">
        <v>3131</v>
      </c>
      <c r="B1859" s="1" t="s">
        <v>3132</v>
      </c>
      <c r="C1859" s="1" t="s">
        <v>703</v>
      </c>
      <c r="D1859" s="1" t="s">
        <v>2915</v>
      </c>
      <c r="E1859" s="1" t="s">
        <v>7</v>
      </c>
    </row>
    <row r="1860" customFormat="false" ht="16" hidden="false" customHeight="false" outlineLevel="0" collapsed="false">
      <c r="A1860" s="1" t="s">
        <v>3133</v>
      </c>
      <c r="B1860" s="1" t="s">
        <v>3134</v>
      </c>
      <c r="C1860" s="1" t="s">
        <v>703</v>
      </c>
      <c r="D1860" s="1" t="s">
        <v>2915</v>
      </c>
      <c r="E1860" s="1" t="s">
        <v>7</v>
      </c>
    </row>
    <row r="1861" customFormat="false" ht="16" hidden="false" customHeight="false" outlineLevel="0" collapsed="false">
      <c r="A1861" s="1" t="s">
        <v>3135</v>
      </c>
      <c r="B1861" s="1" t="s">
        <v>3136</v>
      </c>
      <c r="C1861" s="1" t="s">
        <v>703</v>
      </c>
      <c r="D1861" s="1" t="s">
        <v>2915</v>
      </c>
      <c r="E1861" s="1" t="s">
        <v>7</v>
      </c>
    </row>
    <row r="1862" customFormat="false" ht="16" hidden="false" customHeight="false" outlineLevel="0" collapsed="false">
      <c r="A1862" s="1" t="s">
        <v>3137</v>
      </c>
      <c r="B1862" s="1" t="s">
        <v>3138</v>
      </c>
      <c r="C1862" s="1" t="s">
        <v>703</v>
      </c>
      <c r="D1862" s="1" t="s">
        <v>2915</v>
      </c>
      <c r="E1862" s="1" t="s">
        <v>7</v>
      </c>
    </row>
    <row r="1863" customFormat="false" ht="16" hidden="false" customHeight="false" outlineLevel="0" collapsed="false">
      <c r="A1863" s="1" t="s">
        <v>3139</v>
      </c>
      <c r="B1863" s="1" t="s">
        <v>3140</v>
      </c>
      <c r="C1863" s="1" t="s">
        <v>703</v>
      </c>
      <c r="D1863" s="1" t="s">
        <v>2915</v>
      </c>
      <c r="E1863" s="1" t="s">
        <v>7</v>
      </c>
    </row>
    <row r="1864" customFormat="false" ht="16" hidden="false" customHeight="false" outlineLevel="0" collapsed="false">
      <c r="A1864" s="1" t="s">
        <v>3141</v>
      </c>
      <c r="B1864" s="1" t="s">
        <v>3142</v>
      </c>
      <c r="C1864" s="1" t="s">
        <v>703</v>
      </c>
      <c r="D1864" s="1" t="s">
        <v>2915</v>
      </c>
      <c r="E1864" s="1" t="s">
        <v>7</v>
      </c>
    </row>
    <row r="1865" customFormat="false" ht="16" hidden="false" customHeight="false" outlineLevel="0" collapsed="false">
      <c r="A1865" s="1" t="s">
        <v>3143</v>
      </c>
      <c r="B1865" s="1" t="s">
        <v>3144</v>
      </c>
      <c r="C1865" s="1" t="s">
        <v>703</v>
      </c>
      <c r="D1865" s="1" t="s">
        <v>2915</v>
      </c>
      <c r="E1865" s="1" t="s">
        <v>7</v>
      </c>
    </row>
    <row r="1866" customFormat="false" ht="16" hidden="false" customHeight="false" outlineLevel="0" collapsed="false">
      <c r="A1866" s="1" t="s">
        <v>702</v>
      </c>
      <c r="B1866" s="1" t="s">
        <v>21</v>
      </c>
      <c r="C1866" s="1" t="s">
        <v>703</v>
      </c>
      <c r="D1866" s="1" t="s">
        <v>704</v>
      </c>
      <c r="E1866" s="1" t="s">
        <v>7</v>
      </c>
    </row>
    <row r="1867" customFormat="false" ht="16" hidden="false" customHeight="false" outlineLevel="0" collapsed="false">
      <c r="A1867" s="1" t="s">
        <v>3145</v>
      </c>
      <c r="B1867" s="1" t="s">
        <v>3146</v>
      </c>
      <c r="C1867" s="1" t="s">
        <v>703</v>
      </c>
      <c r="D1867" s="1" t="s">
        <v>3147</v>
      </c>
      <c r="E1867" s="1" t="s">
        <v>3148</v>
      </c>
    </row>
    <row r="1868" customFormat="false" ht="16" hidden="false" customHeight="false" outlineLevel="0" collapsed="false">
      <c r="A1868" s="1" t="s">
        <v>3149</v>
      </c>
      <c r="B1868" s="1" t="s">
        <v>3150</v>
      </c>
      <c r="C1868" s="1" t="s">
        <v>703</v>
      </c>
      <c r="D1868" s="1" t="s">
        <v>3147</v>
      </c>
      <c r="E1868" s="1" t="s">
        <v>3148</v>
      </c>
    </row>
    <row r="1869" customFormat="false" ht="16" hidden="false" customHeight="false" outlineLevel="0" collapsed="false">
      <c r="A1869" s="1" t="s">
        <v>3151</v>
      </c>
      <c r="B1869" s="1" t="s">
        <v>3152</v>
      </c>
      <c r="C1869" s="1" t="s">
        <v>703</v>
      </c>
      <c r="D1869" s="1" t="s">
        <v>3147</v>
      </c>
      <c r="E1869" s="1" t="s">
        <v>3148</v>
      </c>
    </row>
    <row r="1870" customFormat="false" ht="16" hidden="false" customHeight="false" outlineLevel="0" collapsed="false">
      <c r="A1870" s="1" t="s">
        <v>3153</v>
      </c>
      <c r="B1870" s="1" t="s">
        <v>3154</v>
      </c>
      <c r="C1870" s="1" t="s">
        <v>703</v>
      </c>
      <c r="D1870" s="1" t="s">
        <v>3147</v>
      </c>
      <c r="E1870" s="1" t="s">
        <v>3148</v>
      </c>
    </row>
    <row r="1871" customFormat="false" ht="16" hidden="false" customHeight="false" outlineLevel="0" collapsed="false">
      <c r="A1871" s="1" t="s">
        <v>3155</v>
      </c>
      <c r="B1871" s="1" t="s">
        <v>3156</v>
      </c>
      <c r="C1871" s="1" t="s">
        <v>703</v>
      </c>
      <c r="D1871" s="1" t="s">
        <v>3147</v>
      </c>
      <c r="E1871" s="1" t="s">
        <v>3148</v>
      </c>
    </row>
    <row r="1872" customFormat="false" ht="16" hidden="false" customHeight="false" outlineLevel="0" collapsed="false">
      <c r="A1872" s="1" t="s">
        <v>3157</v>
      </c>
      <c r="B1872" s="1" t="s">
        <v>3158</v>
      </c>
      <c r="C1872" s="1" t="s">
        <v>703</v>
      </c>
      <c r="D1872" s="1" t="s">
        <v>3147</v>
      </c>
      <c r="E1872" s="1" t="s">
        <v>3148</v>
      </c>
    </row>
    <row r="1873" customFormat="false" ht="16" hidden="false" customHeight="false" outlineLevel="0" collapsed="false">
      <c r="A1873" s="1" t="s">
        <v>3159</v>
      </c>
      <c r="B1873" s="1" t="s">
        <v>3160</v>
      </c>
      <c r="C1873" s="1" t="s">
        <v>703</v>
      </c>
      <c r="D1873" s="1" t="s">
        <v>3147</v>
      </c>
      <c r="E1873" s="1" t="s">
        <v>3148</v>
      </c>
    </row>
    <row r="1874" customFormat="false" ht="16" hidden="false" customHeight="false" outlineLevel="0" collapsed="false">
      <c r="A1874" s="1" t="s">
        <v>3161</v>
      </c>
      <c r="B1874" s="1" t="s">
        <v>3162</v>
      </c>
      <c r="C1874" s="1" t="s">
        <v>703</v>
      </c>
      <c r="D1874" s="1" t="s">
        <v>3147</v>
      </c>
      <c r="E1874" s="1" t="s">
        <v>3148</v>
      </c>
    </row>
    <row r="1875" customFormat="false" ht="16" hidden="false" customHeight="false" outlineLevel="0" collapsed="false">
      <c r="A1875" s="1" t="s">
        <v>3163</v>
      </c>
      <c r="B1875" s="1" t="s">
        <v>3164</v>
      </c>
      <c r="C1875" s="1" t="s">
        <v>703</v>
      </c>
      <c r="D1875" s="1" t="s">
        <v>3147</v>
      </c>
      <c r="E1875" s="1" t="s">
        <v>3148</v>
      </c>
    </row>
    <row r="1876" customFormat="false" ht="16" hidden="false" customHeight="false" outlineLevel="0" collapsed="false">
      <c r="A1876" s="1" t="s">
        <v>3165</v>
      </c>
      <c r="B1876" s="1" t="s">
        <v>3166</v>
      </c>
      <c r="C1876" s="1" t="s">
        <v>703</v>
      </c>
      <c r="D1876" s="1" t="s">
        <v>3147</v>
      </c>
      <c r="E1876" s="1" t="s">
        <v>3148</v>
      </c>
    </row>
    <row r="1877" customFormat="false" ht="16" hidden="false" customHeight="false" outlineLevel="0" collapsed="false">
      <c r="A1877" s="1" t="s">
        <v>3167</v>
      </c>
      <c r="B1877" s="1" t="s">
        <v>3168</v>
      </c>
      <c r="C1877" s="1" t="s">
        <v>703</v>
      </c>
      <c r="D1877" s="1" t="s">
        <v>3147</v>
      </c>
      <c r="E1877" s="1" t="s">
        <v>3169</v>
      </c>
    </row>
    <row r="1878" customFormat="false" ht="16" hidden="false" customHeight="false" outlineLevel="0" collapsed="false">
      <c r="A1878" s="1" t="s">
        <v>3170</v>
      </c>
      <c r="B1878" s="1" t="s">
        <v>3171</v>
      </c>
      <c r="C1878" s="1" t="s">
        <v>703</v>
      </c>
      <c r="D1878" s="1" t="s">
        <v>3147</v>
      </c>
      <c r="E1878" s="1" t="s">
        <v>3169</v>
      </c>
    </row>
    <row r="1879" customFormat="false" ht="16" hidden="false" customHeight="false" outlineLevel="0" collapsed="false">
      <c r="A1879" s="1" t="s">
        <v>3172</v>
      </c>
      <c r="B1879" s="1" t="s">
        <v>3173</v>
      </c>
      <c r="C1879" s="1" t="s">
        <v>703</v>
      </c>
      <c r="D1879" s="1" t="s">
        <v>3147</v>
      </c>
      <c r="E1879" s="1" t="s">
        <v>3169</v>
      </c>
    </row>
    <row r="1880" customFormat="false" ht="16" hidden="false" customHeight="false" outlineLevel="0" collapsed="false">
      <c r="A1880" s="1" t="s">
        <v>3174</v>
      </c>
      <c r="B1880" s="1" t="s">
        <v>3175</v>
      </c>
      <c r="C1880" s="1" t="s">
        <v>703</v>
      </c>
      <c r="D1880" s="1" t="s">
        <v>3147</v>
      </c>
      <c r="E1880" s="1" t="s">
        <v>3148</v>
      </c>
    </row>
    <row r="1881" customFormat="false" ht="16" hidden="false" customHeight="false" outlineLevel="0" collapsed="false">
      <c r="A1881" s="1" t="s">
        <v>3176</v>
      </c>
      <c r="B1881" s="1" t="s">
        <v>3177</v>
      </c>
      <c r="C1881" s="1" t="s">
        <v>703</v>
      </c>
      <c r="D1881" s="1" t="s">
        <v>3147</v>
      </c>
      <c r="E1881" s="1" t="s">
        <v>3148</v>
      </c>
    </row>
    <row r="1882" customFormat="false" ht="16" hidden="false" customHeight="false" outlineLevel="0" collapsed="false">
      <c r="A1882" s="1" t="s">
        <v>3178</v>
      </c>
      <c r="B1882" s="1" t="s">
        <v>3179</v>
      </c>
      <c r="C1882" s="1" t="s">
        <v>703</v>
      </c>
      <c r="D1882" s="1" t="s">
        <v>3147</v>
      </c>
      <c r="E1882" s="1" t="s">
        <v>3148</v>
      </c>
    </row>
    <row r="1883" customFormat="false" ht="16" hidden="false" customHeight="false" outlineLevel="0" collapsed="false">
      <c r="A1883" s="1" t="s">
        <v>3180</v>
      </c>
      <c r="B1883" s="1" t="s">
        <v>3181</v>
      </c>
      <c r="C1883" s="1" t="s">
        <v>703</v>
      </c>
      <c r="D1883" s="1" t="s">
        <v>3147</v>
      </c>
      <c r="E1883" s="1" t="s">
        <v>3148</v>
      </c>
    </row>
    <row r="1884" customFormat="false" ht="16" hidden="false" customHeight="false" outlineLevel="0" collapsed="false">
      <c r="A1884" s="1" t="s">
        <v>3182</v>
      </c>
      <c r="B1884" s="1" t="s">
        <v>3183</v>
      </c>
      <c r="C1884" s="1" t="s">
        <v>703</v>
      </c>
      <c r="D1884" s="1" t="s">
        <v>3147</v>
      </c>
      <c r="E1884" s="1" t="s">
        <v>3148</v>
      </c>
    </row>
    <row r="1885" customFormat="false" ht="16" hidden="false" customHeight="false" outlineLevel="0" collapsed="false">
      <c r="A1885" s="1" t="s">
        <v>3184</v>
      </c>
      <c r="B1885" s="1" t="s">
        <v>3185</v>
      </c>
      <c r="C1885" s="1" t="s">
        <v>703</v>
      </c>
      <c r="D1885" s="1" t="s">
        <v>3147</v>
      </c>
      <c r="E1885" s="1" t="s">
        <v>3148</v>
      </c>
    </row>
    <row r="1886" customFormat="false" ht="16" hidden="false" customHeight="false" outlineLevel="0" collapsed="false">
      <c r="A1886" s="1" t="s">
        <v>3186</v>
      </c>
      <c r="B1886" s="1" t="s">
        <v>3187</v>
      </c>
      <c r="C1886" s="1" t="s">
        <v>703</v>
      </c>
      <c r="D1886" s="1" t="s">
        <v>3147</v>
      </c>
      <c r="E1886" s="1" t="s">
        <v>3148</v>
      </c>
    </row>
    <row r="1887" customFormat="false" ht="16" hidden="false" customHeight="false" outlineLevel="0" collapsed="false">
      <c r="A1887" s="1" t="s">
        <v>3188</v>
      </c>
      <c r="B1887" s="1" t="s">
        <v>3189</v>
      </c>
      <c r="C1887" s="1" t="s">
        <v>703</v>
      </c>
      <c r="D1887" s="1" t="s">
        <v>3147</v>
      </c>
      <c r="E1887" s="1" t="s">
        <v>3148</v>
      </c>
    </row>
    <row r="1888" customFormat="false" ht="16" hidden="false" customHeight="false" outlineLevel="0" collapsed="false">
      <c r="A1888" s="1" t="s">
        <v>3190</v>
      </c>
      <c r="B1888" s="1" t="s">
        <v>3191</v>
      </c>
      <c r="C1888" s="1" t="s">
        <v>703</v>
      </c>
      <c r="D1888" s="1" t="s">
        <v>3147</v>
      </c>
      <c r="E1888" s="1" t="s">
        <v>3148</v>
      </c>
    </row>
    <row r="1889" customFormat="false" ht="16" hidden="false" customHeight="false" outlineLevel="0" collapsed="false">
      <c r="A1889" s="1" t="s">
        <v>3192</v>
      </c>
      <c r="B1889" s="1" t="s">
        <v>3193</v>
      </c>
      <c r="C1889" s="1" t="s">
        <v>703</v>
      </c>
      <c r="D1889" s="1" t="s">
        <v>3147</v>
      </c>
      <c r="E1889" s="1" t="s">
        <v>3148</v>
      </c>
    </row>
    <row r="1890" customFormat="false" ht="16" hidden="false" customHeight="false" outlineLevel="0" collapsed="false">
      <c r="A1890" s="1" t="s">
        <v>3194</v>
      </c>
      <c r="B1890" s="1" t="s">
        <v>3195</v>
      </c>
      <c r="C1890" s="1" t="s">
        <v>703</v>
      </c>
      <c r="D1890" s="1" t="s">
        <v>3147</v>
      </c>
      <c r="E1890" s="1" t="s">
        <v>3148</v>
      </c>
    </row>
    <row r="1891" customFormat="false" ht="16" hidden="false" customHeight="false" outlineLevel="0" collapsed="false">
      <c r="A1891" s="1" t="s">
        <v>3196</v>
      </c>
      <c r="B1891" s="1" t="s">
        <v>3197</v>
      </c>
      <c r="C1891" s="1" t="s">
        <v>703</v>
      </c>
      <c r="D1891" s="1" t="s">
        <v>3147</v>
      </c>
      <c r="E1891" s="1" t="s">
        <v>3148</v>
      </c>
    </row>
    <row r="1892" customFormat="false" ht="16" hidden="false" customHeight="false" outlineLevel="0" collapsed="false">
      <c r="A1892" s="1" t="s">
        <v>3198</v>
      </c>
      <c r="B1892" s="1" t="s">
        <v>3199</v>
      </c>
      <c r="C1892" s="1" t="s">
        <v>703</v>
      </c>
      <c r="D1892" s="1" t="s">
        <v>3147</v>
      </c>
      <c r="E1892" s="1" t="s">
        <v>3148</v>
      </c>
    </row>
    <row r="1893" customFormat="false" ht="16" hidden="false" customHeight="false" outlineLevel="0" collapsed="false">
      <c r="A1893" s="1" t="s">
        <v>3200</v>
      </c>
      <c r="B1893" s="1" t="s">
        <v>3201</v>
      </c>
      <c r="C1893" s="1" t="s">
        <v>703</v>
      </c>
      <c r="D1893" s="1" t="s">
        <v>3147</v>
      </c>
      <c r="E1893" s="1" t="s">
        <v>3148</v>
      </c>
    </row>
    <row r="1894" customFormat="false" ht="16" hidden="false" customHeight="false" outlineLevel="0" collapsed="false">
      <c r="A1894" s="1" t="s">
        <v>3202</v>
      </c>
      <c r="B1894" s="1" t="s">
        <v>3203</v>
      </c>
      <c r="C1894" s="1" t="s">
        <v>703</v>
      </c>
      <c r="D1894" s="1" t="s">
        <v>3147</v>
      </c>
      <c r="E1894" s="1" t="s">
        <v>3148</v>
      </c>
    </row>
    <row r="1895" customFormat="false" ht="16" hidden="false" customHeight="false" outlineLevel="0" collapsed="false">
      <c r="A1895" s="1" t="s">
        <v>3204</v>
      </c>
      <c r="B1895" s="1" t="s">
        <v>3205</v>
      </c>
      <c r="C1895" s="1" t="s">
        <v>703</v>
      </c>
      <c r="D1895" s="1" t="s">
        <v>3147</v>
      </c>
      <c r="E1895" s="1" t="s">
        <v>3148</v>
      </c>
    </row>
    <row r="1896" customFormat="false" ht="16" hidden="false" customHeight="false" outlineLevel="0" collapsed="false">
      <c r="A1896" s="1" t="s">
        <v>3206</v>
      </c>
      <c r="B1896" s="1" t="s">
        <v>3207</v>
      </c>
      <c r="C1896" s="1" t="s">
        <v>703</v>
      </c>
      <c r="D1896" s="1" t="s">
        <v>3147</v>
      </c>
      <c r="E1896" s="1" t="s">
        <v>3148</v>
      </c>
    </row>
    <row r="1897" customFormat="false" ht="16" hidden="false" customHeight="false" outlineLevel="0" collapsed="false">
      <c r="A1897" s="1" t="s">
        <v>3208</v>
      </c>
      <c r="B1897" s="1" t="s">
        <v>3209</v>
      </c>
      <c r="C1897" s="1" t="s">
        <v>703</v>
      </c>
      <c r="D1897" s="1" t="s">
        <v>3147</v>
      </c>
      <c r="E1897" s="1" t="s">
        <v>3148</v>
      </c>
    </row>
    <row r="1898" customFormat="false" ht="16" hidden="false" customHeight="false" outlineLevel="0" collapsed="false">
      <c r="A1898" s="1" t="s">
        <v>3210</v>
      </c>
      <c r="B1898" s="1" t="s">
        <v>3211</v>
      </c>
      <c r="C1898" s="1" t="s">
        <v>703</v>
      </c>
      <c r="D1898" s="1" t="s">
        <v>3147</v>
      </c>
      <c r="E1898" s="1" t="s">
        <v>3148</v>
      </c>
    </row>
    <row r="1899" customFormat="false" ht="16" hidden="false" customHeight="false" outlineLevel="0" collapsed="false">
      <c r="A1899" s="1" t="s">
        <v>3212</v>
      </c>
      <c r="B1899" s="1" t="s">
        <v>3213</v>
      </c>
      <c r="C1899" s="1" t="s">
        <v>703</v>
      </c>
      <c r="D1899" s="1" t="s">
        <v>3147</v>
      </c>
      <c r="E1899" s="1" t="s">
        <v>3148</v>
      </c>
    </row>
    <row r="1900" customFormat="false" ht="16" hidden="false" customHeight="false" outlineLevel="0" collapsed="false">
      <c r="A1900" s="1" t="s">
        <v>3214</v>
      </c>
      <c r="B1900" s="1" t="s">
        <v>3215</v>
      </c>
      <c r="C1900" s="1" t="s">
        <v>703</v>
      </c>
      <c r="D1900" s="1" t="s">
        <v>3147</v>
      </c>
      <c r="E1900" s="1" t="s">
        <v>3148</v>
      </c>
    </row>
    <row r="1901" customFormat="false" ht="16" hidden="false" customHeight="false" outlineLevel="0" collapsed="false">
      <c r="A1901" s="1" t="s">
        <v>3216</v>
      </c>
      <c r="B1901" s="1" t="s">
        <v>3217</v>
      </c>
      <c r="C1901" s="1" t="s">
        <v>703</v>
      </c>
      <c r="D1901" s="1" t="s">
        <v>3147</v>
      </c>
      <c r="E1901" s="1" t="s">
        <v>3148</v>
      </c>
    </row>
    <row r="1902" customFormat="false" ht="16" hidden="false" customHeight="false" outlineLevel="0" collapsed="false">
      <c r="A1902" s="1" t="s">
        <v>3218</v>
      </c>
      <c r="B1902" s="1" t="s">
        <v>3219</v>
      </c>
      <c r="C1902" s="1" t="s">
        <v>703</v>
      </c>
      <c r="D1902" s="1" t="s">
        <v>3147</v>
      </c>
      <c r="E1902" s="1" t="s">
        <v>3148</v>
      </c>
    </row>
    <row r="1903" customFormat="false" ht="16" hidden="false" customHeight="false" outlineLevel="0" collapsed="false">
      <c r="A1903" s="1" t="s">
        <v>3220</v>
      </c>
      <c r="B1903" s="1" t="s">
        <v>3221</v>
      </c>
      <c r="C1903" s="1" t="s">
        <v>703</v>
      </c>
      <c r="D1903" s="1" t="s">
        <v>3147</v>
      </c>
      <c r="E1903" s="1" t="s">
        <v>3148</v>
      </c>
    </row>
    <row r="1904" customFormat="false" ht="16" hidden="false" customHeight="false" outlineLevel="0" collapsed="false">
      <c r="A1904" s="1" t="s">
        <v>3222</v>
      </c>
      <c r="B1904" s="1" t="s">
        <v>3223</v>
      </c>
      <c r="C1904" s="1" t="s">
        <v>703</v>
      </c>
      <c r="D1904" s="1" t="s">
        <v>3147</v>
      </c>
      <c r="E1904" s="1" t="s">
        <v>3148</v>
      </c>
    </row>
    <row r="1905" customFormat="false" ht="16" hidden="false" customHeight="false" outlineLevel="0" collapsed="false">
      <c r="A1905" s="1" t="s">
        <v>3224</v>
      </c>
      <c r="B1905" s="1" t="s">
        <v>3225</v>
      </c>
      <c r="C1905" s="1" t="s">
        <v>703</v>
      </c>
      <c r="D1905" s="1" t="s">
        <v>3147</v>
      </c>
      <c r="E1905" s="1" t="s">
        <v>3148</v>
      </c>
    </row>
    <row r="1906" customFormat="false" ht="16" hidden="false" customHeight="false" outlineLevel="0" collapsed="false">
      <c r="A1906" s="1" t="s">
        <v>3226</v>
      </c>
      <c r="B1906" s="1" t="s">
        <v>3227</v>
      </c>
      <c r="C1906" s="1" t="s">
        <v>703</v>
      </c>
      <c r="D1906" s="1" t="s">
        <v>3147</v>
      </c>
      <c r="E1906" s="1" t="s">
        <v>3148</v>
      </c>
    </row>
    <row r="1907" customFormat="false" ht="16" hidden="false" customHeight="false" outlineLevel="0" collapsed="false">
      <c r="A1907" s="1" t="s">
        <v>3228</v>
      </c>
      <c r="B1907" s="1" t="s">
        <v>3229</v>
      </c>
      <c r="C1907" s="1" t="s">
        <v>703</v>
      </c>
      <c r="D1907" s="1" t="s">
        <v>3147</v>
      </c>
      <c r="E1907" s="1" t="s">
        <v>3148</v>
      </c>
    </row>
    <row r="1908" customFormat="false" ht="16" hidden="false" customHeight="false" outlineLevel="0" collapsed="false">
      <c r="A1908" s="1" t="s">
        <v>3230</v>
      </c>
      <c r="B1908" s="1" t="s">
        <v>3231</v>
      </c>
      <c r="C1908" s="1" t="s">
        <v>703</v>
      </c>
      <c r="D1908" s="1" t="s">
        <v>3147</v>
      </c>
      <c r="E1908" s="1" t="s">
        <v>3148</v>
      </c>
    </row>
    <row r="1909" customFormat="false" ht="16" hidden="false" customHeight="false" outlineLevel="0" collapsed="false">
      <c r="A1909" s="1" t="s">
        <v>3232</v>
      </c>
      <c r="B1909" s="1" t="s">
        <v>3233</v>
      </c>
      <c r="C1909" s="1" t="s">
        <v>703</v>
      </c>
      <c r="D1909" s="1" t="s">
        <v>3147</v>
      </c>
      <c r="E1909" s="1" t="s">
        <v>3148</v>
      </c>
    </row>
    <row r="1910" customFormat="false" ht="16" hidden="false" customHeight="false" outlineLevel="0" collapsed="false">
      <c r="A1910" s="1" t="s">
        <v>3234</v>
      </c>
      <c r="B1910" s="1" t="s">
        <v>3235</v>
      </c>
      <c r="C1910" s="1" t="s">
        <v>703</v>
      </c>
      <c r="D1910" s="1" t="s">
        <v>3147</v>
      </c>
      <c r="E1910" s="1" t="s">
        <v>3148</v>
      </c>
    </row>
    <row r="1911" customFormat="false" ht="16" hidden="false" customHeight="false" outlineLevel="0" collapsed="false">
      <c r="A1911" s="1" t="s">
        <v>3236</v>
      </c>
      <c r="B1911" s="1" t="s">
        <v>3237</v>
      </c>
      <c r="C1911" s="1" t="s">
        <v>703</v>
      </c>
      <c r="D1911" s="1" t="s">
        <v>3147</v>
      </c>
      <c r="E1911" s="1" t="s">
        <v>3148</v>
      </c>
    </row>
    <row r="1912" customFormat="false" ht="16" hidden="false" customHeight="false" outlineLevel="0" collapsed="false">
      <c r="A1912" s="1" t="s">
        <v>3238</v>
      </c>
      <c r="B1912" s="1" t="s">
        <v>3239</v>
      </c>
      <c r="C1912" s="1" t="s">
        <v>703</v>
      </c>
      <c r="D1912" s="1" t="s">
        <v>3147</v>
      </c>
      <c r="E1912" s="1" t="s">
        <v>3148</v>
      </c>
    </row>
    <row r="1913" customFormat="false" ht="16" hidden="false" customHeight="false" outlineLevel="0" collapsed="false">
      <c r="A1913" s="1" t="s">
        <v>3240</v>
      </c>
      <c r="B1913" s="1" t="s">
        <v>3241</v>
      </c>
      <c r="C1913" s="1" t="s">
        <v>703</v>
      </c>
      <c r="D1913" s="1" t="s">
        <v>3147</v>
      </c>
      <c r="E1913" s="1" t="s">
        <v>3148</v>
      </c>
    </row>
    <row r="1914" customFormat="false" ht="16" hidden="false" customHeight="false" outlineLevel="0" collapsed="false">
      <c r="A1914" s="1" t="s">
        <v>3242</v>
      </c>
      <c r="B1914" s="1" t="s">
        <v>3243</v>
      </c>
      <c r="C1914" s="1" t="s">
        <v>703</v>
      </c>
      <c r="D1914" s="1" t="s">
        <v>3147</v>
      </c>
      <c r="E1914" s="1" t="s">
        <v>3148</v>
      </c>
    </row>
    <row r="1915" customFormat="false" ht="16" hidden="false" customHeight="false" outlineLevel="0" collapsed="false">
      <c r="A1915" s="1" t="s">
        <v>3244</v>
      </c>
      <c r="B1915" s="1" t="s">
        <v>3245</v>
      </c>
      <c r="C1915" s="1" t="s">
        <v>703</v>
      </c>
      <c r="D1915" s="1" t="s">
        <v>3147</v>
      </c>
      <c r="E1915" s="1" t="s">
        <v>3148</v>
      </c>
    </row>
    <row r="1916" customFormat="false" ht="16" hidden="false" customHeight="false" outlineLevel="0" collapsed="false">
      <c r="A1916" s="1" t="s">
        <v>3246</v>
      </c>
      <c r="B1916" s="1" t="s">
        <v>3247</v>
      </c>
      <c r="C1916" s="1" t="s">
        <v>703</v>
      </c>
      <c r="D1916" s="1" t="s">
        <v>3147</v>
      </c>
      <c r="E1916" s="1" t="s">
        <v>3148</v>
      </c>
    </row>
    <row r="1917" customFormat="false" ht="16" hidden="false" customHeight="false" outlineLevel="0" collapsed="false">
      <c r="A1917" s="1" t="s">
        <v>3248</v>
      </c>
      <c r="B1917" s="1" t="s">
        <v>3249</v>
      </c>
      <c r="C1917" s="1" t="s">
        <v>703</v>
      </c>
      <c r="D1917" s="1" t="s">
        <v>3147</v>
      </c>
      <c r="E1917" s="1" t="s">
        <v>3148</v>
      </c>
    </row>
    <row r="1918" customFormat="false" ht="16" hidden="false" customHeight="false" outlineLevel="0" collapsed="false">
      <c r="A1918" s="1" t="s">
        <v>3250</v>
      </c>
      <c r="B1918" s="1" t="s">
        <v>3251</v>
      </c>
      <c r="C1918" s="1" t="s">
        <v>703</v>
      </c>
      <c r="D1918" s="1" t="s">
        <v>3147</v>
      </c>
      <c r="E1918" s="1" t="s">
        <v>3148</v>
      </c>
    </row>
    <row r="1919" customFormat="false" ht="16" hidden="false" customHeight="false" outlineLevel="0" collapsed="false">
      <c r="A1919" s="1" t="s">
        <v>3252</v>
      </c>
      <c r="B1919" s="1" t="s">
        <v>3253</v>
      </c>
      <c r="C1919" s="1" t="s">
        <v>703</v>
      </c>
      <c r="D1919" s="1" t="s">
        <v>3147</v>
      </c>
      <c r="E1919" s="1" t="s">
        <v>3148</v>
      </c>
    </row>
    <row r="1920" customFormat="false" ht="16" hidden="false" customHeight="false" outlineLevel="0" collapsed="false">
      <c r="A1920" s="1" t="s">
        <v>3254</v>
      </c>
      <c r="B1920" s="1" t="s">
        <v>3255</v>
      </c>
      <c r="C1920" s="1" t="s">
        <v>703</v>
      </c>
      <c r="D1920" s="1" t="s">
        <v>3147</v>
      </c>
      <c r="E1920" s="1" t="s">
        <v>3148</v>
      </c>
    </row>
    <row r="1921" customFormat="false" ht="16" hidden="false" customHeight="false" outlineLevel="0" collapsed="false">
      <c r="A1921" s="1" t="s">
        <v>3256</v>
      </c>
      <c r="B1921" s="1" t="s">
        <v>3257</v>
      </c>
      <c r="C1921" s="1" t="s">
        <v>703</v>
      </c>
      <c r="D1921" s="1" t="s">
        <v>3147</v>
      </c>
      <c r="E1921" s="1" t="s">
        <v>3148</v>
      </c>
    </row>
    <row r="1922" customFormat="false" ht="16" hidden="false" customHeight="false" outlineLevel="0" collapsed="false">
      <c r="A1922" s="1" t="s">
        <v>3258</v>
      </c>
      <c r="B1922" s="1" t="s">
        <v>3259</v>
      </c>
      <c r="C1922" s="1" t="s">
        <v>703</v>
      </c>
      <c r="D1922" s="1" t="s">
        <v>3147</v>
      </c>
      <c r="E1922" s="1" t="s">
        <v>3148</v>
      </c>
    </row>
    <row r="1923" customFormat="false" ht="16" hidden="false" customHeight="false" outlineLevel="0" collapsed="false">
      <c r="A1923" s="1" t="s">
        <v>3260</v>
      </c>
      <c r="B1923" s="1" t="s">
        <v>3261</v>
      </c>
      <c r="C1923" s="1" t="s">
        <v>703</v>
      </c>
      <c r="D1923" s="1" t="s">
        <v>3147</v>
      </c>
      <c r="E1923" s="1" t="s">
        <v>3148</v>
      </c>
    </row>
    <row r="1924" customFormat="false" ht="16" hidden="false" customHeight="false" outlineLevel="0" collapsed="false">
      <c r="A1924" s="1" t="s">
        <v>3262</v>
      </c>
      <c r="B1924" s="1" t="s">
        <v>3263</v>
      </c>
      <c r="C1924" s="1" t="s">
        <v>703</v>
      </c>
      <c r="D1924" s="1" t="s">
        <v>3147</v>
      </c>
      <c r="E1924" s="1" t="s">
        <v>3148</v>
      </c>
    </row>
    <row r="1925" customFormat="false" ht="16" hidden="false" customHeight="false" outlineLevel="0" collapsed="false">
      <c r="A1925" s="1" t="s">
        <v>3264</v>
      </c>
      <c r="B1925" s="1" t="s">
        <v>3265</v>
      </c>
      <c r="C1925" s="1" t="s">
        <v>703</v>
      </c>
      <c r="D1925" s="1" t="s">
        <v>3147</v>
      </c>
      <c r="E1925" s="1" t="s">
        <v>3148</v>
      </c>
    </row>
    <row r="1926" customFormat="false" ht="16" hidden="false" customHeight="false" outlineLevel="0" collapsed="false">
      <c r="A1926" s="1" t="s">
        <v>3266</v>
      </c>
      <c r="B1926" s="1" t="s">
        <v>3267</v>
      </c>
      <c r="C1926" s="1" t="s">
        <v>703</v>
      </c>
      <c r="D1926" s="1" t="s">
        <v>3147</v>
      </c>
      <c r="E1926" s="1" t="s">
        <v>3148</v>
      </c>
    </row>
    <row r="1927" customFormat="false" ht="16" hidden="false" customHeight="false" outlineLevel="0" collapsed="false">
      <c r="A1927" s="1" t="s">
        <v>3268</v>
      </c>
      <c r="B1927" s="1" t="s">
        <v>3269</v>
      </c>
      <c r="C1927" s="1" t="s">
        <v>703</v>
      </c>
      <c r="D1927" s="1" t="s">
        <v>2915</v>
      </c>
      <c r="E1927" s="1" t="s">
        <v>7</v>
      </c>
    </row>
    <row r="1928" customFormat="false" ht="16" hidden="false" customHeight="false" outlineLevel="0" collapsed="false">
      <c r="A1928" s="1" t="s">
        <v>3270</v>
      </c>
      <c r="B1928" s="1" t="s">
        <v>3271</v>
      </c>
      <c r="C1928" s="1" t="s">
        <v>703</v>
      </c>
      <c r="D1928" s="1" t="s">
        <v>2915</v>
      </c>
      <c r="E1928" s="1" t="s">
        <v>7</v>
      </c>
    </row>
    <row r="1929" customFormat="false" ht="16" hidden="false" customHeight="false" outlineLevel="0" collapsed="false">
      <c r="A1929" s="1" t="s">
        <v>705</v>
      </c>
      <c r="B1929" s="1" t="s">
        <v>25</v>
      </c>
      <c r="C1929" s="1" t="s">
        <v>703</v>
      </c>
      <c r="D1929" s="1" t="s">
        <v>704</v>
      </c>
      <c r="E1929" s="1" t="s">
        <v>7</v>
      </c>
    </row>
    <row r="1930" customFormat="false" ht="16" hidden="false" customHeight="false" outlineLevel="0" collapsed="false">
      <c r="A1930" s="1" t="s">
        <v>3272</v>
      </c>
      <c r="B1930" s="1" t="s">
        <v>3273</v>
      </c>
      <c r="C1930" s="1" t="s">
        <v>703</v>
      </c>
      <c r="D1930" s="1" t="s">
        <v>2915</v>
      </c>
      <c r="E1930" s="1" t="s">
        <v>7</v>
      </c>
    </row>
    <row r="1931" customFormat="false" ht="16" hidden="false" customHeight="false" outlineLevel="0" collapsed="false">
      <c r="A1931" s="1" t="s">
        <v>3274</v>
      </c>
      <c r="B1931" s="1" t="s">
        <v>3275</v>
      </c>
      <c r="C1931" s="1" t="s">
        <v>703</v>
      </c>
      <c r="D1931" s="1" t="s">
        <v>2915</v>
      </c>
      <c r="E1931" s="1" t="s">
        <v>7</v>
      </c>
    </row>
    <row r="1932" customFormat="false" ht="16" hidden="false" customHeight="false" outlineLevel="0" collapsed="false">
      <c r="A1932" s="1" t="s">
        <v>3276</v>
      </c>
      <c r="B1932" s="1" t="s">
        <v>3277</v>
      </c>
      <c r="C1932" s="1" t="s">
        <v>703</v>
      </c>
      <c r="D1932" s="1" t="s">
        <v>2915</v>
      </c>
      <c r="E1932" s="1" t="s">
        <v>7</v>
      </c>
    </row>
    <row r="1933" customFormat="false" ht="16" hidden="false" customHeight="false" outlineLevel="0" collapsed="false">
      <c r="A1933" s="1" t="s">
        <v>3278</v>
      </c>
      <c r="B1933" s="1" t="s">
        <v>3279</v>
      </c>
      <c r="C1933" s="1" t="s">
        <v>703</v>
      </c>
      <c r="D1933" s="1" t="s">
        <v>2915</v>
      </c>
      <c r="E1933" s="1" t="s">
        <v>7</v>
      </c>
    </row>
    <row r="1934" customFormat="false" ht="16" hidden="false" customHeight="false" outlineLevel="0" collapsed="false">
      <c r="A1934" s="1" t="s">
        <v>3280</v>
      </c>
      <c r="B1934" s="1" t="s">
        <v>3281</v>
      </c>
      <c r="C1934" s="1" t="s">
        <v>703</v>
      </c>
      <c r="D1934" s="1" t="s">
        <v>3002</v>
      </c>
      <c r="E1934" s="1" t="s">
        <v>7</v>
      </c>
    </row>
    <row r="1935" customFormat="false" ht="16" hidden="false" customHeight="false" outlineLevel="0" collapsed="false">
      <c r="A1935" s="1" t="s">
        <v>3282</v>
      </c>
      <c r="B1935" s="1" t="s">
        <v>3283</v>
      </c>
      <c r="C1935" s="1" t="s">
        <v>703</v>
      </c>
      <c r="D1935" s="1" t="s">
        <v>2915</v>
      </c>
      <c r="E1935" s="1" t="s">
        <v>7</v>
      </c>
    </row>
    <row r="1936" customFormat="false" ht="16" hidden="false" customHeight="false" outlineLevel="0" collapsed="false">
      <c r="A1936" s="1" t="s">
        <v>3284</v>
      </c>
      <c r="B1936" s="1" t="s">
        <v>3285</v>
      </c>
      <c r="C1936" s="1" t="s">
        <v>703</v>
      </c>
      <c r="D1936" s="1" t="s">
        <v>2915</v>
      </c>
      <c r="E1936" s="1" t="s">
        <v>7</v>
      </c>
    </row>
    <row r="1937" customFormat="false" ht="16" hidden="false" customHeight="false" outlineLevel="0" collapsed="false">
      <c r="A1937" s="1" t="s">
        <v>3286</v>
      </c>
      <c r="B1937" s="1" t="s">
        <v>3287</v>
      </c>
      <c r="C1937" s="1" t="s">
        <v>703</v>
      </c>
      <c r="D1937" s="1" t="s">
        <v>2915</v>
      </c>
      <c r="E1937" s="1" t="s">
        <v>7</v>
      </c>
    </row>
    <row r="1938" customFormat="false" ht="16" hidden="false" customHeight="false" outlineLevel="0" collapsed="false">
      <c r="A1938" s="1" t="s">
        <v>3288</v>
      </c>
      <c r="B1938" s="1" t="s">
        <v>3289</v>
      </c>
      <c r="C1938" s="1" t="s">
        <v>703</v>
      </c>
      <c r="D1938" s="1" t="s">
        <v>2915</v>
      </c>
      <c r="E1938" s="1" t="s">
        <v>7</v>
      </c>
    </row>
    <row r="1939" customFormat="false" ht="16" hidden="false" customHeight="false" outlineLevel="0" collapsed="false">
      <c r="A1939" s="1" t="s">
        <v>3290</v>
      </c>
      <c r="B1939" s="1" t="s">
        <v>3291</v>
      </c>
      <c r="C1939" s="1" t="s">
        <v>703</v>
      </c>
      <c r="D1939" s="1" t="s">
        <v>2915</v>
      </c>
      <c r="E1939" s="1" t="s">
        <v>7</v>
      </c>
    </row>
    <row r="1940" customFormat="false" ht="16" hidden="false" customHeight="false" outlineLevel="0" collapsed="false">
      <c r="A1940" s="1" t="s">
        <v>3292</v>
      </c>
      <c r="B1940" s="1" t="s">
        <v>3293</v>
      </c>
      <c r="C1940" s="1" t="s">
        <v>703</v>
      </c>
      <c r="D1940" s="1" t="s">
        <v>2915</v>
      </c>
      <c r="E1940" s="1" t="s">
        <v>7</v>
      </c>
    </row>
    <row r="1941" customFormat="false" ht="16" hidden="false" customHeight="false" outlineLevel="0" collapsed="false">
      <c r="A1941" s="1" t="s">
        <v>3294</v>
      </c>
      <c r="B1941" s="1" t="s">
        <v>3295</v>
      </c>
      <c r="C1941" s="1" t="s">
        <v>703</v>
      </c>
      <c r="D1941" s="1" t="s">
        <v>2915</v>
      </c>
      <c r="E1941" s="1" t="s">
        <v>7</v>
      </c>
    </row>
    <row r="1942" customFormat="false" ht="16" hidden="false" customHeight="false" outlineLevel="0" collapsed="false">
      <c r="A1942" s="1" t="s">
        <v>3296</v>
      </c>
      <c r="B1942" s="1" t="s">
        <v>3297</v>
      </c>
      <c r="C1942" s="1" t="s">
        <v>703</v>
      </c>
      <c r="D1942" s="1" t="s">
        <v>2915</v>
      </c>
      <c r="E1942" s="1" t="s">
        <v>7</v>
      </c>
    </row>
    <row r="1943" customFormat="false" ht="16" hidden="false" customHeight="false" outlineLevel="0" collapsed="false">
      <c r="A1943" s="1" t="s">
        <v>3298</v>
      </c>
      <c r="B1943" s="1" t="s">
        <v>3299</v>
      </c>
      <c r="C1943" s="1" t="s">
        <v>703</v>
      </c>
      <c r="D1943" s="1" t="s">
        <v>2915</v>
      </c>
      <c r="E1943" s="1" t="s">
        <v>7</v>
      </c>
    </row>
    <row r="1944" customFormat="false" ht="16" hidden="false" customHeight="false" outlineLevel="0" collapsed="false">
      <c r="A1944" s="1" t="s">
        <v>3300</v>
      </c>
      <c r="B1944" s="1" t="s">
        <v>3301</v>
      </c>
      <c r="C1944" s="1" t="s">
        <v>703</v>
      </c>
      <c r="D1944" s="1" t="s">
        <v>2915</v>
      </c>
      <c r="E1944" s="1" t="s">
        <v>7</v>
      </c>
    </row>
    <row r="1945" customFormat="false" ht="16" hidden="false" customHeight="false" outlineLevel="0" collapsed="false">
      <c r="A1945" s="1" t="s">
        <v>3302</v>
      </c>
      <c r="B1945" s="1" t="s">
        <v>3303</v>
      </c>
      <c r="C1945" s="1" t="s">
        <v>703</v>
      </c>
      <c r="D1945" s="1" t="s">
        <v>2915</v>
      </c>
      <c r="E1945" s="1" t="s">
        <v>7</v>
      </c>
    </row>
    <row r="1946" customFormat="false" ht="16" hidden="false" customHeight="false" outlineLevel="0" collapsed="false">
      <c r="A1946" s="1" t="s">
        <v>3304</v>
      </c>
      <c r="B1946" s="1" t="s">
        <v>3305</v>
      </c>
      <c r="C1946" s="1" t="s">
        <v>703</v>
      </c>
      <c r="D1946" s="1" t="s">
        <v>2915</v>
      </c>
      <c r="E1946" s="1" t="s">
        <v>7</v>
      </c>
    </row>
    <row r="1947" customFormat="false" ht="16" hidden="false" customHeight="false" outlineLevel="0" collapsed="false">
      <c r="A1947" s="1" t="s">
        <v>3306</v>
      </c>
      <c r="B1947" s="1" t="s">
        <v>3307</v>
      </c>
      <c r="C1947" s="1" t="s">
        <v>703</v>
      </c>
      <c r="D1947" s="1" t="s">
        <v>2915</v>
      </c>
      <c r="E1947" s="1" t="s">
        <v>7</v>
      </c>
    </row>
    <row r="1948" customFormat="false" ht="16" hidden="false" customHeight="false" outlineLevel="0" collapsed="false">
      <c r="A1948" s="1" t="s">
        <v>3308</v>
      </c>
      <c r="B1948" s="1" t="s">
        <v>3309</v>
      </c>
      <c r="C1948" s="1" t="s">
        <v>703</v>
      </c>
      <c r="D1948" s="1" t="s">
        <v>2915</v>
      </c>
      <c r="E1948" s="1" t="s">
        <v>7</v>
      </c>
    </row>
    <row r="1949" customFormat="false" ht="16" hidden="false" customHeight="false" outlineLevel="0" collapsed="false">
      <c r="A1949" s="1" t="s">
        <v>3310</v>
      </c>
      <c r="B1949" s="1" t="s">
        <v>3311</v>
      </c>
      <c r="C1949" s="1" t="s">
        <v>703</v>
      </c>
      <c r="D1949" s="1" t="s">
        <v>2915</v>
      </c>
      <c r="E1949" s="1" t="s">
        <v>7</v>
      </c>
    </row>
    <row r="1950" customFormat="false" ht="16" hidden="false" customHeight="false" outlineLevel="0" collapsed="false">
      <c r="A1950" s="1" t="s">
        <v>3312</v>
      </c>
      <c r="B1950" s="1" t="s">
        <v>3313</v>
      </c>
      <c r="C1950" s="1" t="s">
        <v>703</v>
      </c>
      <c r="D1950" s="1" t="s">
        <v>2915</v>
      </c>
      <c r="E1950" s="1" t="s">
        <v>7</v>
      </c>
    </row>
    <row r="1951" customFormat="false" ht="16" hidden="false" customHeight="false" outlineLevel="0" collapsed="false">
      <c r="A1951" s="1" t="s">
        <v>3314</v>
      </c>
      <c r="B1951" s="1" t="s">
        <v>3315</v>
      </c>
      <c r="C1951" s="1" t="s">
        <v>703</v>
      </c>
      <c r="D1951" s="1" t="s">
        <v>2915</v>
      </c>
      <c r="E1951" s="1" t="s">
        <v>7</v>
      </c>
    </row>
    <row r="1952" customFormat="false" ht="16" hidden="false" customHeight="false" outlineLevel="0" collapsed="false">
      <c r="A1952" s="1" t="s">
        <v>3316</v>
      </c>
      <c r="B1952" s="1" t="s">
        <v>3317</v>
      </c>
      <c r="C1952" s="1" t="s">
        <v>703</v>
      </c>
      <c r="D1952" s="1" t="s">
        <v>2915</v>
      </c>
      <c r="E1952" s="1" t="s">
        <v>7</v>
      </c>
    </row>
    <row r="1953" customFormat="false" ht="16" hidden="false" customHeight="false" outlineLevel="0" collapsed="false">
      <c r="A1953" s="1" t="s">
        <v>3318</v>
      </c>
      <c r="B1953" s="1" t="s">
        <v>3319</v>
      </c>
      <c r="C1953" s="1" t="s">
        <v>703</v>
      </c>
      <c r="D1953" s="1" t="s">
        <v>2915</v>
      </c>
      <c r="E1953" s="1" t="s">
        <v>7</v>
      </c>
    </row>
    <row r="1954" customFormat="false" ht="16" hidden="false" customHeight="false" outlineLevel="0" collapsed="false">
      <c r="A1954" s="1" t="s">
        <v>3320</v>
      </c>
      <c r="B1954" s="1" t="s">
        <v>3321</v>
      </c>
      <c r="C1954" s="1" t="s">
        <v>703</v>
      </c>
      <c r="D1954" s="1" t="s">
        <v>2915</v>
      </c>
      <c r="E1954" s="1" t="s">
        <v>7</v>
      </c>
    </row>
    <row r="1955" customFormat="false" ht="16" hidden="false" customHeight="false" outlineLevel="0" collapsed="false">
      <c r="A1955" s="1" t="s">
        <v>3322</v>
      </c>
      <c r="B1955" s="1" t="s">
        <v>3323</v>
      </c>
      <c r="C1955" s="1" t="s">
        <v>703</v>
      </c>
      <c r="D1955" s="1" t="s">
        <v>2915</v>
      </c>
      <c r="E1955" s="1" t="s">
        <v>7</v>
      </c>
    </row>
    <row r="1956" customFormat="false" ht="16" hidden="false" customHeight="false" outlineLevel="0" collapsed="false">
      <c r="A1956" s="1" t="s">
        <v>3324</v>
      </c>
      <c r="B1956" s="1" t="s">
        <v>3325</v>
      </c>
      <c r="C1956" s="1" t="s">
        <v>703</v>
      </c>
      <c r="D1956" s="1" t="s">
        <v>2915</v>
      </c>
      <c r="E1956" s="1" t="s">
        <v>7</v>
      </c>
    </row>
    <row r="1957" customFormat="false" ht="16" hidden="false" customHeight="false" outlineLevel="0" collapsed="false">
      <c r="A1957" s="1" t="s">
        <v>3326</v>
      </c>
      <c r="B1957" s="1" t="s">
        <v>3327</v>
      </c>
      <c r="C1957" s="1" t="s">
        <v>703</v>
      </c>
      <c r="D1957" s="1" t="s">
        <v>2915</v>
      </c>
      <c r="E1957" s="1" t="s">
        <v>7</v>
      </c>
    </row>
    <row r="1958" customFormat="false" ht="16" hidden="false" customHeight="false" outlineLevel="0" collapsed="false">
      <c r="A1958" s="1" t="s">
        <v>3328</v>
      </c>
      <c r="B1958" s="1" t="s">
        <v>3329</v>
      </c>
      <c r="C1958" s="1" t="s">
        <v>703</v>
      </c>
      <c r="D1958" s="1" t="s">
        <v>2915</v>
      </c>
      <c r="E1958" s="1" t="s">
        <v>7</v>
      </c>
    </row>
    <row r="1959" customFormat="false" ht="16" hidden="false" customHeight="false" outlineLevel="0" collapsed="false">
      <c r="A1959" s="1" t="s">
        <v>3330</v>
      </c>
      <c r="B1959" s="1" t="s">
        <v>3331</v>
      </c>
      <c r="C1959" s="1" t="s">
        <v>703</v>
      </c>
      <c r="D1959" s="1" t="s">
        <v>2915</v>
      </c>
      <c r="E1959" s="1" t="s">
        <v>7</v>
      </c>
    </row>
    <row r="1960" customFormat="false" ht="16" hidden="false" customHeight="false" outlineLevel="0" collapsed="false">
      <c r="A1960" s="1" t="s">
        <v>3332</v>
      </c>
      <c r="B1960" s="1" t="s">
        <v>3333</v>
      </c>
      <c r="C1960" s="1" t="s">
        <v>703</v>
      </c>
      <c r="D1960" s="1" t="s">
        <v>2915</v>
      </c>
      <c r="E1960" s="1" t="s">
        <v>7</v>
      </c>
    </row>
    <row r="1961" customFormat="false" ht="16" hidden="false" customHeight="false" outlineLevel="0" collapsed="false">
      <c r="A1961" s="1" t="s">
        <v>3334</v>
      </c>
      <c r="B1961" s="1" t="s">
        <v>3335</v>
      </c>
      <c r="C1961" s="1" t="s">
        <v>703</v>
      </c>
      <c r="D1961" s="1" t="s">
        <v>2915</v>
      </c>
      <c r="E1961" s="1" t="s">
        <v>7</v>
      </c>
    </row>
    <row r="1962" customFormat="false" ht="16" hidden="false" customHeight="false" outlineLevel="0" collapsed="false">
      <c r="A1962" s="1" t="s">
        <v>3336</v>
      </c>
      <c r="B1962" s="1" t="s">
        <v>3337</v>
      </c>
      <c r="C1962" s="1" t="s">
        <v>703</v>
      </c>
      <c r="D1962" s="1" t="s">
        <v>2915</v>
      </c>
      <c r="E1962" s="1" t="s">
        <v>7</v>
      </c>
    </row>
    <row r="1963" customFormat="false" ht="16" hidden="false" customHeight="false" outlineLevel="0" collapsed="false">
      <c r="A1963" s="1" t="s">
        <v>3338</v>
      </c>
      <c r="B1963" s="1" t="s">
        <v>3339</v>
      </c>
      <c r="C1963" s="1" t="s">
        <v>703</v>
      </c>
      <c r="D1963" s="1" t="s">
        <v>2915</v>
      </c>
      <c r="E1963" s="1" t="s">
        <v>7</v>
      </c>
    </row>
    <row r="1964" customFormat="false" ht="16" hidden="false" customHeight="false" outlineLevel="0" collapsed="false">
      <c r="A1964" s="1" t="s">
        <v>3340</v>
      </c>
      <c r="B1964" s="1" t="s">
        <v>3341</v>
      </c>
      <c r="C1964" s="1" t="s">
        <v>703</v>
      </c>
      <c r="D1964" s="1" t="s">
        <v>2915</v>
      </c>
      <c r="E1964" s="1" t="s">
        <v>7</v>
      </c>
    </row>
    <row r="1965" customFormat="false" ht="16" hidden="false" customHeight="false" outlineLevel="0" collapsed="false">
      <c r="A1965" s="1" t="s">
        <v>3342</v>
      </c>
      <c r="B1965" s="1" t="s">
        <v>3343</v>
      </c>
      <c r="C1965" s="1" t="s">
        <v>703</v>
      </c>
      <c r="D1965" s="1" t="s">
        <v>2915</v>
      </c>
      <c r="E1965" s="1" t="s">
        <v>7</v>
      </c>
    </row>
    <row r="1966" customFormat="false" ht="16" hidden="false" customHeight="false" outlineLevel="0" collapsed="false">
      <c r="A1966" s="1" t="s">
        <v>3344</v>
      </c>
      <c r="B1966" s="1" t="s">
        <v>3345</v>
      </c>
      <c r="C1966" s="1" t="s">
        <v>703</v>
      </c>
      <c r="D1966" s="1" t="s">
        <v>2915</v>
      </c>
      <c r="E1966" s="1" t="s">
        <v>7</v>
      </c>
    </row>
    <row r="1967" customFormat="false" ht="16" hidden="false" customHeight="false" outlineLevel="0" collapsed="false">
      <c r="A1967" s="1" t="s">
        <v>3346</v>
      </c>
      <c r="B1967" s="1" t="s">
        <v>3347</v>
      </c>
      <c r="C1967" s="1" t="s">
        <v>703</v>
      </c>
      <c r="D1967" s="1" t="s">
        <v>2915</v>
      </c>
      <c r="E1967" s="1" t="s">
        <v>7</v>
      </c>
    </row>
    <row r="1968" customFormat="false" ht="16" hidden="false" customHeight="false" outlineLevel="0" collapsed="false">
      <c r="A1968" s="1" t="s">
        <v>3348</v>
      </c>
      <c r="B1968" s="1" t="s">
        <v>3349</v>
      </c>
      <c r="C1968" s="1" t="s">
        <v>703</v>
      </c>
      <c r="D1968" s="1" t="s">
        <v>2915</v>
      </c>
      <c r="E1968" s="1" t="s">
        <v>7</v>
      </c>
    </row>
    <row r="1969" customFormat="false" ht="16" hidden="false" customHeight="false" outlineLevel="0" collapsed="false">
      <c r="A1969" s="1" t="s">
        <v>3350</v>
      </c>
      <c r="B1969" s="1" t="s">
        <v>3351</v>
      </c>
      <c r="C1969" s="1" t="s">
        <v>703</v>
      </c>
      <c r="D1969" s="1" t="s">
        <v>2915</v>
      </c>
      <c r="E1969" s="1" t="s">
        <v>7</v>
      </c>
    </row>
    <row r="1970" customFormat="false" ht="16" hidden="false" customHeight="false" outlineLevel="0" collapsed="false">
      <c r="A1970" s="1" t="s">
        <v>3352</v>
      </c>
      <c r="B1970" s="1" t="s">
        <v>3353</v>
      </c>
      <c r="C1970" s="1" t="s">
        <v>703</v>
      </c>
      <c r="D1970" s="1" t="s">
        <v>2915</v>
      </c>
      <c r="E1970" s="1" t="s">
        <v>7</v>
      </c>
    </row>
    <row r="1971" customFormat="false" ht="16" hidden="false" customHeight="false" outlineLevel="0" collapsed="false">
      <c r="A1971" s="1" t="s">
        <v>3354</v>
      </c>
      <c r="B1971" s="1" t="s">
        <v>3355</v>
      </c>
      <c r="C1971" s="1" t="s">
        <v>703</v>
      </c>
      <c r="D1971" s="1" t="s">
        <v>2915</v>
      </c>
      <c r="E1971" s="1" t="s">
        <v>7</v>
      </c>
    </row>
    <row r="1972" customFormat="false" ht="16" hidden="false" customHeight="false" outlineLevel="0" collapsed="false">
      <c r="A1972" s="1" t="s">
        <v>3356</v>
      </c>
      <c r="B1972" s="1" t="s">
        <v>3357</v>
      </c>
      <c r="C1972" s="1" t="s">
        <v>703</v>
      </c>
      <c r="D1972" s="1" t="s">
        <v>2915</v>
      </c>
      <c r="E1972" s="1" t="s">
        <v>7</v>
      </c>
    </row>
    <row r="1973" customFormat="false" ht="16" hidden="false" customHeight="false" outlineLevel="0" collapsed="false">
      <c r="A1973" s="1" t="s">
        <v>3358</v>
      </c>
      <c r="B1973" s="1" t="s">
        <v>3359</v>
      </c>
      <c r="C1973" s="1" t="s">
        <v>703</v>
      </c>
      <c r="D1973" s="1" t="s">
        <v>2915</v>
      </c>
      <c r="E1973" s="1" t="s">
        <v>7</v>
      </c>
    </row>
    <row r="1974" customFormat="false" ht="16" hidden="false" customHeight="false" outlineLevel="0" collapsed="false">
      <c r="A1974" s="1" t="s">
        <v>3360</v>
      </c>
      <c r="B1974" s="1" t="s">
        <v>3361</v>
      </c>
      <c r="C1974" s="1" t="s">
        <v>703</v>
      </c>
      <c r="D1974" s="1" t="s">
        <v>2915</v>
      </c>
      <c r="E1974" s="1" t="s">
        <v>7</v>
      </c>
    </row>
    <row r="1975" customFormat="false" ht="16" hidden="false" customHeight="false" outlineLevel="0" collapsed="false">
      <c r="A1975" s="1" t="s">
        <v>3362</v>
      </c>
      <c r="B1975" s="1" t="s">
        <v>3363</v>
      </c>
      <c r="C1975" s="1" t="s">
        <v>703</v>
      </c>
      <c r="D1975" s="1" t="s">
        <v>2915</v>
      </c>
      <c r="E1975" s="1" t="s">
        <v>7</v>
      </c>
    </row>
    <row r="1976" customFormat="false" ht="16" hidden="false" customHeight="false" outlineLevel="0" collapsed="false">
      <c r="A1976" s="1" t="s">
        <v>3364</v>
      </c>
      <c r="B1976" s="1" t="s">
        <v>3365</v>
      </c>
      <c r="C1976" s="1" t="s">
        <v>703</v>
      </c>
      <c r="D1976" s="1" t="s">
        <v>2915</v>
      </c>
      <c r="E1976" s="1" t="s">
        <v>7</v>
      </c>
    </row>
    <row r="1977" customFormat="false" ht="16" hidden="false" customHeight="false" outlineLevel="0" collapsed="false">
      <c r="A1977" s="1" t="s">
        <v>3366</v>
      </c>
      <c r="B1977" s="1" t="s">
        <v>3367</v>
      </c>
      <c r="C1977" s="1" t="s">
        <v>703</v>
      </c>
      <c r="D1977" s="1" t="s">
        <v>2915</v>
      </c>
      <c r="E1977" s="1" t="s">
        <v>7</v>
      </c>
    </row>
    <row r="1978" customFormat="false" ht="16" hidden="false" customHeight="false" outlineLevel="0" collapsed="false">
      <c r="A1978" s="1" t="s">
        <v>3368</v>
      </c>
      <c r="B1978" s="1" t="s">
        <v>3369</v>
      </c>
      <c r="C1978" s="1" t="s">
        <v>703</v>
      </c>
      <c r="D1978" s="1" t="s">
        <v>2915</v>
      </c>
      <c r="E1978" s="1" t="s">
        <v>7</v>
      </c>
    </row>
    <row r="1979" customFormat="false" ht="16" hidden="false" customHeight="false" outlineLevel="0" collapsed="false">
      <c r="A1979" s="1" t="s">
        <v>3370</v>
      </c>
      <c r="B1979" s="1" t="s">
        <v>3371</v>
      </c>
      <c r="C1979" s="1" t="s">
        <v>703</v>
      </c>
      <c r="D1979" s="1" t="s">
        <v>2915</v>
      </c>
      <c r="E1979" s="1" t="s">
        <v>7</v>
      </c>
    </row>
    <row r="1980" customFormat="false" ht="16" hidden="false" customHeight="false" outlineLevel="0" collapsed="false">
      <c r="A1980" s="1" t="s">
        <v>3372</v>
      </c>
      <c r="B1980" s="1" t="s">
        <v>3373</v>
      </c>
      <c r="C1980" s="1" t="s">
        <v>703</v>
      </c>
      <c r="D1980" s="1" t="s">
        <v>2915</v>
      </c>
      <c r="E1980" s="1" t="s">
        <v>7</v>
      </c>
    </row>
    <row r="1981" customFormat="false" ht="16" hidden="false" customHeight="false" outlineLevel="0" collapsed="false">
      <c r="A1981" s="1" t="s">
        <v>3374</v>
      </c>
      <c r="B1981" s="1" t="s">
        <v>3375</v>
      </c>
      <c r="C1981" s="1" t="s">
        <v>703</v>
      </c>
      <c r="D1981" s="1" t="s">
        <v>2915</v>
      </c>
      <c r="E1981" s="1" t="s">
        <v>7</v>
      </c>
    </row>
    <row r="1982" customFormat="false" ht="16" hidden="false" customHeight="false" outlineLevel="0" collapsed="false">
      <c r="A1982" s="1" t="s">
        <v>3376</v>
      </c>
      <c r="B1982" s="1" t="s">
        <v>3377</v>
      </c>
      <c r="C1982" s="1" t="s">
        <v>703</v>
      </c>
      <c r="D1982" s="1" t="s">
        <v>2915</v>
      </c>
      <c r="E1982" s="1" t="s">
        <v>7</v>
      </c>
    </row>
    <row r="1983" customFormat="false" ht="16" hidden="false" customHeight="false" outlineLevel="0" collapsed="false">
      <c r="A1983" s="1" t="s">
        <v>3378</v>
      </c>
      <c r="B1983" s="1" t="s">
        <v>3379</v>
      </c>
      <c r="C1983" s="1" t="s">
        <v>703</v>
      </c>
      <c r="D1983" s="1" t="s">
        <v>2915</v>
      </c>
      <c r="E1983" s="1" t="s">
        <v>7</v>
      </c>
    </row>
    <row r="1984" customFormat="false" ht="16" hidden="false" customHeight="false" outlineLevel="0" collapsed="false">
      <c r="A1984" s="1" t="s">
        <v>3380</v>
      </c>
      <c r="B1984" s="1" t="s">
        <v>3381</v>
      </c>
      <c r="C1984" s="1" t="s">
        <v>703</v>
      </c>
      <c r="D1984" s="1" t="s">
        <v>3147</v>
      </c>
      <c r="E1984" s="1" t="s">
        <v>3169</v>
      </c>
    </row>
    <row r="1985" customFormat="false" ht="16" hidden="false" customHeight="false" outlineLevel="0" collapsed="false">
      <c r="A1985" s="1" t="s">
        <v>3382</v>
      </c>
      <c r="B1985" s="1" t="s">
        <v>3383</v>
      </c>
      <c r="C1985" s="1" t="s">
        <v>703</v>
      </c>
      <c r="D1985" s="1" t="s">
        <v>3147</v>
      </c>
      <c r="E1985" s="1" t="s">
        <v>3169</v>
      </c>
    </row>
    <row r="1986" customFormat="false" ht="16" hidden="false" customHeight="false" outlineLevel="0" collapsed="false">
      <c r="A1986" s="1" t="s">
        <v>3384</v>
      </c>
      <c r="B1986" s="1" t="s">
        <v>3385</v>
      </c>
      <c r="C1986" s="1" t="s">
        <v>703</v>
      </c>
      <c r="D1986" s="1" t="s">
        <v>3147</v>
      </c>
      <c r="E1986" s="1" t="s">
        <v>3169</v>
      </c>
    </row>
    <row r="1987" customFormat="false" ht="16" hidden="false" customHeight="false" outlineLevel="0" collapsed="false">
      <c r="A1987" s="1" t="s">
        <v>3386</v>
      </c>
      <c r="B1987" s="1" t="s">
        <v>3387</v>
      </c>
      <c r="C1987" s="1" t="s">
        <v>703</v>
      </c>
      <c r="D1987" s="1" t="s">
        <v>3147</v>
      </c>
      <c r="E1987" s="1" t="s">
        <v>3169</v>
      </c>
    </row>
    <row r="1988" customFormat="false" ht="16" hidden="false" customHeight="false" outlineLevel="0" collapsed="false">
      <c r="A1988" s="1" t="s">
        <v>3388</v>
      </c>
      <c r="B1988" s="1" t="s">
        <v>3389</v>
      </c>
      <c r="C1988" s="1" t="s">
        <v>703</v>
      </c>
      <c r="D1988" s="1" t="s">
        <v>3147</v>
      </c>
      <c r="E1988" s="1" t="s">
        <v>3169</v>
      </c>
    </row>
    <row r="1989" customFormat="false" ht="16" hidden="false" customHeight="false" outlineLevel="0" collapsed="false">
      <c r="A1989" s="1" t="s">
        <v>3390</v>
      </c>
      <c r="B1989" s="1" t="s">
        <v>3391</v>
      </c>
      <c r="C1989" s="1" t="s">
        <v>703</v>
      </c>
      <c r="D1989" s="1" t="s">
        <v>3147</v>
      </c>
      <c r="E1989" s="1" t="s">
        <v>3169</v>
      </c>
    </row>
    <row r="1990" customFormat="false" ht="16" hidden="false" customHeight="false" outlineLevel="0" collapsed="false">
      <c r="A1990" s="1" t="s">
        <v>3392</v>
      </c>
      <c r="B1990" s="1" t="s">
        <v>3393</v>
      </c>
      <c r="C1990" s="1" t="s">
        <v>703</v>
      </c>
      <c r="D1990" s="1" t="s">
        <v>3147</v>
      </c>
      <c r="E1990" s="1" t="s">
        <v>3169</v>
      </c>
    </row>
    <row r="1991" customFormat="false" ht="16" hidden="false" customHeight="false" outlineLevel="0" collapsed="false">
      <c r="A1991" s="1" t="s">
        <v>3394</v>
      </c>
      <c r="B1991" s="1" t="s">
        <v>3395</v>
      </c>
      <c r="C1991" s="1" t="s">
        <v>703</v>
      </c>
      <c r="D1991" s="1" t="s">
        <v>3147</v>
      </c>
      <c r="E1991" s="1" t="s">
        <v>3169</v>
      </c>
    </row>
    <row r="1992" customFormat="false" ht="16" hidden="false" customHeight="false" outlineLevel="0" collapsed="false">
      <c r="A1992" s="1" t="s">
        <v>3396</v>
      </c>
      <c r="B1992" s="1" t="s">
        <v>3397</v>
      </c>
      <c r="C1992" s="1" t="s">
        <v>703</v>
      </c>
      <c r="D1992" s="1" t="s">
        <v>3147</v>
      </c>
      <c r="E1992" s="1" t="s">
        <v>3169</v>
      </c>
    </row>
    <row r="1993" customFormat="false" ht="16" hidden="false" customHeight="false" outlineLevel="0" collapsed="false">
      <c r="A1993" s="1" t="s">
        <v>3398</v>
      </c>
      <c r="B1993" s="1" t="s">
        <v>3399</v>
      </c>
      <c r="C1993" s="1" t="s">
        <v>703</v>
      </c>
      <c r="D1993" s="1" t="s">
        <v>3147</v>
      </c>
      <c r="E1993" s="1" t="s">
        <v>3169</v>
      </c>
    </row>
    <row r="1994" customFormat="false" ht="16" hidden="false" customHeight="false" outlineLevel="0" collapsed="false">
      <c r="A1994" s="1" t="s">
        <v>3400</v>
      </c>
      <c r="B1994" s="1" t="s">
        <v>3401</v>
      </c>
      <c r="C1994" s="1" t="s">
        <v>703</v>
      </c>
      <c r="D1994" s="1" t="s">
        <v>3147</v>
      </c>
      <c r="E1994" s="1" t="s">
        <v>3169</v>
      </c>
    </row>
    <row r="1995" customFormat="false" ht="16" hidden="false" customHeight="false" outlineLevel="0" collapsed="false">
      <c r="A1995" s="1" t="s">
        <v>3402</v>
      </c>
      <c r="B1995" s="1" t="s">
        <v>3403</v>
      </c>
      <c r="C1995" s="1" t="s">
        <v>703</v>
      </c>
      <c r="D1995" s="1" t="s">
        <v>3147</v>
      </c>
      <c r="E1995" s="1" t="s">
        <v>3169</v>
      </c>
    </row>
    <row r="1996" customFormat="false" ht="16" hidden="false" customHeight="false" outlineLevel="0" collapsed="false">
      <c r="A1996" s="1" t="s">
        <v>3404</v>
      </c>
      <c r="B1996" s="1" t="s">
        <v>3405</v>
      </c>
      <c r="C1996" s="1" t="s">
        <v>703</v>
      </c>
      <c r="D1996" s="1" t="s">
        <v>3147</v>
      </c>
      <c r="E1996" s="1" t="s">
        <v>3169</v>
      </c>
    </row>
    <row r="1997" customFormat="false" ht="16" hidden="false" customHeight="false" outlineLevel="0" collapsed="false">
      <c r="A1997" s="1" t="s">
        <v>3406</v>
      </c>
      <c r="B1997" s="1" t="s">
        <v>3407</v>
      </c>
      <c r="C1997" s="1" t="s">
        <v>703</v>
      </c>
      <c r="D1997" s="1" t="s">
        <v>3147</v>
      </c>
      <c r="E1997" s="1" t="s">
        <v>3169</v>
      </c>
    </row>
    <row r="1998" customFormat="false" ht="16" hidden="false" customHeight="false" outlineLevel="0" collapsed="false">
      <c r="A1998" s="1" t="s">
        <v>3408</v>
      </c>
      <c r="B1998" s="1" t="s">
        <v>3409</v>
      </c>
      <c r="C1998" s="1" t="s">
        <v>703</v>
      </c>
      <c r="D1998" s="1" t="s">
        <v>3147</v>
      </c>
      <c r="E1998" s="1" t="s">
        <v>3169</v>
      </c>
    </row>
    <row r="1999" customFormat="false" ht="16" hidden="false" customHeight="false" outlineLevel="0" collapsed="false">
      <c r="A1999" s="1" t="s">
        <v>3410</v>
      </c>
      <c r="B1999" s="1" t="s">
        <v>3411</v>
      </c>
      <c r="C1999" s="1" t="s">
        <v>703</v>
      </c>
      <c r="D1999" s="1" t="s">
        <v>3147</v>
      </c>
      <c r="E1999" s="1" t="s">
        <v>3169</v>
      </c>
    </row>
    <row r="2000" customFormat="false" ht="16" hidden="false" customHeight="false" outlineLevel="0" collapsed="false">
      <c r="A2000" s="1" t="s">
        <v>3412</v>
      </c>
      <c r="B2000" s="1" t="s">
        <v>3413</v>
      </c>
      <c r="C2000" s="1" t="s">
        <v>703</v>
      </c>
      <c r="D2000" s="1" t="s">
        <v>3147</v>
      </c>
      <c r="E2000" s="1" t="s">
        <v>3169</v>
      </c>
    </row>
    <row r="2001" customFormat="false" ht="16" hidden="false" customHeight="false" outlineLevel="0" collapsed="false">
      <c r="A2001" s="1" t="s">
        <v>3414</v>
      </c>
      <c r="B2001" s="1" t="s">
        <v>3415</v>
      </c>
      <c r="C2001" s="1" t="s">
        <v>703</v>
      </c>
      <c r="D2001" s="1" t="s">
        <v>3147</v>
      </c>
      <c r="E2001" s="1" t="s">
        <v>3169</v>
      </c>
    </row>
    <row r="2002" customFormat="false" ht="16" hidden="false" customHeight="false" outlineLevel="0" collapsed="false">
      <c r="A2002" s="1" t="s">
        <v>3416</v>
      </c>
      <c r="B2002" s="1" t="s">
        <v>3417</v>
      </c>
      <c r="C2002" s="1" t="s">
        <v>703</v>
      </c>
      <c r="D2002" s="1" t="s">
        <v>3147</v>
      </c>
      <c r="E2002" s="1" t="s">
        <v>3169</v>
      </c>
    </row>
    <row r="2003" customFormat="false" ht="16" hidden="false" customHeight="false" outlineLevel="0" collapsed="false">
      <c r="A2003" s="1" t="s">
        <v>3418</v>
      </c>
      <c r="B2003" s="1" t="s">
        <v>3419</v>
      </c>
      <c r="C2003" s="1" t="s">
        <v>703</v>
      </c>
      <c r="D2003" s="1" t="s">
        <v>3147</v>
      </c>
      <c r="E2003" s="1" t="s">
        <v>3169</v>
      </c>
    </row>
    <row r="2004" customFormat="false" ht="16" hidden="false" customHeight="false" outlineLevel="0" collapsed="false">
      <c r="A2004" s="1" t="s">
        <v>3420</v>
      </c>
      <c r="B2004" s="1" t="s">
        <v>3421</v>
      </c>
      <c r="C2004" s="1" t="s">
        <v>703</v>
      </c>
      <c r="D2004" s="1" t="s">
        <v>3147</v>
      </c>
      <c r="E2004" s="1" t="s">
        <v>3169</v>
      </c>
    </row>
    <row r="2005" customFormat="false" ht="16" hidden="false" customHeight="false" outlineLevel="0" collapsed="false">
      <c r="A2005" s="1" t="s">
        <v>3422</v>
      </c>
      <c r="B2005" s="1" t="s">
        <v>3423</v>
      </c>
      <c r="C2005" s="1" t="s">
        <v>703</v>
      </c>
      <c r="D2005" s="1" t="s">
        <v>3147</v>
      </c>
      <c r="E2005" s="1" t="s">
        <v>3169</v>
      </c>
    </row>
    <row r="2006" customFormat="false" ht="16" hidden="false" customHeight="false" outlineLevel="0" collapsed="false">
      <c r="A2006" s="1" t="s">
        <v>3424</v>
      </c>
      <c r="B2006" s="1" t="s">
        <v>3425</v>
      </c>
      <c r="C2006" s="1" t="s">
        <v>703</v>
      </c>
      <c r="D2006" s="1" t="s">
        <v>3147</v>
      </c>
      <c r="E2006" s="1" t="s">
        <v>3169</v>
      </c>
    </row>
    <row r="2007" customFormat="false" ht="16" hidden="false" customHeight="false" outlineLevel="0" collapsed="false">
      <c r="A2007" s="1" t="s">
        <v>3426</v>
      </c>
      <c r="B2007" s="1" t="s">
        <v>3427</v>
      </c>
      <c r="C2007" s="1" t="s">
        <v>703</v>
      </c>
      <c r="D2007" s="1" t="s">
        <v>3147</v>
      </c>
      <c r="E2007" s="1" t="s">
        <v>3169</v>
      </c>
    </row>
    <row r="2008" customFormat="false" ht="16" hidden="false" customHeight="false" outlineLevel="0" collapsed="false">
      <c r="A2008" s="1" t="s">
        <v>3428</v>
      </c>
      <c r="B2008" s="1" t="s">
        <v>3429</v>
      </c>
      <c r="C2008" s="1" t="s">
        <v>703</v>
      </c>
      <c r="D2008" s="1" t="s">
        <v>3147</v>
      </c>
      <c r="E2008" s="1" t="s">
        <v>3169</v>
      </c>
    </row>
    <row r="2009" customFormat="false" ht="16" hidden="false" customHeight="false" outlineLevel="0" collapsed="false">
      <c r="A2009" s="1" t="s">
        <v>3430</v>
      </c>
      <c r="B2009" s="1" t="s">
        <v>3431</v>
      </c>
      <c r="C2009" s="1" t="s">
        <v>703</v>
      </c>
      <c r="D2009" s="1" t="s">
        <v>3147</v>
      </c>
      <c r="E2009" s="1" t="s">
        <v>3169</v>
      </c>
    </row>
    <row r="2010" customFormat="false" ht="16" hidden="false" customHeight="false" outlineLevel="0" collapsed="false">
      <c r="A2010" s="1" t="s">
        <v>3432</v>
      </c>
      <c r="B2010" s="1" t="s">
        <v>3433</v>
      </c>
      <c r="C2010" s="1" t="s">
        <v>703</v>
      </c>
      <c r="D2010" s="1" t="s">
        <v>3147</v>
      </c>
      <c r="E2010" s="1" t="s">
        <v>3169</v>
      </c>
    </row>
    <row r="2011" customFormat="false" ht="16" hidden="false" customHeight="false" outlineLevel="0" collapsed="false">
      <c r="A2011" s="1" t="s">
        <v>3434</v>
      </c>
      <c r="B2011" s="1" t="s">
        <v>3435</v>
      </c>
      <c r="C2011" s="1" t="s">
        <v>703</v>
      </c>
      <c r="D2011" s="1" t="s">
        <v>3147</v>
      </c>
      <c r="E2011" s="1" t="s">
        <v>3169</v>
      </c>
    </row>
    <row r="2012" customFormat="false" ht="16" hidden="false" customHeight="false" outlineLevel="0" collapsed="false">
      <c r="A2012" s="1" t="s">
        <v>3436</v>
      </c>
      <c r="B2012" s="1" t="s">
        <v>3437</v>
      </c>
      <c r="C2012" s="1" t="s">
        <v>703</v>
      </c>
      <c r="D2012" s="1" t="s">
        <v>3147</v>
      </c>
      <c r="E2012" s="1" t="s">
        <v>3169</v>
      </c>
    </row>
    <row r="2013" customFormat="false" ht="16" hidden="false" customHeight="false" outlineLevel="0" collapsed="false">
      <c r="A2013" s="1" t="s">
        <v>3438</v>
      </c>
      <c r="B2013" s="1" t="s">
        <v>3439</v>
      </c>
      <c r="C2013" s="1" t="s">
        <v>703</v>
      </c>
      <c r="D2013" s="1" t="s">
        <v>3147</v>
      </c>
      <c r="E2013" s="1" t="s">
        <v>3169</v>
      </c>
    </row>
    <row r="2014" customFormat="false" ht="16" hidden="false" customHeight="false" outlineLevel="0" collapsed="false">
      <c r="A2014" s="1" t="s">
        <v>3440</v>
      </c>
      <c r="B2014" s="1" t="s">
        <v>3441</v>
      </c>
      <c r="C2014" s="1" t="s">
        <v>703</v>
      </c>
      <c r="D2014" s="1" t="s">
        <v>3147</v>
      </c>
      <c r="E2014" s="1" t="s">
        <v>3169</v>
      </c>
    </row>
    <row r="2015" customFormat="false" ht="16" hidden="false" customHeight="false" outlineLevel="0" collapsed="false">
      <c r="A2015" s="1" t="s">
        <v>3442</v>
      </c>
      <c r="B2015" s="1" t="s">
        <v>3443</v>
      </c>
      <c r="C2015" s="1" t="s">
        <v>703</v>
      </c>
      <c r="D2015" s="1" t="s">
        <v>3147</v>
      </c>
      <c r="E2015" s="1" t="s">
        <v>3169</v>
      </c>
    </row>
    <row r="2016" customFormat="false" ht="16" hidden="false" customHeight="false" outlineLevel="0" collapsed="false">
      <c r="A2016" s="1" t="s">
        <v>3444</v>
      </c>
      <c r="B2016" s="1" t="s">
        <v>3445</v>
      </c>
      <c r="C2016" s="1" t="s">
        <v>703</v>
      </c>
      <c r="D2016" s="1" t="s">
        <v>3147</v>
      </c>
      <c r="E2016" s="1" t="s">
        <v>3169</v>
      </c>
    </row>
    <row r="2017" customFormat="false" ht="16" hidden="false" customHeight="false" outlineLevel="0" collapsed="false">
      <c r="A2017" s="1" t="s">
        <v>3446</v>
      </c>
      <c r="B2017" s="1" t="s">
        <v>3447</v>
      </c>
      <c r="C2017" s="1" t="s">
        <v>703</v>
      </c>
      <c r="D2017" s="1" t="s">
        <v>3147</v>
      </c>
      <c r="E2017" s="1" t="s">
        <v>3169</v>
      </c>
    </row>
    <row r="2018" customFormat="false" ht="16" hidden="false" customHeight="false" outlineLevel="0" collapsed="false">
      <c r="A2018" s="1" t="s">
        <v>3448</v>
      </c>
      <c r="B2018" s="1" t="s">
        <v>3449</v>
      </c>
      <c r="C2018" s="1" t="s">
        <v>703</v>
      </c>
      <c r="D2018" s="1" t="s">
        <v>3147</v>
      </c>
      <c r="E2018" s="1" t="s">
        <v>3169</v>
      </c>
    </row>
    <row r="2019" customFormat="false" ht="16" hidden="false" customHeight="false" outlineLevel="0" collapsed="false">
      <c r="A2019" s="1" t="s">
        <v>3450</v>
      </c>
      <c r="B2019" s="1" t="s">
        <v>3451</v>
      </c>
      <c r="C2019" s="1" t="s">
        <v>703</v>
      </c>
      <c r="D2019" s="1" t="s">
        <v>3147</v>
      </c>
      <c r="E2019" s="1" t="s">
        <v>3169</v>
      </c>
    </row>
    <row r="2020" customFormat="false" ht="16" hidden="false" customHeight="false" outlineLevel="0" collapsed="false">
      <c r="A2020" s="1" t="s">
        <v>3452</v>
      </c>
      <c r="B2020" s="1" t="s">
        <v>3453</v>
      </c>
      <c r="C2020" s="1" t="s">
        <v>703</v>
      </c>
      <c r="D2020" s="1" t="s">
        <v>3147</v>
      </c>
      <c r="E2020" s="1" t="s">
        <v>3169</v>
      </c>
    </row>
    <row r="2021" customFormat="false" ht="16" hidden="false" customHeight="false" outlineLevel="0" collapsed="false">
      <c r="A2021" s="1" t="s">
        <v>3454</v>
      </c>
      <c r="B2021" s="1" t="s">
        <v>3455</v>
      </c>
      <c r="C2021" s="1" t="s">
        <v>703</v>
      </c>
      <c r="D2021" s="1" t="s">
        <v>3147</v>
      </c>
      <c r="E2021" s="1" t="s">
        <v>3169</v>
      </c>
    </row>
    <row r="2022" customFormat="false" ht="16" hidden="false" customHeight="false" outlineLevel="0" collapsed="false">
      <c r="A2022" s="1" t="s">
        <v>3456</v>
      </c>
      <c r="B2022" s="1" t="s">
        <v>3457</v>
      </c>
      <c r="C2022" s="1" t="s">
        <v>703</v>
      </c>
      <c r="D2022" s="1" t="s">
        <v>3147</v>
      </c>
      <c r="E2022" s="1" t="s">
        <v>3169</v>
      </c>
    </row>
    <row r="2023" customFormat="false" ht="16" hidden="false" customHeight="false" outlineLevel="0" collapsed="false">
      <c r="A2023" s="1" t="s">
        <v>3458</v>
      </c>
      <c r="B2023" s="1" t="s">
        <v>3459</v>
      </c>
      <c r="C2023" s="1" t="s">
        <v>703</v>
      </c>
      <c r="D2023" s="1" t="s">
        <v>3147</v>
      </c>
      <c r="E2023" s="1" t="s">
        <v>3169</v>
      </c>
    </row>
    <row r="2024" customFormat="false" ht="16" hidden="false" customHeight="false" outlineLevel="0" collapsed="false">
      <c r="A2024" s="1" t="s">
        <v>3460</v>
      </c>
      <c r="B2024" s="1" t="s">
        <v>3461</v>
      </c>
      <c r="C2024" s="1" t="s">
        <v>703</v>
      </c>
      <c r="D2024" s="1" t="s">
        <v>3147</v>
      </c>
      <c r="E2024" s="1" t="s">
        <v>3169</v>
      </c>
    </row>
    <row r="2025" customFormat="false" ht="16" hidden="false" customHeight="false" outlineLevel="0" collapsed="false">
      <c r="A2025" s="1" t="s">
        <v>3462</v>
      </c>
      <c r="B2025" s="1" t="s">
        <v>3463</v>
      </c>
      <c r="C2025" s="1" t="s">
        <v>703</v>
      </c>
      <c r="D2025" s="1" t="s">
        <v>3147</v>
      </c>
      <c r="E2025" s="1" t="s">
        <v>3169</v>
      </c>
    </row>
    <row r="2026" customFormat="false" ht="16" hidden="false" customHeight="false" outlineLevel="0" collapsed="false">
      <c r="A2026" s="1" t="s">
        <v>3464</v>
      </c>
      <c r="B2026" s="1" t="s">
        <v>3465</v>
      </c>
      <c r="C2026" s="1" t="s">
        <v>703</v>
      </c>
      <c r="D2026" s="1" t="s">
        <v>3147</v>
      </c>
      <c r="E2026" s="1" t="s">
        <v>3169</v>
      </c>
    </row>
    <row r="2027" customFormat="false" ht="16" hidden="false" customHeight="false" outlineLevel="0" collapsed="false">
      <c r="A2027" s="1" t="s">
        <v>3466</v>
      </c>
      <c r="B2027" s="1" t="s">
        <v>3467</v>
      </c>
      <c r="C2027" s="1" t="s">
        <v>703</v>
      </c>
      <c r="D2027" s="1" t="s">
        <v>3147</v>
      </c>
      <c r="E2027" s="1" t="s">
        <v>3169</v>
      </c>
    </row>
    <row r="2028" customFormat="false" ht="16" hidden="false" customHeight="false" outlineLevel="0" collapsed="false">
      <c r="A2028" s="1" t="s">
        <v>3468</v>
      </c>
      <c r="B2028" s="1" t="s">
        <v>3469</v>
      </c>
      <c r="C2028" s="1" t="s">
        <v>703</v>
      </c>
      <c r="D2028" s="1" t="s">
        <v>3147</v>
      </c>
      <c r="E2028" s="1" t="s">
        <v>3169</v>
      </c>
    </row>
    <row r="2029" customFormat="false" ht="16" hidden="false" customHeight="false" outlineLevel="0" collapsed="false">
      <c r="A2029" s="1" t="s">
        <v>3470</v>
      </c>
      <c r="B2029" s="1" t="s">
        <v>3471</v>
      </c>
      <c r="C2029" s="1" t="s">
        <v>703</v>
      </c>
      <c r="D2029" s="1" t="s">
        <v>3147</v>
      </c>
      <c r="E2029" s="1" t="s">
        <v>3169</v>
      </c>
    </row>
    <row r="2030" customFormat="false" ht="16" hidden="false" customHeight="false" outlineLevel="0" collapsed="false">
      <c r="A2030" s="1" t="s">
        <v>3472</v>
      </c>
      <c r="B2030" s="1" t="s">
        <v>3473</v>
      </c>
      <c r="C2030" s="1" t="s">
        <v>703</v>
      </c>
      <c r="D2030" s="1" t="s">
        <v>3147</v>
      </c>
      <c r="E2030" s="1" t="s">
        <v>3169</v>
      </c>
    </row>
    <row r="2031" customFormat="false" ht="16" hidden="false" customHeight="false" outlineLevel="0" collapsed="false">
      <c r="A2031" s="1" t="s">
        <v>3474</v>
      </c>
      <c r="B2031" s="1" t="s">
        <v>3475</v>
      </c>
      <c r="C2031" s="1" t="s">
        <v>703</v>
      </c>
      <c r="D2031" s="1" t="s">
        <v>3147</v>
      </c>
      <c r="E2031" s="1" t="s">
        <v>3169</v>
      </c>
    </row>
    <row r="2032" customFormat="false" ht="16" hidden="false" customHeight="false" outlineLevel="0" collapsed="false">
      <c r="A2032" s="1" t="s">
        <v>3476</v>
      </c>
      <c r="B2032" s="1" t="s">
        <v>3477</v>
      </c>
      <c r="C2032" s="1" t="s">
        <v>703</v>
      </c>
      <c r="D2032" s="1" t="s">
        <v>3147</v>
      </c>
      <c r="E2032" s="1" t="s">
        <v>3169</v>
      </c>
    </row>
    <row r="2033" customFormat="false" ht="16" hidden="false" customHeight="false" outlineLevel="0" collapsed="false">
      <c r="A2033" s="1" t="s">
        <v>3478</v>
      </c>
      <c r="B2033" s="1" t="s">
        <v>3479</v>
      </c>
      <c r="C2033" s="1" t="s">
        <v>703</v>
      </c>
      <c r="D2033" s="1" t="s">
        <v>3147</v>
      </c>
      <c r="E2033" s="1" t="s">
        <v>3169</v>
      </c>
    </row>
    <row r="2034" customFormat="false" ht="16" hidden="false" customHeight="false" outlineLevel="0" collapsed="false">
      <c r="A2034" s="1" t="s">
        <v>3480</v>
      </c>
      <c r="B2034" s="1" t="s">
        <v>3481</v>
      </c>
      <c r="C2034" s="1" t="s">
        <v>703</v>
      </c>
      <c r="D2034" s="1" t="s">
        <v>3147</v>
      </c>
      <c r="E2034" s="1" t="s">
        <v>3169</v>
      </c>
    </row>
    <row r="2035" customFormat="false" ht="16" hidden="false" customHeight="false" outlineLevel="0" collapsed="false">
      <c r="A2035" s="1" t="s">
        <v>3482</v>
      </c>
      <c r="B2035" s="1" t="s">
        <v>3483</v>
      </c>
      <c r="C2035" s="1" t="s">
        <v>703</v>
      </c>
      <c r="D2035" s="1" t="s">
        <v>3147</v>
      </c>
      <c r="E2035" s="1" t="s">
        <v>3169</v>
      </c>
    </row>
    <row r="2036" customFormat="false" ht="16" hidden="false" customHeight="false" outlineLevel="0" collapsed="false">
      <c r="A2036" s="1" t="s">
        <v>3484</v>
      </c>
      <c r="B2036" s="1" t="s">
        <v>3485</v>
      </c>
      <c r="C2036" s="1" t="s">
        <v>703</v>
      </c>
      <c r="D2036" s="1" t="s">
        <v>3147</v>
      </c>
      <c r="E2036" s="1" t="s">
        <v>3169</v>
      </c>
    </row>
    <row r="2037" customFormat="false" ht="16" hidden="false" customHeight="false" outlineLevel="0" collapsed="false">
      <c r="A2037" s="1" t="s">
        <v>3486</v>
      </c>
      <c r="B2037" s="1" t="s">
        <v>3487</v>
      </c>
      <c r="C2037" s="1" t="s">
        <v>703</v>
      </c>
      <c r="D2037" s="1" t="s">
        <v>3147</v>
      </c>
      <c r="E2037" s="1" t="s">
        <v>3169</v>
      </c>
    </row>
    <row r="2038" customFormat="false" ht="16" hidden="false" customHeight="false" outlineLevel="0" collapsed="false">
      <c r="A2038" s="1" t="s">
        <v>3488</v>
      </c>
      <c r="B2038" s="1" t="s">
        <v>3489</v>
      </c>
      <c r="C2038" s="1" t="s">
        <v>703</v>
      </c>
      <c r="D2038" s="1" t="s">
        <v>3147</v>
      </c>
      <c r="E2038" s="1" t="s">
        <v>3169</v>
      </c>
    </row>
    <row r="2039" customFormat="false" ht="16" hidden="false" customHeight="false" outlineLevel="0" collapsed="false">
      <c r="A2039" s="1" t="s">
        <v>3490</v>
      </c>
      <c r="B2039" s="1" t="s">
        <v>3491</v>
      </c>
      <c r="C2039" s="1" t="s">
        <v>703</v>
      </c>
      <c r="D2039" s="1" t="s">
        <v>3147</v>
      </c>
      <c r="E2039" s="1" t="s">
        <v>3169</v>
      </c>
    </row>
    <row r="2040" customFormat="false" ht="16" hidden="false" customHeight="false" outlineLevel="0" collapsed="false">
      <c r="A2040" s="1" t="s">
        <v>3492</v>
      </c>
      <c r="B2040" s="1" t="s">
        <v>3493</v>
      </c>
      <c r="C2040" s="1" t="s">
        <v>703</v>
      </c>
      <c r="D2040" s="1" t="s">
        <v>3147</v>
      </c>
      <c r="E2040" s="1" t="s">
        <v>3169</v>
      </c>
    </row>
    <row r="2041" customFormat="false" ht="16" hidden="false" customHeight="false" outlineLevel="0" collapsed="false">
      <c r="A2041" s="1" t="s">
        <v>3494</v>
      </c>
      <c r="B2041" s="1" t="s">
        <v>3495</v>
      </c>
      <c r="C2041" s="1" t="s">
        <v>703</v>
      </c>
      <c r="D2041" s="1" t="s">
        <v>3147</v>
      </c>
      <c r="E2041" s="1" t="s">
        <v>3169</v>
      </c>
    </row>
    <row r="2042" customFormat="false" ht="16" hidden="false" customHeight="false" outlineLevel="0" collapsed="false">
      <c r="A2042" s="1" t="s">
        <v>3496</v>
      </c>
      <c r="B2042" s="1" t="s">
        <v>3497</v>
      </c>
      <c r="C2042" s="1" t="s">
        <v>703</v>
      </c>
      <c r="D2042" s="1" t="s">
        <v>3147</v>
      </c>
      <c r="E2042" s="1" t="s">
        <v>3169</v>
      </c>
    </row>
    <row r="2043" customFormat="false" ht="16" hidden="false" customHeight="false" outlineLevel="0" collapsed="false">
      <c r="A2043" s="1" t="s">
        <v>3498</v>
      </c>
      <c r="B2043" s="1" t="s">
        <v>3499</v>
      </c>
      <c r="C2043" s="1" t="s">
        <v>703</v>
      </c>
      <c r="D2043" s="1" t="s">
        <v>3147</v>
      </c>
      <c r="E2043" s="1" t="s">
        <v>3169</v>
      </c>
    </row>
    <row r="2044" customFormat="false" ht="16" hidden="false" customHeight="false" outlineLevel="0" collapsed="false">
      <c r="A2044" s="1" t="s">
        <v>3500</v>
      </c>
      <c r="B2044" s="1" t="s">
        <v>3501</v>
      </c>
      <c r="C2044" s="1" t="s">
        <v>703</v>
      </c>
      <c r="D2044" s="1" t="s">
        <v>3147</v>
      </c>
      <c r="E2044" s="1" t="s">
        <v>3169</v>
      </c>
    </row>
    <row r="2045" customFormat="false" ht="16" hidden="false" customHeight="false" outlineLevel="0" collapsed="false">
      <c r="A2045" s="1" t="s">
        <v>3502</v>
      </c>
      <c r="B2045" s="1" t="s">
        <v>3503</v>
      </c>
      <c r="C2045" s="1" t="s">
        <v>703</v>
      </c>
      <c r="D2045" s="1" t="s">
        <v>3147</v>
      </c>
      <c r="E2045" s="1" t="s">
        <v>3169</v>
      </c>
    </row>
    <row r="2046" customFormat="false" ht="16" hidden="false" customHeight="false" outlineLevel="0" collapsed="false">
      <c r="A2046" s="1" t="s">
        <v>3504</v>
      </c>
      <c r="B2046" s="1" t="s">
        <v>3505</v>
      </c>
      <c r="C2046" s="1" t="s">
        <v>703</v>
      </c>
      <c r="D2046" s="1" t="s">
        <v>3147</v>
      </c>
      <c r="E2046" s="1" t="s">
        <v>3169</v>
      </c>
    </row>
    <row r="2047" customFormat="false" ht="16" hidden="false" customHeight="false" outlineLevel="0" collapsed="false">
      <c r="A2047" s="1" t="s">
        <v>3506</v>
      </c>
      <c r="B2047" s="1" t="s">
        <v>3507</v>
      </c>
      <c r="C2047" s="1" t="s">
        <v>703</v>
      </c>
      <c r="D2047" s="1" t="s">
        <v>3147</v>
      </c>
      <c r="E2047" s="1" t="s">
        <v>3169</v>
      </c>
    </row>
    <row r="2048" customFormat="false" ht="16" hidden="false" customHeight="false" outlineLevel="0" collapsed="false">
      <c r="A2048" s="1" t="s">
        <v>3508</v>
      </c>
      <c r="B2048" s="1" t="s">
        <v>3509</v>
      </c>
      <c r="C2048" s="1" t="s">
        <v>703</v>
      </c>
      <c r="D2048" s="1" t="s">
        <v>3147</v>
      </c>
      <c r="E2048" s="1" t="s">
        <v>3169</v>
      </c>
    </row>
    <row r="2049" customFormat="false" ht="16" hidden="false" customHeight="false" outlineLevel="0" collapsed="false">
      <c r="A2049" s="1" t="s">
        <v>3510</v>
      </c>
      <c r="B2049" s="1" t="s">
        <v>3511</v>
      </c>
      <c r="C2049" s="1" t="s">
        <v>703</v>
      </c>
      <c r="D2049" s="1" t="s">
        <v>3147</v>
      </c>
      <c r="E2049" s="1" t="s">
        <v>3169</v>
      </c>
    </row>
    <row r="2050" customFormat="false" ht="16" hidden="false" customHeight="false" outlineLevel="0" collapsed="false">
      <c r="A2050" s="1" t="s">
        <v>3512</v>
      </c>
      <c r="B2050" s="1" t="s">
        <v>3513</v>
      </c>
      <c r="C2050" s="1" t="s">
        <v>703</v>
      </c>
      <c r="D2050" s="1" t="s">
        <v>3147</v>
      </c>
      <c r="E2050" s="1" t="s">
        <v>3169</v>
      </c>
    </row>
    <row r="2051" customFormat="false" ht="16" hidden="false" customHeight="false" outlineLevel="0" collapsed="false">
      <c r="A2051" s="1" t="s">
        <v>3514</v>
      </c>
      <c r="B2051" s="1" t="s">
        <v>3515</v>
      </c>
      <c r="C2051" s="1" t="s">
        <v>703</v>
      </c>
      <c r="D2051" s="1" t="s">
        <v>3147</v>
      </c>
      <c r="E2051" s="1" t="s">
        <v>3169</v>
      </c>
    </row>
    <row r="2052" customFormat="false" ht="16" hidden="false" customHeight="false" outlineLevel="0" collapsed="false">
      <c r="A2052" s="1" t="s">
        <v>3516</v>
      </c>
      <c r="B2052" s="1" t="s">
        <v>3517</v>
      </c>
      <c r="C2052" s="1" t="s">
        <v>703</v>
      </c>
      <c r="D2052" s="1" t="s">
        <v>3147</v>
      </c>
      <c r="E2052" s="1" t="s">
        <v>3169</v>
      </c>
    </row>
    <row r="2053" customFormat="false" ht="16" hidden="false" customHeight="false" outlineLevel="0" collapsed="false">
      <c r="A2053" s="1" t="s">
        <v>3518</v>
      </c>
      <c r="B2053" s="1" t="s">
        <v>3519</v>
      </c>
      <c r="C2053" s="1" t="s">
        <v>703</v>
      </c>
      <c r="D2053" s="1" t="s">
        <v>3147</v>
      </c>
      <c r="E2053" s="1" t="s">
        <v>3169</v>
      </c>
    </row>
    <row r="2054" customFormat="false" ht="16" hidden="false" customHeight="false" outlineLevel="0" collapsed="false">
      <c r="A2054" s="1" t="s">
        <v>3520</v>
      </c>
      <c r="B2054" s="1" t="s">
        <v>3521</v>
      </c>
      <c r="C2054" s="1" t="s">
        <v>703</v>
      </c>
      <c r="D2054" s="1" t="s">
        <v>3147</v>
      </c>
      <c r="E2054" s="1" t="s">
        <v>3169</v>
      </c>
    </row>
    <row r="2055" customFormat="false" ht="16" hidden="false" customHeight="false" outlineLevel="0" collapsed="false">
      <c r="A2055" s="1" t="s">
        <v>3522</v>
      </c>
      <c r="B2055" s="1" t="s">
        <v>3523</v>
      </c>
      <c r="C2055" s="1" t="s">
        <v>703</v>
      </c>
      <c r="D2055" s="1" t="s">
        <v>3147</v>
      </c>
      <c r="E2055" s="1" t="s">
        <v>3169</v>
      </c>
    </row>
    <row r="2056" customFormat="false" ht="16" hidden="false" customHeight="false" outlineLevel="0" collapsed="false">
      <c r="A2056" s="1" t="s">
        <v>3524</v>
      </c>
      <c r="B2056" s="1" t="s">
        <v>3525</v>
      </c>
      <c r="C2056" s="1" t="s">
        <v>703</v>
      </c>
      <c r="D2056" s="1" t="s">
        <v>3147</v>
      </c>
      <c r="E2056" s="1" t="s">
        <v>3169</v>
      </c>
    </row>
    <row r="2057" customFormat="false" ht="16" hidden="false" customHeight="false" outlineLevel="0" collapsed="false">
      <c r="A2057" s="1" t="s">
        <v>3526</v>
      </c>
      <c r="B2057" s="1" t="s">
        <v>3527</v>
      </c>
      <c r="C2057" s="1" t="s">
        <v>703</v>
      </c>
      <c r="D2057" s="1" t="s">
        <v>3147</v>
      </c>
      <c r="E2057" s="1" t="s">
        <v>3169</v>
      </c>
    </row>
    <row r="2058" customFormat="false" ht="16" hidden="false" customHeight="false" outlineLevel="0" collapsed="false">
      <c r="A2058" s="1" t="s">
        <v>3528</v>
      </c>
      <c r="B2058" s="1" t="s">
        <v>3529</v>
      </c>
      <c r="C2058" s="1" t="s">
        <v>703</v>
      </c>
      <c r="D2058" s="1" t="s">
        <v>3147</v>
      </c>
      <c r="E2058" s="1" t="s">
        <v>3169</v>
      </c>
    </row>
    <row r="2059" customFormat="false" ht="16" hidden="false" customHeight="false" outlineLevel="0" collapsed="false">
      <c r="A2059" s="1" t="s">
        <v>3530</v>
      </c>
      <c r="B2059" s="1" t="s">
        <v>3531</v>
      </c>
      <c r="C2059" s="1" t="s">
        <v>703</v>
      </c>
      <c r="D2059" s="1" t="s">
        <v>3147</v>
      </c>
      <c r="E2059" s="1" t="s">
        <v>3169</v>
      </c>
    </row>
    <row r="2060" customFormat="false" ht="16" hidden="false" customHeight="false" outlineLevel="0" collapsed="false">
      <c r="A2060" s="1" t="s">
        <v>3532</v>
      </c>
      <c r="B2060" s="1" t="s">
        <v>3533</v>
      </c>
      <c r="C2060" s="1" t="s">
        <v>703</v>
      </c>
      <c r="D2060" s="1" t="s">
        <v>3147</v>
      </c>
      <c r="E2060" s="1" t="s">
        <v>3169</v>
      </c>
    </row>
    <row r="2061" customFormat="false" ht="16" hidden="false" customHeight="false" outlineLevel="0" collapsed="false">
      <c r="A2061" s="1" t="s">
        <v>3534</v>
      </c>
      <c r="B2061" s="1" t="s">
        <v>3535</v>
      </c>
      <c r="C2061" s="1" t="s">
        <v>703</v>
      </c>
      <c r="D2061" s="1" t="s">
        <v>3147</v>
      </c>
      <c r="E2061" s="1" t="s">
        <v>3169</v>
      </c>
    </row>
    <row r="2062" customFormat="false" ht="16" hidden="false" customHeight="false" outlineLevel="0" collapsed="false">
      <c r="A2062" s="1" t="s">
        <v>3536</v>
      </c>
      <c r="B2062" s="1" t="s">
        <v>3537</v>
      </c>
      <c r="C2062" s="1" t="s">
        <v>703</v>
      </c>
      <c r="D2062" s="1" t="s">
        <v>3147</v>
      </c>
      <c r="E2062" s="1" t="s">
        <v>3169</v>
      </c>
    </row>
    <row r="2063" customFormat="false" ht="16" hidden="false" customHeight="false" outlineLevel="0" collapsed="false">
      <c r="A2063" s="1" t="s">
        <v>3538</v>
      </c>
      <c r="B2063" s="1" t="s">
        <v>3539</v>
      </c>
      <c r="C2063" s="1" t="s">
        <v>703</v>
      </c>
      <c r="D2063" s="1" t="s">
        <v>3147</v>
      </c>
      <c r="E2063" s="1" t="s">
        <v>3169</v>
      </c>
    </row>
    <row r="2064" customFormat="false" ht="16" hidden="false" customHeight="false" outlineLevel="0" collapsed="false">
      <c r="A2064" s="1" t="s">
        <v>3540</v>
      </c>
      <c r="B2064" s="1" t="s">
        <v>3541</v>
      </c>
      <c r="C2064" s="1" t="s">
        <v>703</v>
      </c>
      <c r="D2064" s="1" t="s">
        <v>3147</v>
      </c>
      <c r="E2064" s="1" t="s">
        <v>3169</v>
      </c>
    </row>
    <row r="2065" customFormat="false" ht="16" hidden="false" customHeight="false" outlineLevel="0" collapsed="false">
      <c r="A2065" s="1" t="s">
        <v>3542</v>
      </c>
      <c r="B2065" s="1" t="s">
        <v>3543</v>
      </c>
      <c r="C2065" s="1" t="s">
        <v>703</v>
      </c>
      <c r="D2065" s="1" t="s">
        <v>3147</v>
      </c>
      <c r="E2065" s="1" t="s">
        <v>3169</v>
      </c>
    </row>
    <row r="2066" customFormat="false" ht="16" hidden="false" customHeight="false" outlineLevel="0" collapsed="false">
      <c r="A2066" s="1" t="s">
        <v>3544</v>
      </c>
      <c r="B2066" s="1" t="s">
        <v>3545</v>
      </c>
      <c r="C2066" s="1" t="s">
        <v>703</v>
      </c>
      <c r="D2066" s="1" t="s">
        <v>3147</v>
      </c>
      <c r="E2066" s="1" t="s">
        <v>3169</v>
      </c>
    </row>
    <row r="2067" customFormat="false" ht="16" hidden="false" customHeight="false" outlineLevel="0" collapsed="false">
      <c r="A2067" s="1" t="s">
        <v>3546</v>
      </c>
      <c r="B2067" s="1" t="s">
        <v>3547</v>
      </c>
      <c r="C2067" s="1" t="s">
        <v>703</v>
      </c>
      <c r="D2067" s="1" t="s">
        <v>3147</v>
      </c>
      <c r="E2067" s="1" t="s">
        <v>3169</v>
      </c>
    </row>
    <row r="2068" customFormat="false" ht="16" hidden="false" customHeight="false" outlineLevel="0" collapsed="false">
      <c r="A2068" s="1" t="s">
        <v>3548</v>
      </c>
      <c r="B2068" s="1" t="s">
        <v>3549</v>
      </c>
      <c r="C2068" s="1" t="s">
        <v>703</v>
      </c>
      <c r="D2068" s="1" t="s">
        <v>3147</v>
      </c>
      <c r="E2068" s="1" t="s">
        <v>3169</v>
      </c>
    </row>
    <row r="2069" customFormat="false" ht="16" hidden="false" customHeight="false" outlineLevel="0" collapsed="false">
      <c r="A2069" s="1" t="s">
        <v>3550</v>
      </c>
      <c r="B2069" s="1" t="s">
        <v>3551</v>
      </c>
      <c r="C2069" s="1" t="s">
        <v>703</v>
      </c>
      <c r="D2069" s="1" t="s">
        <v>3147</v>
      </c>
      <c r="E2069" s="1" t="s">
        <v>3169</v>
      </c>
    </row>
    <row r="2070" customFormat="false" ht="16" hidden="false" customHeight="false" outlineLevel="0" collapsed="false">
      <c r="A2070" s="1" t="s">
        <v>3552</v>
      </c>
      <c r="B2070" s="1" t="s">
        <v>3553</v>
      </c>
      <c r="C2070" s="1" t="s">
        <v>703</v>
      </c>
      <c r="D2070" s="1" t="s">
        <v>3147</v>
      </c>
      <c r="E2070" s="1" t="s">
        <v>3169</v>
      </c>
    </row>
    <row r="2071" customFormat="false" ht="16" hidden="false" customHeight="false" outlineLevel="0" collapsed="false">
      <c r="A2071" s="1" t="s">
        <v>3554</v>
      </c>
      <c r="B2071" s="1" t="s">
        <v>3555</v>
      </c>
      <c r="C2071" s="1" t="s">
        <v>703</v>
      </c>
      <c r="D2071" s="1" t="s">
        <v>3147</v>
      </c>
      <c r="E2071" s="1" t="s">
        <v>3169</v>
      </c>
    </row>
    <row r="2072" customFormat="false" ht="16" hidden="false" customHeight="false" outlineLevel="0" collapsed="false">
      <c r="A2072" s="1" t="s">
        <v>3556</v>
      </c>
      <c r="B2072" s="1" t="s">
        <v>3557</v>
      </c>
      <c r="C2072" s="1" t="s">
        <v>703</v>
      </c>
      <c r="D2072" s="1" t="s">
        <v>3147</v>
      </c>
      <c r="E2072" s="1" t="s">
        <v>3169</v>
      </c>
    </row>
    <row r="2073" customFormat="false" ht="16" hidden="false" customHeight="false" outlineLevel="0" collapsed="false">
      <c r="A2073" s="1" t="s">
        <v>3558</v>
      </c>
      <c r="B2073" s="1" t="s">
        <v>3559</v>
      </c>
      <c r="C2073" s="1" t="s">
        <v>703</v>
      </c>
      <c r="D2073" s="1" t="s">
        <v>3147</v>
      </c>
      <c r="E2073" s="1" t="s">
        <v>3169</v>
      </c>
    </row>
    <row r="2074" customFormat="false" ht="16" hidden="false" customHeight="false" outlineLevel="0" collapsed="false">
      <c r="A2074" s="1" t="s">
        <v>3560</v>
      </c>
      <c r="B2074" s="1" t="s">
        <v>3561</v>
      </c>
      <c r="C2074" s="1" t="s">
        <v>703</v>
      </c>
      <c r="D2074" s="1" t="s">
        <v>3147</v>
      </c>
      <c r="E2074" s="1" t="s">
        <v>3169</v>
      </c>
    </row>
    <row r="2075" customFormat="false" ht="16" hidden="false" customHeight="false" outlineLevel="0" collapsed="false">
      <c r="A2075" s="1" t="s">
        <v>3562</v>
      </c>
      <c r="B2075" s="1" t="s">
        <v>3563</v>
      </c>
      <c r="C2075" s="1" t="s">
        <v>703</v>
      </c>
      <c r="D2075" s="1" t="s">
        <v>3147</v>
      </c>
      <c r="E2075" s="1" t="s">
        <v>3169</v>
      </c>
    </row>
    <row r="2076" customFormat="false" ht="16" hidden="false" customHeight="false" outlineLevel="0" collapsed="false">
      <c r="A2076" s="1" t="s">
        <v>3564</v>
      </c>
      <c r="B2076" s="1" t="s">
        <v>3565</v>
      </c>
      <c r="C2076" s="1" t="s">
        <v>703</v>
      </c>
      <c r="D2076" s="1" t="s">
        <v>3147</v>
      </c>
      <c r="E2076" s="1" t="s">
        <v>3169</v>
      </c>
    </row>
    <row r="2077" customFormat="false" ht="16" hidden="false" customHeight="false" outlineLevel="0" collapsed="false">
      <c r="A2077" s="1" t="s">
        <v>3566</v>
      </c>
      <c r="B2077" s="1" t="s">
        <v>3567</v>
      </c>
      <c r="C2077" s="1" t="s">
        <v>703</v>
      </c>
      <c r="D2077" s="1" t="s">
        <v>3147</v>
      </c>
      <c r="E2077" s="1" t="s">
        <v>3169</v>
      </c>
    </row>
    <row r="2078" customFormat="false" ht="16" hidden="false" customHeight="false" outlineLevel="0" collapsed="false">
      <c r="A2078" s="1" t="s">
        <v>3568</v>
      </c>
      <c r="B2078" s="1" t="s">
        <v>3569</v>
      </c>
      <c r="C2078" s="1" t="s">
        <v>703</v>
      </c>
      <c r="D2078" s="1" t="s">
        <v>3147</v>
      </c>
      <c r="E2078" s="1" t="s">
        <v>3169</v>
      </c>
    </row>
    <row r="2079" customFormat="false" ht="16" hidden="false" customHeight="false" outlineLevel="0" collapsed="false">
      <c r="A2079" s="1" t="s">
        <v>3570</v>
      </c>
      <c r="B2079" s="1" t="s">
        <v>3571</v>
      </c>
      <c r="C2079" s="1" t="s">
        <v>703</v>
      </c>
      <c r="D2079" s="1" t="s">
        <v>3147</v>
      </c>
      <c r="E2079" s="1" t="s">
        <v>3169</v>
      </c>
    </row>
    <row r="2080" customFormat="false" ht="16" hidden="false" customHeight="false" outlineLevel="0" collapsed="false">
      <c r="A2080" s="1" t="s">
        <v>3572</v>
      </c>
      <c r="B2080" s="1" t="s">
        <v>3573</v>
      </c>
      <c r="C2080" s="1" t="s">
        <v>703</v>
      </c>
      <c r="D2080" s="1" t="s">
        <v>3147</v>
      </c>
      <c r="E2080" s="1" t="s">
        <v>3169</v>
      </c>
    </row>
    <row r="2081" customFormat="false" ht="16" hidden="false" customHeight="false" outlineLevel="0" collapsed="false">
      <c r="A2081" s="1" t="s">
        <v>3574</v>
      </c>
      <c r="B2081" s="1" t="s">
        <v>3575</v>
      </c>
      <c r="C2081" s="1" t="s">
        <v>703</v>
      </c>
      <c r="D2081" s="1" t="s">
        <v>3147</v>
      </c>
      <c r="E2081" s="1" t="s">
        <v>3169</v>
      </c>
    </row>
    <row r="2082" customFormat="false" ht="16" hidden="false" customHeight="false" outlineLevel="0" collapsed="false">
      <c r="A2082" s="1" t="s">
        <v>3576</v>
      </c>
      <c r="B2082" s="1" t="s">
        <v>3577</v>
      </c>
      <c r="C2082" s="1" t="s">
        <v>703</v>
      </c>
      <c r="D2082" s="1" t="s">
        <v>3147</v>
      </c>
      <c r="E2082" s="1" t="s">
        <v>3169</v>
      </c>
    </row>
    <row r="2083" customFormat="false" ht="16" hidden="false" customHeight="false" outlineLevel="0" collapsed="false">
      <c r="A2083" s="1" t="s">
        <v>3578</v>
      </c>
      <c r="B2083" s="1" t="s">
        <v>3579</v>
      </c>
      <c r="C2083" s="1" t="s">
        <v>703</v>
      </c>
      <c r="D2083" s="1" t="s">
        <v>3147</v>
      </c>
      <c r="E2083" s="1" t="s">
        <v>3169</v>
      </c>
    </row>
    <row r="2084" customFormat="false" ht="16" hidden="false" customHeight="false" outlineLevel="0" collapsed="false">
      <c r="A2084" s="1" t="s">
        <v>3580</v>
      </c>
      <c r="B2084" s="1" t="s">
        <v>3581</v>
      </c>
      <c r="C2084" s="1" t="s">
        <v>703</v>
      </c>
      <c r="D2084" s="1" t="s">
        <v>3147</v>
      </c>
      <c r="E2084" s="1" t="s">
        <v>3169</v>
      </c>
    </row>
    <row r="2085" customFormat="false" ht="16" hidden="false" customHeight="false" outlineLevel="0" collapsed="false">
      <c r="A2085" s="1" t="s">
        <v>3582</v>
      </c>
      <c r="B2085" s="1" t="s">
        <v>3583</v>
      </c>
      <c r="C2085" s="1" t="s">
        <v>703</v>
      </c>
      <c r="D2085" s="1" t="s">
        <v>3147</v>
      </c>
      <c r="E2085" s="1" t="s">
        <v>3169</v>
      </c>
    </row>
    <row r="2086" customFormat="false" ht="16" hidden="false" customHeight="false" outlineLevel="0" collapsed="false">
      <c r="A2086" s="1" t="s">
        <v>3584</v>
      </c>
      <c r="B2086" s="1" t="s">
        <v>3585</v>
      </c>
      <c r="C2086" s="1" t="s">
        <v>703</v>
      </c>
      <c r="D2086" s="1" t="s">
        <v>3147</v>
      </c>
      <c r="E2086" s="1" t="s">
        <v>3169</v>
      </c>
    </row>
    <row r="2087" customFormat="false" ht="16" hidden="false" customHeight="false" outlineLevel="0" collapsed="false">
      <c r="A2087" s="1" t="s">
        <v>3586</v>
      </c>
      <c r="B2087" s="1" t="s">
        <v>3587</v>
      </c>
      <c r="C2087" s="1" t="s">
        <v>703</v>
      </c>
      <c r="D2087" s="1" t="s">
        <v>3147</v>
      </c>
      <c r="E2087" s="1" t="s">
        <v>3169</v>
      </c>
    </row>
    <row r="2088" customFormat="false" ht="16" hidden="false" customHeight="false" outlineLevel="0" collapsed="false">
      <c r="A2088" s="1" t="s">
        <v>3588</v>
      </c>
      <c r="B2088" s="1" t="s">
        <v>3589</v>
      </c>
      <c r="C2088" s="1" t="s">
        <v>703</v>
      </c>
      <c r="D2088" s="1" t="s">
        <v>3147</v>
      </c>
      <c r="E2088" s="1" t="s">
        <v>3169</v>
      </c>
    </row>
    <row r="2089" customFormat="false" ht="16" hidden="false" customHeight="false" outlineLevel="0" collapsed="false">
      <c r="A2089" s="1" t="s">
        <v>3590</v>
      </c>
      <c r="B2089" s="1" t="s">
        <v>3591</v>
      </c>
      <c r="C2089" s="1" t="s">
        <v>703</v>
      </c>
      <c r="D2089" s="1" t="s">
        <v>3147</v>
      </c>
      <c r="E2089" s="1" t="s">
        <v>3169</v>
      </c>
    </row>
    <row r="2090" customFormat="false" ht="16" hidden="false" customHeight="false" outlineLevel="0" collapsed="false">
      <c r="A2090" s="1" t="s">
        <v>3592</v>
      </c>
      <c r="B2090" s="1" t="s">
        <v>3593</v>
      </c>
      <c r="C2090" s="1" t="s">
        <v>703</v>
      </c>
      <c r="D2090" s="1" t="s">
        <v>3147</v>
      </c>
      <c r="E2090" s="1" t="s">
        <v>3169</v>
      </c>
    </row>
    <row r="2091" customFormat="false" ht="16" hidden="false" customHeight="false" outlineLevel="0" collapsed="false">
      <c r="A2091" s="1" t="s">
        <v>3594</v>
      </c>
      <c r="B2091" s="1" t="s">
        <v>3595</v>
      </c>
      <c r="C2091" s="1" t="s">
        <v>703</v>
      </c>
      <c r="D2091" s="1" t="s">
        <v>3147</v>
      </c>
      <c r="E2091" s="1" t="s">
        <v>3169</v>
      </c>
    </row>
    <row r="2092" customFormat="false" ht="16" hidden="false" customHeight="false" outlineLevel="0" collapsed="false">
      <c r="A2092" s="1" t="s">
        <v>3596</v>
      </c>
      <c r="B2092" s="1" t="s">
        <v>3597</v>
      </c>
      <c r="C2092" s="1" t="s">
        <v>703</v>
      </c>
      <c r="D2092" s="1" t="s">
        <v>3147</v>
      </c>
      <c r="E2092" s="1" t="s">
        <v>3169</v>
      </c>
    </row>
    <row r="2093" customFormat="false" ht="16" hidden="false" customHeight="false" outlineLevel="0" collapsed="false">
      <c r="A2093" s="1" t="s">
        <v>3598</v>
      </c>
      <c r="B2093" s="1" t="s">
        <v>3599</v>
      </c>
      <c r="C2093" s="1" t="s">
        <v>703</v>
      </c>
      <c r="D2093" s="1" t="s">
        <v>3147</v>
      </c>
      <c r="E2093" s="1" t="s">
        <v>3169</v>
      </c>
    </row>
    <row r="2094" customFormat="false" ht="16" hidden="false" customHeight="false" outlineLevel="0" collapsed="false">
      <c r="A2094" s="1" t="s">
        <v>3600</v>
      </c>
      <c r="B2094" s="1" t="s">
        <v>3601</v>
      </c>
      <c r="C2094" s="1" t="s">
        <v>703</v>
      </c>
      <c r="D2094" s="1" t="s">
        <v>3147</v>
      </c>
      <c r="E2094" s="1" t="s">
        <v>3169</v>
      </c>
    </row>
    <row r="2095" customFormat="false" ht="16" hidden="false" customHeight="false" outlineLevel="0" collapsed="false">
      <c r="A2095" s="1" t="s">
        <v>3602</v>
      </c>
      <c r="B2095" s="1" t="s">
        <v>3603</v>
      </c>
      <c r="C2095" s="1" t="s">
        <v>703</v>
      </c>
      <c r="D2095" s="1" t="s">
        <v>3147</v>
      </c>
      <c r="E2095" s="1" t="s">
        <v>3169</v>
      </c>
    </row>
    <row r="2096" customFormat="false" ht="16" hidden="false" customHeight="false" outlineLevel="0" collapsed="false">
      <c r="A2096" s="1" t="s">
        <v>3604</v>
      </c>
      <c r="B2096" s="1" t="s">
        <v>3605</v>
      </c>
      <c r="C2096" s="1" t="s">
        <v>703</v>
      </c>
      <c r="D2096" s="1" t="s">
        <v>3147</v>
      </c>
      <c r="E2096" s="1" t="s">
        <v>3169</v>
      </c>
    </row>
    <row r="2097" customFormat="false" ht="16" hidden="false" customHeight="false" outlineLevel="0" collapsed="false">
      <c r="A2097" s="1" t="s">
        <v>3606</v>
      </c>
      <c r="B2097" s="1" t="s">
        <v>3607</v>
      </c>
      <c r="C2097" s="1" t="s">
        <v>703</v>
      </c>
      <c r="D2097" s="1" t="s">
        <v>3147</v>
      </c>
      <c r="E2097" s="1" t="s">
        <v>3169</v>
      </c>
    </row>
    <row r="2098" customFormat="false" ht="16" hidden="false" customHeight="false" outlineLevel="0" collapsed="false">
      <c r="A2098" s="1" t="s">
        <v>3608</v>
      </c>
      <c r="B2098" s="1" t="s">
        <v>3609</v>
      </c>
      <c r="C2098" s="1" t="s">
        <v>703</v>
      </c>
      <c r="D2098" s="1" t="s">
        <v>3147</v>
      </c>
      <c r="E2098" s="1" t="s">
        <v>3169</v>
      </c>
    </row>
    <row r="2099" customFormat="false" ht="16" hidden="false" customHeight="false" outlineLevel="0" collapsed="false">
      <c r="A2099" s="1" t="s">
        <v>3610</v>
      </c>
      <c r="B2099" s="1" t="s">
        <v>3611</v>
      </c>
      <c r="C2099" s="1" t="s">
        <v>703</v>
      </c>
      <c r="D2099" s="1" t="s">
        <v>3147</v>
      </c>
      <c r="E2099" s="1" t="s">
        <v>3169</v>
      </c>
    </row>
    <row r="2100" customFormat="false" ht="16" hidden="false" customHeight="false" outlineLevel="0" collapsed="false">
      <c r="A2100" s="1" t="s">
        <v>3612</v>
      </c>
      <c r="B2100" s="1" t="s">
        <v>3613</v>
      </c>
      <c r="C2100" s="1" t="s">
        <v>703</v>
      </c>
      <c r="D2100" s="1" t="s">
        <v>3147</v>
      </c>
      <c r="E2100" s="1" t="s">
        <v>3169</v>
      </c>
    </row>
    <row r="2101" customFormat="false" ht="16" hidden="false" customHeight="false" outlineLevel="0" collapsed="false">
      <c r="A2101" s="1" t="s">
        <v>3614</v>
      </c>
      <c r="B2101" s="1" t="s">
        <v>3615</v>
      </c>
      <c r="C2101" s="1" t="s">
        <v>703</v>
      </c>
      <c r="D2101" s="1" t="s">
        <v>3147</v>
      </c>
      <c r="E2101" s="1" t="s">
        <v>3169</v>
      </c>
    </row>
    <row r="2102" customFormat="false" ht="16" hidden="false" customHeight="false" outlineLevel="0" collapsed="false">
      <c r="A2102" s="1" t="s">
        <v>3616</v>
      </c>
      <c r="B2102" s="1" t="s">
        <v>3617</v>
      </c>
      <c r="C2102" s="1" t="s">
        <v>703</v>
      </c>
      <c r="D2102" s="1" t="s">
        <v>3147</v>
      </c>
      <c r="E2102" s="1" t="s">
        <v>3169</v>
      </c>
    </row>
    <row r="2103" customFormat="false" ht="16" hidden="false" customHeight="false" outlineLevel="0" collapsed="false">
      <c r="A2103" s="1" t="s">
        <v>3618</v>
      </c>
      <c r="B2103" s="1" t="s">
        <v>3619</v>
      </c>
      <c r="C2103" s="1" t="s">
        <v>703</v>
      </c>
      <c r="D2103" s="1" t="s">
        <v>3147</v>
      </c>
      <c r="E2103" s="1" t="s">
        <v>3169</v>
      </c>
    </row>
    <row r="2104" customFormat="false" ht="16" hidden="false" customHeight="false" outlineLevel="0" collapsed="false">
      <c r="A2104" s="1" t="s">
        <v>3620</v>
      </c>
      <c r="B2104" s="1" t="s">
        <v>3621</v>
      </c>
      <c r="C2104" s="1" t="s">
        <v>703</v>
      </c>
      <c r="D2104" s="1" t="s">
        <v>2915</v>
      </c>
      <c r="E2104" s="1" t="s">
        <v>7</v>
      </c>
    </row>
    <row r="2105" customFormat="false" ht="16" hidden="false" customHeight="false" outlineLevel="0" collapsed="false">
      <c r="A2105" s="1" t="s">
        <v>3622</v>
      </c>
      <c r="B2105" s="1" t="s">
        <v>3623</v>
      </c>
      <c r="C2105" s="1" t="s">
        <v>703</v>
      </c>
      <c r="D2105" s="1" t="s">
        <v>2915</v>
      </c>
      <c r="E2105" s="1" t="s">
        <v>7</v>
      </c>
    </row>
    <row r="2106" customFormat="false" ht="16" hidden="false" customHeight="false" outlineLevel="0" collapsed="false">
      <c r="A2106" s="1" t="s">
        <v>3624</v>
      </c>
      <c r="B2106" s="1" t="s">
        <v>3625</v>
      </c>
      <c r="C2106" s="1" t="s">
        <v>703</v>
      </c>
      <c r="D2106" s="1" t="s">
        <v>2915</v>
      </c>
      <c r="E2106" s="1" t="s">
        <v>7</v>
      </c>
    </row>
    <row r="2107" customFormat="false" ht="16" hidden="false" customHeight="false" outlineLevel="0" collapsed="false">
      <c r="A2107" s="1" t="s">
        <v>3626</v>
      </c>
      <c r="B2107" s="1" t="s">
        <v>3627</v>
      </c>
      <c r="C2107" s="1" t="s">
        <v>703</v>
      </c>
      <c r="D2107" s="1" t="s">
        <v>2915</v>
      </c>
      <c r="E2107" s="1" t="s">
        <v>2793</v>
      </c>
    </row>
    <row r="2108" customFormat="false" ht="16" hidden="false" customHeight="false" outlineLevel="0" collapsed="false">
      <c r="A2108" s="1" t="s">
        <v>3628</v>
      </c>
      <c r="B2108" s="1" t="s">
        <v>3629</v>
      </c>
      <c r="C2108" s="1" t="s">
        <v>703</v>
      </c>
      <c r="D2108" s="1" t="s">
        <v>2915</v>
      </c>
      <c r="E2108" s="1" t="s">
        <v>2793</v>
      </c>
    </row>
    <row r="2109" customFormat="false" ht="16" hidden="false" customHeight="false" outlineLevel="0" collapsed="false">
      <c r="A2109" s="1" t="s">
        <v>3630</v>
      </c>
      <c r="B2109" s="1" t="s">
        <v>3631</v>
      </c>
      <c r="C2109" s="1" t="s">
        <v>703</v>
      </c>
      <c r="D2109" s="1" t="s">
        <v>2929</v>
      </c>
      <c r="E2109" s="1" t="s">
        <v>3632</v>
      </c>
    </row>
    <row r="2110" customFormat="false" ht="16" hidden="false" customHeight="false" outlineLevel="0" collapsed="false">
      <c r="A2110" s="1" t="s">
        <v>3633</v>
      </c>
      <c r="B2110" s="1" t="s">
        <v>3634</v>
      </c>
      <c r="C2110" s="1" t="s">
        <v>703</v>
      </c>
      <c r="D2110" s="1" t="s">
        <v>2915</v>
      </c>
      <c r="E2110" s="1" t="s">
        <v>2793</v>
      </c>
    </row>
    <row r="2111" customFormat="false" ht="16" hidden="false" customHeight="false" outlineLevel="0" collapsed="false">
      <c r="A2111" s="1" t="s">
        <v>3635</v>
      </c>
      <c r="B2111" s="1" t="s">
        <v>3636</v>
      </c>
      <c r="C2111" s="1" t="s">
        <v>703</v>
      </c>
      <c r="D2111" s="1" t="s">
        <v>2929</v>
      </c>
      <c r="E2111" s="1" t="s">
        <v>2793</v>
      </c>
    </row>
    <row r="2112" customFormat="false" ht="16" hidden="false" customHeight="false" outlineLevel="0" collapsed="false">
      <c r="A2112" s="1" t="s">
        <v>3637</v>
      </c>
      <c r="B2112" s="1" t="s">
        <v>3638</v>
      </c>
      <c r="C2112" s="1" t="s">
        <v>703</v>
      </c>
      <c r="D2112" s="1" t="s">
        <v>704</v>
      </c>
      <c r="E2112" s="1" t="s">
        <v>2793</v>
      </c>
    </row>
    <row r="2113" customFormat="false" ht="16" hidden="false" customHeight="false" outlineLevel="0" collapsed="false">
      <c r="A2113" s="1" t="s">
        <v>3639</v>
      </c>
      <c r="B2113" s="1" t="s">
        <v>3640</v>
      </c>
      <c r="C2113" s="1" t="s">
        <v>703</v>
      </c>
      <c r="D2113" s="1" t="s">
        <v>2929</v>
      </c>
      <c r="E2113" s="1" t="s">
        <v>2793</v>
      </c>
    </row>
    <row r="2114" customFormat="false" ht="16" hidden="false" customHeight="false" outlineLevel="0" collapsed="false">
      <c r="A2114" s="1" t="s">
        <v>3641</v>
      </c>
      <c r="B2114" s="1" t="s">
        <v>3642</v>
      </c>
      <c r="C2114" s="1" t="s">
        <v>703</v>
      </c>
      <c r="D2114" s="1" t="s">
        <v>2929</v>
      </c>
      <c r="E2114" s="1" t="s">
        <v>2793</v>
      </c>
    </row>
    <row r="2115" customFormat="false" ht="16" hidden="false" customHeight="false" outlineLevel="0" collapsed="false">
      <c r="A2115" s="1" t="s">
        <v>3643</v>
      </c>
      <c r="B2115" s="1" t="s">
        <v>3644</v>
      </c>
      <c r="C2115" s="1" t="s">
        <v>703</v>
      </c>
      <c r="D2115" s="1" t="s">
        <v>2929</v>
      </c>
      <c r="E2115" s="1" t="s">
        <v>2793</v>
      </c>
    </row>
    <row r="2116" customFormat="false" ht="16" hidden="false" customHeight="false" outlineLevel="0" collapsed="false">
      <c r="A2116" s="1" t="s">
        <v>3645</v>
      </c>
      <c r="B2116" s="1" t="s">
        <v>3646</v>
      </c>
      <c r="C2116" s="1" t="s">
        <v>703</v>
      </c>
      <c r="D2116" s="1" t="s">
        <v>2929</v>
      </c>
      <c r="E2116" s="1" t="s">
        <v>2793</v>
      </c>
    </row>
    <row r="2117" customFormat="false" ht="16" hidden="false" customHeight="false" outlineLevel="0" collapsed="false">
      <c r="A2117" s="1" t="s">
        <v>3647</v>
      </c>
      <c r="B2117" s="1" t="s">
        <v>3648</v>
      </c>
      <c r="C2117" s="1" t="s">
        <v>703</v>
      </c>
      <c r="D2117" s="1" t="s">
        <v>2929</v>
      </c>
      <c r="E2117" s="1" t="s">
        <v>2793</v>
      </c>
    </row>
    <row r="2118" customFormat="false" ht="16" hidden="false" customHeight="false" outlineLevel="0" collapsed="false">
      <c r="A2118" s="1" t="s">
        <v>3649</v>
      </c>
      <c r="B2118" s="1" t="s">
        <v>3650</v>
      </c>
      <c r="C2118" s="1" t="s">
        <v>703</v>
      </c>
      <c r="D2118" s="1" t="s">
        <v>2915</v>
      </c>
      <c r="E2118" s="1" t="s">
        <v>2793</v>
      </c>
    </row>
    <row r="2119" customFormat="false" ht="16" hidden="false" customHeight="false" outlineLevel="0" collapsed="false">
      <c r="A2119" s="1" t="s">
        <v>3651</v>
      </c>
      <c r="B2119" s="1" t="s">
        <v>3650</v>
      </c>
      <c r="C2119" s="1" t="s">
        <v>703</v>
      </c>
      <c r="D2119" s="1" t="s">
        <v>2929</v>
      </c>
      <c r="E2119" s="1" t="s">
        <v>2793</v>
      </c>
    </row>
    <row r="2120" customFormat="false" ht="16" hidden="false" customHeight="false" outlineLevel="0" collapsed="false">
      <c r="A2120" s="1" t="s">
        <v>3652</v>
      </c>
      <c r="B2120" s="1" t="s">
        <v>3653</v>
      </c>
      <c r="C2120" s="1" t="s">
        <v>703</v>
      </c>
      <c r="D2120" s="1" t="s">
        <v>2929</v>
      </c>
      <c r="E2120" s="1" t="s">
        <v>2793</v>
      </c>
    </row>
    <row r="2121" customFormat="false" ht="16" hidden="false" customHeight="false" outlineLevel="0" collapsed="false">
      <c r="A2121" s="1" t="s">
        <v>3654</v>
      </c>
      <c r="B2121" s="1" t="s">
        <v>3655</v>
      </c>
      <c r="C2121" s="1" t="s">
        <v>703</v>
      </c>
      <c r="D2121" s="1" t="s">
        <v>3002</v>
      </c>
      <c r="E2121" s="1" t="s">
        <v>2793</v>
      </c>
    </row>
    <row r="2122" customFormat="false" ht="16" hidden="false" customHeight="false" outlineLevel="0" collapsed="false">
      <c r="A2122" s="1" t="s">
        <v>3656</v>
      </c>
      <c r="B2122" s="1" t="s">
        <v>3657</v>
      </c>
      <c r="C2122" s="1" t="s">
        <v>703</v>
      </c>
      <c r="D2122" s="1" t="s">
        <v>3002</v>
      </c>
      <c r="E2122" s="1" t="s">
        <v>2793</v>
      </c>
    </row>
    <row r="2123" customFormat="false" ht="16" hidden="false" customHeight="false" outlineLevel="0" collapsed="false">
      <c r="A2123" s="1" t="s">
        <v>3658</v>
      </c>
      <c r="B2123" s="1" t="s">
        <v>3659</v>
      </c>
      <c r="C2123" s="1" t="s">
        <v>703</v>
      </c>
      <c r="D2123" s="1" t="s">
        <v>3002</v>
      </c>
      <c r="E2123" s="1" t="s">
        <v>2793</v>
      </c>
    </row>
    <row r="2124" customFormat="false" ht="16" hidden="false" customHeight="false" outlineLevel="0" collapsed="false">
      <c r="A2124" s="1" t="s">
        <v>3660</v>
      </c>
      <c r="B2124" s="1" t="s">
        <v>3661</v>
      </c>
      <c r="C2124" s="1" t="s">
        <v>703</v>
      </c>
      <c r="D2124" s="1" t="s">
        <v>3002</v>
      </c>
      <c r="E2124" s="1" t="s">
        <v>2793</v>
      </c>
    </row>
    <row r="2125" customFormat="false" ht="16" hidden="false" customHeight="false" outlineLevel="0" collapsed="false">
      <c r="A2125" s="1" t="s">
        <v>3662</v>
      </c>
      <c r="B2125" s="1" t="s">
        <v>3663</v>
      </c>
      <c r="C2125" s="1" t="s">
        <v>703</v>
      </c>
      <c r="D2125" s="1" t="s">
        <v>704</v>
      </c>
      <c r="E2125" s="1" t="s">
        <v>7</v>
      </c>
    </row>
    <row r="2126" customFormat="false" ht="16" hidden="false" customHeight="false" outlineLevel="0" collapsed="false">
      <c r="A2126" s="1" t="s">
        <v>3664</v>
      </c>
      <c r="B2126" s="1" t="s">
        <v>3665</v>
      </c>
      <c r="C2126" s="1" t="s">
        <v>703</v>
      </c>
      <c r="D2126" s="1" t="s">
        <v>2915</v>
      </c>
      <c r="E2126" s="1" t="s">
        <v>7</v>
      </c>
    </row>
    <row r="2127" customFormat="false" ht="16" hidden="false" customHeight="false" outlineLevel="0" collapsed="false">
      <c r="A2127" s="1" t="s">
        <v>3666</v>
      </c>
      <c r="B2127" s="1" t="s">
        <v>3667</v>
      </c>
      <c r="C2127" s="1" t="s">
        <v>703</v>
      </c>
      <c r="D2127" s="1" t="s">
        <v>2915</v>
      </c>
      <c r="E2127" s="1" t="s">
        <v>7</v>
      </c>
    </row>
    <row r="2128" customFormat="false" ht="16" hidden="false" customHeight="false" outlineLevel="0" collapsed="false">
      <c r="A2128" s="1" t="s">
        <v>3668</v>
      </c>
      <c r="B2128" s="1" t="s">
        <v>3669</v>
      </c>
      <c r="C2128" s="1" t="s">
        <v>703</v>
      </c>
      <c r="D2128" s="1" t="s">
        <v>2915</v>
      </c>
      <c r="E2128" s="1" t="s">
        <v>7</v>
      </c>
    </row>
    <row r="2129" customFormat="false" ht="16" hidden="false" customHeight="false" outlineLevel="0" collapsed="false">
      <c r="A2129" s="1" t="s">
        <v>3670</v>
      </c>
      <c r="B2129" s="1" t="s">
        <v>3671</v>
      </c>
      <c r="C2129" s="1" t="s">
        <v>703</v>
      </c>
      <c r="D2129" s="1" t="s">
        <v>2915</v>
      </c>
      <c r="E2129" s="1" t="s">
        <v>7</v>
      </c>
    </row>
    <row r="2130" customFormat="false" ht="16" hidden="false" customHeight="false" outlineLevel="0" collapsed="false">
      <c r="A2130" s="1" t="s">
        <v>3672</v>
      </c>
      <c r="B2130" s="1" t="s">
        <v>3673</v>
      </c>
      <c r="C2130" s="1" t="s">
        <v>703</v>
      </c>
      <c r="D2130" s="1" t="s">
        <v>2915</v>
      </c>
      <c r="E2130" s="1" t="s">
        <v>7</v>
      </c>
    </row>
    <row r="2131" customFormat="false" ht="16" hidden="false" customHeight="false" outlineLevel="0" collapsed="false">
      <c r="A2131" s="1" t="s">
        <v>3674</v>
      </c>
      <c r="B2131" s="1" t="s">
        <v>3675</v>
      </c>
      <c r="C2131" s="1" t="s">
        <v>703</v>
      </c>
      <c r="D2131" s="1" t="s">
        <v>2915</v>
      </c>
      <c r="E2131" s="1" t="s">
        <v>7</v>
      </c>
    </row>
    <row r="2132" customFormat="false" ht="16" hidden="false" customHeight="false" outlineLevel="0" collapsed="false">
      <c r="A2132" s="1" t="s">
        <v>3676</v>
      </c>
      <c r="B2132" s="1" t="s">
        <v>3677</v>
      </c>
      <c r="C2132" s="1" t="s">
        <v>703</v>
      </c>
      <c r="D2132" s="1" t="s">
        <v>2915</v>
      </c>
      <c r="E2132" s="1" t="s">
        <v>7</v>
      </c>
    </row>
    <row r="2133" customFormat="false" ht="16" hidden="false" customHeight="false" outlineLevel="0" collapsed="false">
      <c r="A2133" s="1" t="s">
        <v>3678</v>
      </c>
      <c r="B2133" s="1" t="s">
        <v>3679</v>
      </c>
      <c r="C2133" s="1" t="s">
        <v>703</v>
      </c>
      <c r="D2133" s="1" t="s">
        <v>2915</v>
      </c>
      <c r="E2133" s="1" t="s">
        <v>7</v>
      </c>
    </row>
    <row r="2134" customFormat="false" ht="16" hidden="false" customHeight="false" outlineLevel="0" collapsed="false">
      <c r="A2134" s="1" t="s">
        <v>3680</v>
      </c>
      <c r="B2134" s="1" t="s">
        <v>3681</v>
      </c>
      <c r="C2134" s="1" t="s">
        <v>3682</v>
      </c>
      <c r="D2134" s="1" t="s">
        <v>770</v>
      </c>
      <c r="E2134" s="1" t="s">
        <v>2793</v>
      </c>
    </row>
    <row r="2135" customFormat="false" ht="16" hidden="false" customHeight="false" outlineLevel="0" collapsed="false">
      <c r="A2135" s="1" t="s">
        <v>3683</v>
      </c>
      <c r="B2135" s="1" t="s">
        <v>3684</v>
      </c>
      <c r="C2135" s="1" t="s">
        <v>3682</v>
      </c>
      <c r="D2135" s="1" t="s">
        <v>770</v>
      </c>
      <c r="E2135" s="1" t="s">
        <v>7</v>
      </c>
    </row>
    <row r="2136" customFormat="false" ht="16" hidden="false" customHeight="false" outlineLevel="0" collapsed="false">
      <c r="A2136" s="1" t="s">
        <v>3685</v>
      </c>
      <c r="B2136" s="1" t="s">
        <v>3686</v>
      </c>
      <c r="C2136" s="1" t="s">
        <v>3682</v>
      </c>
      <c r="D2136" s="1" t="s">
        <v>770</v>
      </c>
      <c r="E2136" s="1" t="s">
        <v>7</v>
      </c>
    </row>
    <row r="2137" customFormat="false" ht="16" hidden="false" customHeight="false" outlineLevel="0" collapsed="false">
      <c r="A2137" s="1" t="s">
        <v>3687</v>
      </c>
      <c r="B2137" s="1" t="s">
        <v>787</v>
      </c>
      <c r="C2137" s="1" t="s">
        <v>3688</v>
      </c>
      <c r="D2137" s="1" t="s">
        <v>3689</v>
      </c>
      <c r="E2137" s="1" t="s">
        <v>7</v>
      </c>
    </row>
    <row r="2138" customFormat="false" ht="16" hidden="false" customHeight="false" outlineLevel="0" collapsed="false">
      <c r="A2138" s="1" t="s">
        <v>3690</v>
      </c>
      <c r="B2138" s="1" t="s">
        <v>789</v>
      </c>
      <c r="C2138" s="1" t="s">
        <v>3688</v>
      </c>
      <c r="D2138" s="1" t="s">
        <v>3689</v>
      </c>
      <c r="E2138" s="1" t="s">
        <v>7</v>
      </c>
    </row>
    <row r="2139" customFormat="false" ht="16" hidden="false" customHeight="false" outlineLevel="0" collapsed="false">
      <c r="A2139" s="1" t="s">
        <v>3691</v>
      </c>
      <c r="B2139" s="1" t="s">
        <v>791</v>
      </c>
      <c r="C2139" s="1" t="s">
        <v>3688</v>
      </c>
      <c r="D2139" s="1" t="s">
        <v>3689</v>
      </c>
      <c r="E2139" s="1" t="s">
        <v>7</v>
      </c>
    </row>
    <row r="2140" customFormat="false" ht="16" hidden="false" customHeight="false" outlineLevel="0" collapsed="false">
      <c r="A2140" s="1" t="s">
        <v>3692</v>
      </c>
      <c r="B2140" s="1" t="s">
        <v>793</v>
      </c>
      <c r="C2140" s="1" t="s">
        <v>3688</v>
      </c>
      <c r="D2140" s="1" t="s">
        <v>3689</v>
      </c>
      <c r="E2140" s="1" t="s">
        <v>7</v>
      </c>
    </row>
    <row r="2141" customFormat="false" ht="16" hidden="false" customHeight="false" outlineLevel="0" collapsed="false">
      <c r="A2141" s="1" t="s">
        <v>3693</v>
      </c>
      <c r="B2141" s="1" t="s">
        <v>3694</v>
      </c>
      <c r="C2141" s="1" t="s">
        <v>3688</v>
      </c>
      <c r="D2141" s="1" t="s">
        <v>3689</v>
      </c>
      <c r="E2141" s="1" t="s">
        <v>7</v>
      </c>
    </row>
    <row r="2142" customFormat="false" ht="16" hidden="false" customHeight="false" outlineLevel="0" collapsed="false">
      <c r="A2142" s="1" t="s">
        <v>3695</v>
      </c>
      <c r="B2142" s="1" t="s">
        <v>3696</v>
      </c>
      <c r="C2142" s="1" t="s">
        <v>3688</v>
      </c>
      <c r="D2142" s="1" t="s">
        <v>3689</v>
      </c>
      <c r="E2142" s="1" t="s">
        <v>7</v>
      </c>
    </row>
    <row r="2143" customFormat="false" ht="16" hidden="false" customHeight="false" outlineLevel="0" collapsed="false">
      <c r="A2143" s="1" t="s">
        <v>3697</v>
      </c>
      <c r="B2143" s="1" t="s">
        <v>3698</v>
      </c>
      <c r="C2143" s="1" t="s">
        <v>3688</v>
      </c>
      <c r="D2143" s="1" t="s">
        <v>3689</v>
      </c>
      <c r="E2143" s="1" t="s">
        <v>7</v>
      </c>
    </row>
    <row r="2144" customFormat="false" ht="16" hidden="false" customHeight="false" outlineLevel="0" collapsed="false">
      <c r="A2144" s="1" t="s">
        <v>3699</v>
      </c>
      <c r="B2144" s="1" t="s">
        <v>3700</v>
      </c>
      <c r="C2144" s="1" t="s">
        <v>3688</v>
      </c>
      <c r="D2144" s="1" t="s">
        <v>3689</v>
      </c>
      <c r="E2144" s="1" t="s">
        <v>7</v>
      </c>
    </row>
    <row r="2145" customFormat="false" ht="16" hidden="false" customHeight="false" outlineLevel="0" collapsed="false">
      <c r="A2145" s="1" t="s">
        <v>3701</v>
      </c>
      <c r="B2145" s="1" t="s">
        <v>851</v>
      </c>
      <c r="C2145" s="1" t="s">
        <v>3688</v>
      </c>
      <c r="D2145" s="1" t="s">
        <v>3689</v>
      </c>
      <c r="E2145" s="1" t="s">
        <v>7</v>
      </c>
    </row>
    <row r="2146" customFormat="false" ht="16" hidden="false" customHeight="false" outlineLevel="0" collapsed="false">
      <c r="A2146" s="1" t="s">
        <v>3702</v>
      </c>
      <c r="B2146" s="1" t="s">
        <v>859</v>
      </c>
      <c r="C2146" s="1" t="s">
        <v>3688</v>
      </c>
      <c r="D2146" s="1" t="s">
        <v>3689</v>
      </c>
      <c r="E2146" s="1" t="s">
        <v>7</v>
      </c>
    </row>
    <row r="2147" customFormat="false" ht="16" hidden="false" customHeight="false" outlineLevel="0" collapsed="false">
      <c r="A2147" s="1" t="s">
        <v>3703</v>
      </c>
      <c r="B2147" s="1" t="s">
        <v>3704</v>
      </c>
      <c r="C2147" s="1" t="s">
        <v>3688</v>
      </c>
      <c r="D2147" s="1" t="s">
        <v>3689</v>
      </c>
      <c r="E2147" s="1" t="s">
        <v>7</v>
      </c>
    </row>
    <row r="2148" customFormat="false" ht="16" hidden="false" customHeight="false" outlineLevel="0" collapsed="false">
      <c r="A2148" s="1" t="s">
        <v>3705</v>
      </c>
      <c r="B2148" s="1" t="s">
        <v>3706</v>
      </c>
      <c r="C2148" s="1" t="s">
        <v>3688</v>
      </c>
      <c r="D2148" s="1" t="s">
        <v>3689</v>
      </c>
      <c r="E2148" s="1" t="s">
        <v>7</v>
      </c>
    </row>
    <row r="2149" customFormat="false" ht="16" hidden="false" customHeight="false" outlineLevel="0" collapsed="false">
      <c r="A2149" s="1" t="s">
        <v>3707</v>
      </c>
      <c r="B2149" s="1" t="s">
        <v>3708</v>
      </c>
      <c r="C2149" s="1" t="s">
        <v>3688</v>
      </c>
      <c r="D2149" s="1" t="s">
        <v>3689</v>
      </c>
      <c r="E2149" s="1" t="s">
        <v>7</v>
      </c>
    </row>
    <row r="2150" customFormat="false" ht="16" hidden="false" customHeight="false" outlineLevel="0" collapsed="false">
      <c r="A2150" s="1" t="s">
        <v>3709</v>
      </c>
      <c r="B2150" s="1" t="s">
        <v>885</v>
      </c>
      <c r="C2150" s="1" t="s">
        <v>3688</v>
      </c>
      <c r="D2150" s="1" t="s">
        <v>3689</v>
      </c>
      <c r="E2150" s="1" t="s">
        <v>7</v>
      </c>
    </row>
    <row r="2151" customFormat="false" ht="16" hidden="false" customHeight="false" outlineLevel="0" collapsed="false">
      <c r="A2151" s="1" t="s">
        <v>3710</v>
      </c>
      <c r="B2151" s="1" t="s">
        <v>3711</v>
      </c>
      <c r="C2151" s="1" t="s">
        <v>3688</v>
      </c>
      <c r="D2151" s="1" t="s">
        <v>3689</v>
      </c>
      <c r="E2151" s="1" t="s">
        <v>7</v>
      </c>
    </row>
    <row r="2152" customFormat="false" ht="16" hidden="false" customHeight="false" outlineLevel="0" collapsed="false">
      <c r="A2152" s="1" t="s">
        <v>3712</v>
      </c>
      <c r="B2152" s="1" t="s">
        <v>3713</v>
      </c>
      <c r="C2152" s="1" t="s">
        <v>3688</v>
      </c>
      <c r="D2152" s="1" t="s">
        <v>3689</v>
      </c>
      <c r="E2152" s="1" t="s">
        <v>7</v>
      </c>
    </row>
    <row r="2153" customFormat="false" ht="16" hidden="false" customHeight="false" outlineLevel="0" collapsed="false">
      <c r="A2153" s="1" t="s">
        <v>3714</v>
      </c>
      <c r="B2153" s="1" t="s">
        <v>918</v>
      </c>
      <c r="C2153" s="1" t="s">
        <v>3688</v>
      </c>
      <c r="D2153" s="1" t="s">
        <v>3689</v>
      </c>
      <c r="E2153" s="1" t="s">
        <v>7</v>
      </c>
    </row>
    <row r="2154" customFormat="false" ht="16" hidden="false" customHeight="false" outlineLevel="0" collapsed="false">
      <c r="A2154" s="1" t="s">
        <v>3715</v>
      </c>
      <c r="B2154" s="1" t="s">
        <v>3716</v>
      </c>
      <c r="C2154" s="1" t="s">
        <v>3688</v>
      </c>
      <c r="D2154" s="1" t="s">
        <v>3689</v>
      </c>
      <c r="E2154" s="1" t="s">
        <v>7</v>
      </c>
    </row>
    <row r="2155" customFormat="false" ht="16" hidden="false" customHeight="false" outlineLevel="0" collapsed="false">
      <c r="A2155" s="1" t="s">
        <v>3717</v>
      </c>
      <c r="B2155" s="1" t="s">
        <v>3718</v>
      </c>
      <c r="C2155" s="1" t="s">
        <v>3688</v>
      </c>
      <c r="D2155" s="1" t="s">
        <v>3689</v>
      </c>
      <c r="E2155" s="1" t="s">
        <v>7</v>
      </c>
    </row>
    <row r="2156" customFormat="false" ht="16" hidden="false" customHeight="false" outlineLevel="0" collapsed="false">
      <c r="A2156" s="1" t="s">
        <v>3719</v>
      </c>
      <c r="B2156" s="1" t="s">
        <v>3720</v>
      </c>
      <c r="C2156" s="1" t="s">
        <v>3688</v>
      </c>
      <c r="D2156" s="1" t="s">
        <v>3689</v>
      </c>
      <c r="E2156" s="1" t="s">
        <v>7</v>
      </c>
    </row>
    <row r="2157" customFormat="false" ht="16" hidden="false" customHeight="false" outlineLevel="0" collapsed="false">
      <c r="A2157" s="1" t="s">
        <v>3721</v>
      </c>
      <c r="B2157" s="1" t="s">
        <v>3722</v>
      </c>
      <c r="C2157" s="1" t="s">
        <v>3688</v>
      </c>
      <c r="D2157" s="1" t="s">
        <v>3689</v>
      </c>
      <c r="E2157" s="1" t="s">
        <v>7</v>
      </c>
    </row>
    <row r="2158" customFormat="false" ht="16" hidden="false" customHeight="false" outlineLevel="0" collapsed="false">
      <c r="A2158" s="1" t="s">
        <v>3723</v>
      </c>
      <c r="B2158" s="1" t="s">
        <v>3724</v>
      </c>
      <c r="C2158" s="1" t="s">
        <v>3688</v>
      </c>
      <c r="D2158" s="1" t="s">
        <v>3689</v>
      </c>
      <c r="E2158" s="1" t="s">
        <v>7</v>
      </c>
    </row>
    <row r="2159" customFormat="false" ht="16" hidden="false" customHeight="false" outlineLevel="0" collapsed="false">
      <c r="A2159" s="1" t="s">
        <v>3725</v>
      </c>
      <c r="B2159" s="1" t="s">
        <v>926</v>
      </c>
      <c r="C2159" s="1" t="s">
        <v>3688</v>
      </c>
      <c r="D2159" s="1" t="s">
        <v>3689</v>
      </c>
      <c r="E2159" s="1" t="s">
        <v>7</v>
      </c>
    </row>
    <row r="2160" customFormat="false" ht="16" hidden="false" customHeight="false" outlineLevel="0" collapsed="false">
      <c r="A2160" s="1" t="s">
        <v>3726</v>
      </c>
      <c r="B2160" s="1" t="s">
        <v>926</v>
      </c>
      <c r="C2160" s="1" t="s">
        <v>3688</v>
      </c>
      <c r="D2160" s="1" t="s">
        <v>3727</v>
      </c>
      <c r="E2160" s="1" t="s">
        <v>7</v>
      </c>
    </row>
    <row r="2161" customFormat="false" ht="16" hidden="false" customHeight="false" outlineLevel="0" collapsed="false">
      <c r="A2161" s="1" t="s">
        <v>3728</v>
      </c>
      <c r="B2161" s="1" t="s">
        <v>926</v>
      </c>
      <c r="C2161" s="1" t="s">
        <v>3688</v>
      </c>
      <c r="D2161" s="1" t="s">
        <v>3729</v>
      </c>
      <c r="E2161" s="1" t="s">
        <v>7</v>
      </c>
    </row>
    <row r="2162" customFormat="false" ht="16" hidden="false" customHeight="false" outlineLevel="0" collapsed="false">
      <c r="A2162" s="1" t="s">
        <v>3730</v>
      </c>
      <c r="B2162" s="1" t="s">
        <v>926</v>
      </c>
      <c r="C2162" s="1" t="s">
        <v>3688</v>
      </c>
      <c r="D2162" s="1" t="s">
        <v>770</v>
      </c>
      <c r="E2162" s="1" t="s">
        <v>7</v>
      </c>
    </row>
    <row r="2163" customFormat="false" ht="16" hidden="false" customHeight="false" outlineLevel="0" collapsed="false">
      <c r="A2163" s="1" t="s">
        <v>3731</v>
      </c>
      <c r="B2163" s="1" t="s">
        <v>3732</v>
      </c>
      <c r="C2163" s="1" t="s">
        <v>3688</v>
      </c>
      <c r="D2163" s="1" t="s">
        <v>3689</v>
      </c>
      <c r="E2163" s="1" t="s">
        <v>7</v>
      </c>
    </row>
    <row r="2164" customFormat="false" ht="16" hidden="false" customHeight="false" outlineLevel="0" collapsed="false">
      <c r="A2164" s="1" t="s">
        <v>3733</v>
      </c>
      <c r="B2164" s="1" t="s">
        <v>3734</v>
      </c>
      <c r="C2164" s="1" t="s">
        <v>3688</v>
      </c>
      <c r="D2164" s="1" t="s">
        <v>3689</v>
      </c>
      <c r="E2164" s="1" t="s">
        <v>7</v>
      </c>
    </row>
    <row r="2165" customFormat="false" ht="16" hidden="false" customHeight="false" outlineLevel="0" collapsed="false">
      <c r="A2165" s="1" t="s">
        <v>3735</v>
      </c>
      <c r="B2165" s="1" t="s">
        <v>3736</v>
      </c>
      <c r="C2165" s="1" t="s">
        <v>3688</v>
      </c>
      <c r="D2165" s="1" t="s">
        <v>3689</v>
      </c>
      <c r="E2165" s="1" t="s">
        <v>7</v>
      </c>
    </row>
    <row r="2166" customFormat="false" ht="16" hidden="false" customHeight="false" outlineLevel="0" collapsed="false">
      <c r="A2166" s="1" t="s">
        <v>3737</v>
      </c>
      <c r="B2166" s="1" t="s">
        <v>3738</v>
      </c>
      <c r="C2166" s="1" t="s">
        <v>3688</v>
      </c>
      <c r="D2166" s="1" t="s">
        <v>3689</v>
      </c>
      <c r="E2166" s="1" t="s">
        <v>7</v>
      </c>
    </row>
    <row r="2167" customFormat="false" ht="16" hidden="false" customHeight="false" outlineLevel="0" collapsed="false">
      <c r="A2167" s="1" t="s">
        <v>3739</v>
      </c>
      <c r="B2167" s="1" t="s">
        <v>3740</v>
      </c>
      <c r="C2167" s="1" t="s">
        <v>3688</v>
      </c>
      <c r="D2167" s="1" t="s">
        <v>3689</v>
      </c>
      <c r="E2167" s="1" t="s">
        <v>7</v>
      </c>
    </row>
    <row r="2168" customFormat="false" ht="16" hidden="false" customHeight="false" outlineLevel="0" collapsed="false">
      <c r="A2168" s="1" t="s">
        <v>3741</v>
      </c>
      <c r="B2168" s="1" t="s">
        <v>113</v>
      </c>
      <c r="C2168" s="1" t="s">
        <v>3688</v>
      </c>
      <c r="D2168" s="1" t="s">
        <v>3689</v>
      </c>
      <c r="E2168" s="1" t="s">
        <v>7</v>
      </c>
    </row>
    <row r="2169" customFormat="false" ht="16" hidden="false" customHeight="false" outlineLevel="0" collapsed="false">
      <c r="A2169" s="1" t="s">
        <v>3742</v>
      </c>
      <c r="B2169" s="1" t="s">
        <v>113</v>
      </c>
      <c r="C2169" s="1" t="s">
        <v>3688</v>
      </c>
      <c r="D2169" s="1" t="s">
        <v>3727</v>
      </c>
      <c r="E2169" s="1" t="s">
        <v>7</v>
      </c>
    </row>
    <row r="2170" customFormat="false" ht="16" hidden="false" customHeight="false" outlineLevel="0" collapsed="false">
      <c r="A2170" s="1" t="s">
        <v>3743</v>
      </c>
      <c r="B2170" s="1" t="s">
        <v>113</v>
      </c>
      <c r="C2170" s="1" t="s">
        <v>3688</v>
      </c>
      <c r="D2170" s="1" t="s">
        <v>3729</v>
      </c>
      <c r="E2170" s="1" t="s">
        <v>7</v>
      </c>
    </row>
    <row r="2171" customFormat="false" ht="16" hidden="false" customHeight="false" outlineLevel="0" collapsed="false">
      <c r="A2171" s="1" t="s">
        <v>3744</v>
      </c>
      <c r="B2171" s="1" t="s">
        <v>113</v>
      </c>
      <c r="C2171" s="1" t="s">
        <v>3688</v>
      </c>
      <c r="D2171" s="1" t="s">
        <v>770</v>
      </c>
      <c r="E2171" s="1" t="s">
        <v>7</v>
      </c>
    </row>
    <row r="2172" customFormat="false" ht="16" hidden="false" customHeight="false" outlineLevel="0" collapsed="false">
      <c r="A2172" s="1" t="s">
        <v>3745</v>
      </c>
      <c r="B2172" s="1" t="s">
        <v>37</v>
      </c>
      <c r="C2172" s="1" t="s">
        <v>3688</v>
      </c>
      <c r="D2172" s="1" t="s">
        <v>3689</v>
      </c>
      <c r="E2172" s="1" t="s">
        <v>7</v>
      </c>
    </row>
    <row r="2173" customFormat="false" ht="16" hidden="false" customHeight="false" outlineLevel="0" collapsed="false">
      <c r="A2173" s="1" t="s">
        <v>3746</v>
      </c>
      <c r="B2173" s="1" t="s">
        <v>37</v>
      </c>
      <c r="C2173" s="1" t="s">
        <v>3688</v>
      </c>
      <c r="D2173" s="1" t="s">
        <v>3727</v>
      </c>
      <c r="E2173" s="1" t="s">
        <v>7</v>
      </c>
    </row>
    <row r="2174" customFormat="false" ht="16" hidden="false" customHeight="false" outlineLevel="0" collapsed="false">
      <c r="A2174" s="1" t="s">
        <v>3747</v>
      </c>
      <c r="B2174" s="1" t="s">
        <v>37</v>
      </c>
      <c r="C2174" s="1" t="s">
        <v>3688</v>
      </c>
      <c r="D2174" s="1" t="s">
        <v>3729</v>
      </c>
      <c r="E2174" s="1" t="s">
        <v>7</v>
      </c>
    </row>
    <row r="2175" customFormat="false" ht="16" hidden="false" customHeight="false" outlineLevel="0" collapsed="false">
      <c r="A2175" s="1" t="s">
        <v>3748</v>
      </c>
      <c r="B2175" s="1" t="s">
        <v>37</v>
      </c>
      <c r="C2175" s="1" t="s">
        <v>3688</v>
      </c>
      <c r="D2175" s="1" t="s">
        <v>770</v>
      </c>
      <c r="E2175" s="1" t="s">
        <v>7</v>
      </c>
    </row>
    <row r="2176" customFormat="false" ht="16" hidden="false" customHeight="false" outlineLevel="0" collapsed="false">
      <c r="A2176" s="1" t="s">
        <v>3749</v>
      </c>
      <c r="B2176" s="1" t="s">
        <v>3750</v>
      </c>
      <c r="C2176" s="1" t="s">
        <v>3688</v>
      </c>
      <c r="D2176" s="1" t="s">
        <v>3689</v>
      </c>
      <c r="E2176" s="1" t="s">
        <v>7</v>
      </c>
    </row>
    <row r="2177" customFormat="false" ht="16" hidden="false" customHeight="false" outlineLevel="0" collapsed="false">
      <c r="A2177" s="1" t="s">
        <v>3751</v>
      </c>
      <c r="B2177" s="1" t="s">
        <v>1000</v>
      </c>
      <c r="C2177" s="1" t="s">
        <v>3688</v>
      </c>
      <c r="D2177" s="1" t="s">
        <v>3689</v>
      </c>
      <c r="E2177" s="1" t="s">
        <v>7</v>
      </c>
    </row>
    <row r="2178" customFormat="false" ht="16" hidden="false" customHeight="false" outlineLevel="0" collapsed="false">
      <c r="A2178" s="1" t="s">
        <v>3752</v>
      </c>
      <c r="B2178" s="1" t="s">
        <v>3753</v>
      </c>
      <c r="C2178" s="1" t="s">
        <v>3688</v>
      </c>
      <c r="D2178" s="1" t="s">
        <v>3689</v>
      </c>
      <c r="E2178" s="1" t="s">
        <v>7</v>
      </c>
    </row>
    <row r="2179" customFormat="false" ht="16" hidden="false" customHeight="false" outlineLevel="0" collapsed="false">
      <c r="A2179" s="1" t="s">
        <v>3754</v>
      </c>
      <c r="B2179" s="1" t="s">
        <v>3755</v>
      </c>
      <c r="C2179" s="1" t="s">
        <v>3688</v>
      </c>
      <c r="D2179" s="1" t="s">
        <v>3689</v>
      </c>
      <c r="E2179" s="1" t="s">
        <v>7</v>
      </c>
    </row>
    <row r="2180" customFormat="false" ht="16" hidden="false" customHeight="false" outlineLevel="0" collapsed="false">
      <c r="A2180" s="1" t="s">
        <v>3756</v>
      </c>
      <c r="B2180" s="1" t="s">
        <v>3757</v>
      </c>
      <c r="C2180" s="1" t="s">
        <v>3688</v>
      </c>
      <c r="D2180" s="1" t="s">
        <v>3689</v>
      </c>
      <c r="E2180" s="1" t="s">
        <v>7</v>
      </c>
    </row>
    <row r="2181" customFormat="false" ht="16" hidden="false" customHeight="false" outlineLevel="0" collapsed="false">
      <c r="A2181" s="1" t="s">
        <v>3758</v>
      </c>
      <c r="B2181" s="1" t="s">
        <v>3759</v>
      </c>
      <c r="C2181" s="1" t="s">
        <v>3688</v>
      </c>
      <c r="D2181" s="1" t="s">
        <v>3689</v>
      </c>
      <c r="E2181" s="1" t="s">
        <v>7</v>
      </c>
    </row>
    <row r="2182" customFormat="false" ht="16" hidden="false" customHeight="false" outlineLevel="0" collapsed="false">
      <c r="A2182" s="1" t="s">
        <v>3760</v>
      </c>
      <c r="B2182" s="1" t="s">
        <v>1002</v>
      </c>
      <c r="C2182" s="1" t="s">
        <v>3688</v>
      </c>
      <c r="D2182" s="1" t="s">
        <v>3689</v>
      </c>
      <c r="E2182" s="1" t="s">
        <v>7</v>
      </c>
    </row>
    <row r="2183" customFormat="false" ht="16" hidden="false" customHeight="false" outlineLevel="0" collapsed="false">
      <c r="A2183" s="1" t="s">
        <v>3761</v>
      </c>
      <c r="B2183" s="1" t="s">
        <v>123</v>
      </c>
      <c r="C2183" s="1" t="s">
        <v>3688</v>
      </c>
      <c r="D2183" s="1" t="s">
        <v>3689</v>
      </c>
      <c r="E2183" s="1" t="s">
        <v>7</v>
      </c>
    </row>
    <row r="2184" customFormat="false" ht="16" hidden="false" customHeight="false" outlineLevel="0" collapsed="false">
      <c r="A2184" s="1" t="s">
        <v>3762</v>
      </c>
      <c r="B2184" s="1" t="s">
        <v>123</v>
      </c>
      <c r="C2184" s="1" t="s">
        <v>3688</v>
      </c>
      <c r="D2184" s="1" t="s">
        <v>3727</v>
      </c>
      <c r="E2184" s="1" t="s">
        <v>7</v>
      </c>
    </row>
    <row r="2185" customFormat="false" ht="16" hidden="false" customHeight="false" outlineLevel="0" collapsed="false">
      <c r="A2185" s="1" t="s">
        <v>3763</v>
      </c>
      <c r="B2185" s="1" t="s">
        <v>123</v>
      </c>
      <c r="C2185" s="1" t="s">
        <v>3688</v>
      </c>
      <c r="D2185" s="1" t="s">
        <v>3729</v>
      </c>
      <c r="E2185" s="1" t="s">
        <v>7</v>
      </c>
    </row>
    <row r="2186" customFormat="false" ht="16" hidden="false" customHeight="false" outlineLevel="0" collapsed="false">
      <c r="A2186" s="1" t="s">
        <v>3764</v>
      </c>
      <c r="B2186" s="1" t="s">
        <v>123</v>
      </c>
      <c r="C2186" s="1" t="s">
        <v>3688</v>
      </c>
      <c r="D2186" s="1" t="s">
        <v>770</v>
      </c>
      <c r="E2186" s="1" t="s">
        <v>7</v>
      </c>
    </row>
    <row r="2187" customFormat="false" ht="16" hidden="false" customHeight="false" outlineLevel="0" collapsed="false">
      <c r="A2187" s="1" t="s">
        <v>3765</v>
      </c>
      <c r="B2187" s="1" t="s">
        <v>3766</v>
      </c>
      <c r="C2187" s="1" t="s">
        <v>3688</v>
      </c>
      <c r="D2187" s="1" t="s">
        <v>3689</v>
      </c>
      <c r="E2187" s="1" t="s">
        <v>7</v>
      </c>
    </row>
    <row r="2188" customFormat="false" ht="16" hidden="false" customHeight="false" outlineLevel="0" collapsed="false">
      <c r="A2188" s="1" t="s">
        <v>3767</v>
      </c>
      <c r="B2188" s="1" t="s">
        <v>3768</v>
      </c>
      <c r="C2188" s="1" t="s">
        <v>3688</v>
      </c>
      <c r="D2188" s="1" t="s">
        <v>3689</v>
      </c>
      <c r="E2188" s="1" t="s">
        <v>7</v>
      </c>
    </row>
    <row r="2189" customFormat="false" ht="16" hidden="false" customHeight="false" outlineLevel="0" collapsed="false">
      <c r="A2189" s="1" t="s">
        <v>3769</v>
      </c>
      <c r="B2189" s="1" t="s">
        <v>3770</v>
      </c>
      <c r="C2189" s="1" t="s">
        <v>3688</v>
      </c>
      <c r="D2189" s="1" t="s">
        <v>3689</v>
      </c>
      <c r="E2189" s="1" t="s">
        <v>7</v>
      </c>
    </row>
    <row r="2190" customFormat="false" ht="16" hidden="false" customHeight="false" outlineLevel="0" collapsed="false">
      <c r="A2190" s="1" t="s">
        <v>3771</v>
      </c>
      <c r="B2190" s="1" t="s">
        <v>3772</v>
      </c>
      <c r="C2190" s="1" t="s">
        <v>3688</v>
      </c>
      <c r="D2190" s="1" t="s">
        <v>3689</v>
      </c>
      <c r="E2190" s="1" t="s">
        <v>7</v>
      </c>
    </row>
    <row r="2191" customFormat="false" ht="16" hidden="false" customHeight="false" outlineLevel="0" collapsed="false">
      <c r="A2191" s="1" t="s">
        <v>3773</v>
      </c>
      <c r="B2191" s="1" t="s">
        <v>3774</v>
      </c>
      <c r="C2191" s="1" t="s">
        <v>3688</v>
      </c>
      <c r="D2191" s="1" t="s">
        <v>3689</v>
      </c>
      <c r="E2191" s="1" t="s">
        <v>7</v>
      </c>
    </row>
    <row r="2192" customFormat="false" ht="16" hidden="false" customHeight="false" outlineLevel="0" collapsed="false">
      <c r="A2192" s="1" t="s">
        <v>3775</v>
      </c>
      <c r="B2192" s="1" t="s">
        <v>3776</v>
      </c>
      <c r="C2192" s="1" t="s">
        <v>3688</v>
      </c>
      <c r="D2192" s="1" t="s">
        <v>3689</v>
      </c>
      <c r="E2192" s="1" t="s">
        <v>7</v>
      </c>
    </row>
    <row r="2193" customFormat="false" ht="16" hidden="false" customHeight="false" outlineLevel="0" collapsed="false">
      <c r="A2193" s="1" t="s">
        <v>3777</v>
      </c>
      <c r="B2193" s="1" t="s">
        <v>3778</v>
      </c>
      <c r="C2193" s="1" t="s">
        <v>3688</v>
      </c>
      <c r="D2193" s="1" t="s">
        <v>3689</v>
      </c>
      <c r="E2193" s="1" t="s">
        <v>7</v>
      </c>
    </row>
    <row r="2194" customFormat="false" ht="16" hidden="false" customHeight="false" outlineLevel="0" collapsed="false">
      <c r="A2194" s="1" t="s">
        <v>3779</v>
      </c>
      <c r="B2194" s="1" t="s">
        <v>1015</v>
      </c>
      <c r="C2194" s="1" t="s">
        <v>3688</v>
      </c>
      <c r="D2194" s="1" t="s">
        <v>3689</v>
      </c>
      <c r="E2194" s="1" t="s">
        <v>7</v>
      </c>
    </row>
    <row r="2195" customFormat="false" ht="16" hidden="false" customHeight="false" outlineLevel="0" collapsed="false">
      <c r="A2195" s="1" t="s">
        <v>3780</v>
      </c>
      <c r="B2195" s="1" t="s">
        <v>3781</v>
      </c>
      <c r="C2195" s="1" t="s">
        <v>3688</v>
      </c>
      <c r="D2195" s="1" t="s">
        <v>3689</v>
      </c>
      <c r="E2195" s="1" t="s">
        <v>7</v>
      </c>
    </row>
    <row r="2196" customFormat="false" ht="16" hidden="false" customHeight="false" outlineLevel="0" collapsed="false">
      <c r="A2196" s="1" t="s">
        <v>3782</v>
      </c>
      <c r="B2196" s="1" t="s">
        <v>3783</v>
      </c>
      <c r="C2196" s="1" t="s">
        <v>3688</v>
      </c>
      <c r="D2196" s="1" t="s">
        <v>3689</v>
      </c>
      <c r="E2196" s="1" t="s">
        <v>7</v>
      </c>
    </row>
    <row r="2197" customFormat="false" ht="16" hidden="false" customHeight="false" outlineLevel="0" collapsed="false">
      <c r="A2197" s="1" t="s">
        <v>3784</v>
      </c>
      <c r="B2197" s="1" t="s">
        <v>3785</v>
      </c>
      <c r="C2197" s="1" t="s">
        <v>3688</v>
      </c>
      <c r="D2197" s="1" t="s">
        <v>3689</v>
      </c>
      <c r="E2197" s="1" t="s">
        <v>7</v>
      </c>
    </row>
    <row r="2198" customFormat="false" ht="16" hidden="false" customHeight="false" outlineLevel="0" collapsed="false">
      <c r="A2198" s="1" t="s">
        <v>3786</v>
      </c>
      <c r="B2198" s="1" t="s">
        <v>3787</v>
      </c>
      <c r="C2198" s="1" t="s">
        <v>3688</v>
      </c>
      <c r="D2198" s="1" t="s">
        <v>3689</v>
      </c>
      <c r="E2198" s="1" t="s">
        <v>7</v>
      </c>
    </row>
    <row r="2199" customFormat="false" ht="16" hidden="false" customHeight="false" outlineLevel="0" collapsed="false">
      <c r="A2199" s="1" t="s">
        <v>3788</v>
      </c>
      <c r="B2199" s="1" t="s">
        <v>3789</v>
      </c>
      <c r="C2199" s="1" t="s">
        <v>3688</v>
      </c>
      <c r="D2199" s="1" t="s">
        <v>3689</v>
      </c>
      <c r="E2199" s="1" t="s">
        <v>7</v>
      </c>
    </row>
    <row r="2200" customFormat="false" ht="16" hidden="false" customHeight="false" outlineLevel="0" collapsed="false">
      <c r="A2200" s="1" t="s">
        <v>3790</v>
      </c>
      <c r="B2200" s="1" t="s">
        <v>67</v>
      </c>
      <c r="C2200" s="1" t="s">
        <v>3688</v>
      </c>
      <c r="D2200" s="1" t="s">
        <v>3689</v>
      </c>
      <c r="E2200" s="1" t="s">
        <v>7</v>
      </c>
    </row>
    <row r="2201" customFormat="false" ht="16" hidden="false" customHeight="false" outlineLevel="0" collapsed="false">
      <c r="A2201" s="1" t="s">
        <v>3791</v>
      </c>
      <c r="B2201" s="1" t="s">
        <v>67</v>
      </c>
      <c r="C2201" s="1" t="s">
        <v>3688</v>
      </c>
      <c r="D2201" s="1" t="s">
        <v>3727</v>
      </c>
      <c r="E2201" s="1" t="s">
        <v>7</v>
      </c>
    </row>
    <row r="2202" customFormat="false" ht="16" hidden="false" customHeight="false" outlineLevel="0" collapsed="false">
      <c r="A2202" s="1" t="s">
        <v>3792</v>
      </c>
      <c r="B2202" s="1" t="s">
        <v>67</v>
      </c>
      <c r="C2202" s="1" t="s">
        <v>3688</v>
      </c>
      <c r="D2202" s="1" t="s">
        <v>3729</v>
      </c>
      <c r="E2202" s="1" t="s">
        <v>7</v>
      </c>
    </row>
    <row r="2203" customFormat="false" ht="16" hidden="false" customHeight="false" outlineLevel="0" collapsed="false">
      <c r="A2203" s="1" t="s">
        <v>3793</v>
      </c>
      <c r="B2203" s="1" t="s">
        <v>67</v>
      </c>
      <c r="C2203" s="1" t="s">
        <v>3688</v>
      </c>
      <c r="D2203" s="1" t="s">
        <v>770</v>
      </c>
      <c r="E2203" s="1" t="s">
        <v>7</v>
      </c>
    </row>
    <row r="2204" customFormat="false" ht="16" hidden="false" customHeight="false" outlineLevel="0" collapsed="false">
      <c r="A2204" s="1" t="s">
        <v>3794</v>
      </c>
      <c r="B2204" s="1" t="s">
        <v>3795</v>
      </c>
      <c r="C2204" s="1" t="s">
        <v>3688</v>
      </c>
      <c r="D2204" s="1" t="s">
        <v>3689</v>
      </c>
      <c r="E2204" s="1" t="s">
        <v>7</v>
      </c>
    </row>
    <row r="2205" customFormat="false" ht="16" hidden="false" customHeight="false" outlineLevel="0" collapsed="false">
      <c r="A2205" s="1" t="s">
        <v>3796</v>
      </c>
      <c r="B2205" s="1" t="s">
        <v>3797</v>
      </c>
      <c r="C2205" s="1" t="s">
        <v>3688</v>
      </c>
      <c r="D2205" s="1" t="s">
        <v>3689</v>
      </c>
      <c r="E2205" s="1" t="s">
        <v>7</v>
      </c>
    </row>
    <row r="2206" customFormat="false" ht="16" hidden="false" customHeight="false" outlineLevel="0" collapsed="false">
      <c r="A2206" s="1" t="s">
        <v>3798</v>
      </c>
      <c r="B2206" s="1" t="s">
        <v>3799</v>
      </c>
      <c r="C2206" s="1" t="s">
        <v>3688</v>
      </c>
      <c r="D2206" s="1" t="s">
        <v>3689</v>
      </c>
      <c r="E2206" s="1" t="s">
        <v>7</v>
      </c>
    </row>
    <row r="2207" customFormat="false" ht="16" hidden="false" customHeight="false" outlineLevel="0" collapsed="false">
      <c r="A2207" s="1" t="s">
        <v>3800</v>
      </c>
      <c r="B2207" s="1" t="s">
        <v>3801</v>
      </c>
      <c r="C2207" s="1" t="s">
        <v>3688</v>
      </c>
      <c r="D2207" s="1" t="s">
        <v>3689</v>
      </c>
      <c r="E2207" s="1" t="s">
        <v>7</v>
      </c>
    </row>
    <row r="2208" customFormat="false" ht="16" hidden="false" customHeight="false" outlineLevel="0" collapsed="false">
      <c r="A2208" s="1" t="s">
        <v>3802</v>
      </c>
      <c r="B2208" s="1" t="s">
        <v>69</v>
      </c>
      <c r="C2208" s="1" t="s">
        <v>3688</v>
      </c>
      <c r="D2208" s="1" t="s">
        <v>3689</v>
      </c>
      <c r="E2208" s="1" t="s">
        <v>7</v>
      </c>
    </row>
    <row r="2209" customFormat="false" ht="16" hidden="false" customHeight="false" outlineLevel="0" collapsed="false">
      <c r="A2209" s="1" t="s">
        <v>3803</v>
      </c>
      <c r="B2209" s="1" t="s">
        <v>69</v>
      </c>
      <c r="C2209" s="1" t="s">
        <v>3688</v>
      </c>
      <c r="D2209" s="1" t="s">
        <v>3727</v>
      </c>
      <c r="E2209" s="1" t="s">
        <v>7</v>
      </c>
    </row>
    <row r="2210" customFormat="false" ht="16" hidden="false" customHeight="false" outlineLevel="0" collapsed="false">
      <c r="A2210" s="1" t="s">
        <v>3804</v>
      </c>
      <c r="B2210" s="1" t="s">
        <v>69</v>
      </c>
      <c r="C2210" s="1" t="s">
        <v>3688</v>
      </c>
      <c r="D2210" s="1" t="s">
        <v>3729</v>
      </c>
      <c r="E2210" s="1" t="s">
        <v>7</v>
      </c>
    </row>
    <row r="2211" customFormat="false" ht="16" hidden="false" customHeight="false" outlineLevel="0" collapsed="false">
      <c r="A2211" s="1" t="s">
        <v>3805</v>
      </c>
      <c r="B2211" s="1" t="s">
        <v>69</v>
      </c>
      <c r="C2211" s="1" t="s">
        <v>3688</v>
      </c>
      <c r="D2211" s="1" t="s">
        <v>770</v>
      </c>
      <c r="E2211" s="1" t="s">
        <v>7</v>
      </c>
    </row>
    <row r="2212" customFormat="false" ht="16" hidden="false" customHeight="false" outlineLevel="0" collapsed="false">
      <c r="A2212" s="1" t="s">
        <v>3806</v>
      </c>
      <c r="B2212" s="1" t="s">
        <v>3807</v>
      </c>
      <c r="C2212" s="1" t="s">
        <v>3688</v>
      </c>
      <c r="D2212" s="1" t="s">
        <v>3689</v>
      </c>
      <c r="E2212" s="1" t="s">
        <v>7</v>
      </c>
    </row>
    <row r="2213" customFormat="false" ht="16" hidden="false" customHeight="false" outlineLevel="0" collapsed="false">
      <c r="A2213" s="1" t="s">
        <v>3808</v>
      </c>
      <c r="B2213" s="1" t="s">
        <v>3809</v>
      </c>
      <c r="C2213" s="1" t="s">
        <v>3688</v>
      </c>
      <c r="D2213" s="1" t="s">
        <v>3689</v>
      </c>
      <c r="E2213" s="1" t="s">
        <v>7</v>
      </c>
    </row>
    <row r="2214" customFormat="false" ht="16" hidden="false" customHeight="false" outlineLevel="0" collapsed="false">
      <c r="A2214" s="1" t="s">
        <v>3810</v>
      </c>
      <c r="B2214" s="1" t="s">
        <v>87</v>
      </c>
      <c r="C2214" s="1" t="s">
        <v>3688</v>
      </c>
      <c r="D2214" s="1" t="s">
        <v>3689</v>
      </c>
      <c r="E2214" s="1" t="s">
        <v>7</v>
      </c>
    </row>
    <row r="2215" customFormat="false" ht="16" hidden="false" customHeight="false" outlineLevel="0" collapsed="false">
      <c r="A2215" s="1" t="s">
        <v>3811</v>
      </c>
      <c r="B2215" s="1" t="s">
        <v>87</v>
      </c>
      <c r="C2215" s="1" t="s">
        <v>3688</v>
      </c>
      <c r="D2215" s="1" t="s">
        <v>3727</v>
      </c>
      <c r="E2215" s="1" t="s">
        <v>7</v>
      </c>
    </row>
    <row r="2216" customFormat="false" ht="16" hidden="false" customHeight="false" outlineLevel="0" collapsed="false">
      <c r="A2216" s="1" t="s">
        <v>3812</v>
      </c>
      <c r="B2216" s="1" t="s">
        <v>87</v>
      </c>
      <c r="C2216" s="1" t="s">
        <v>3688</v>
      </c>
      <c r="D2216" s="1" t="s">
        <v>3729</v>
      </c>
      <c r="E2216" s="1" t="s">
        <v>7</v>
      </c>
    </row>
    <row r="2217" customFormat="false" ht="16" hidden="false" customHeight="false" outlineLevel="0" collapsed="false">
      <c r="A2217" s="1" t="s">
        <v>3813</v>
      </c>
      <c r="B2217" s="1" t="s">
        <v>87</v>
      </c>
      <c r="C2217" s="1" t="s">
        <v>3688</v>
      </c>
      <c r="D2217" s="1" t="s">
        <v>770</v>
      </c>
      <c r="E2217" s="1" t="s">
        <v>7</v>
      </c>
    </row>
    <row r="2218" customFormat="false" ht="16" hidden="false" customHeight="false" outlineLevel="0" collapsed="false">
      <c r="A2218" s="1" t="s">
        <v>3814</v>
      </c>
      <c r="B2218" s="1" t="s">
        <v>3815</v>
      </c>
      <c r="C2218" s="1" t="s">
        <v>3688</v>
      </c>
      <c r="D2218" s="1" t="s">
        <v>3689</v>
      </c>
      <c r="E2218" s="1" t="s">
        <v>7</v>
      </c>
    </row>
    <row r="2219" customFormat="false" ht="16" hidden="false" customHeight="false" outlineLevel="0" collapsed="false">
      <c r="A2219" s="1" t="s">
        <v>3816</v>
      </c>
      <c r="B2219" s="1" t="s">
        <v>3817</v>
      </c>
      <c r="C2219" s="1" t="s">
        <v>3688</v>
      </c>
      <c r="D2219" s="1" t="s">
        <v>3689</v>
      </c>
      <c r="E2219" s="1" t="s">
        <v>7</v>
      </c>
    </row>
    <row r="2220" customFormat="false" ht="16" hidden="false" customHeight="false" outlineLevel="0" collapsed="false">
      <c r="A2220" s="1" t="s">
        <v>3818</v>
      </c>
      <c r="B2220" s="1" t="s">
        <v>1108</v>
      </c>
      <c r="C2220" s="1" t="s">
        <v>3688</v>
      </c>
      <c r="D2220" s="1" t="s">
        <v>3689</v>
      </c>
      <c r="E2220" s="1" t="s">
        <v>7</v>
      </c>
    </row>
    <row r="2221" customFormat="false" ht="16" hidden="false" customHeight="false" outlineLevel="0" collapsed="false">
      <c r="A2221" s="1" t="s">
        <v>3819</v>
      </c>
      <c r="B2221" s="1" t="s">
        <v>3820</v>
      </c>
      <c r="C2221" s="1" t="s">
        <v>3688</v>
      </c>
      <c r="D2221" s="1" t="s">
        <v>3689</v>
      </c>
      <c r="E2221" s="1" t="s">
        <v>7</v>
      </c>
    </row>
    <row r="2222" customFormat="false" ht="16" hidden="false" customHeight="false" outlineLevel="0" collapsed="false">
      <c r="A2222" s="1" t="s">
        <v>3821</v>
      </c>
      <c r="B2222" s="1" t="s">
        <v>3822</v>
      </c>
      <c r="C2222" s="1" t="s">
        <v>3688</v>
      </c>
      <c r="D2222" s="1" t="s">
        <v>3689</v>
      </c>
      <c r="E2222" s="1" t="s">
        <v>7</v>
      </c>
    </row>
    <row r="2223" customFormat="false" ht="16" hidden="false" customHeight="false" outlineLevel="0" collapsed="false">
      <c r="A2223" s="1" t="s">
        <v>3823</v>
      </c>
      <c r="B2223" s="1" t="s">
        <v>3824</v>
      </c>
      <c r="C2223" s="1" t="s">
        <v>3688</v>
      </c>
      <c r="D2223" s="1" t="s">
        <v>3689</v>
      </c>
      <c r="E2223" s="1" t="s">
        <v>7</v>
      </c>
    </row>
    <row r="2224" customFormat="false" ht="16" hidden="false" customHeight="false" outlineLevel="0" collapsed="false">
      <c r="A2224" s="1" t="s">
        <v>3825</v>
      </c>
      <c r="B2224" s="1" t="s">
        <v>3826</v>
      </c>
      <c r="C2224" s="1" t="s">
        <v>3688</v>
      </c>
      <c r="D2224" s="1" t="s">
        <v>3689</v>
      </c>
      <c r="E2224" s="1" t="s">
        <v>7</v>
      </c>
    </row>
    <row r="2225" customFormat="false" ht="16" hidden="false" customHeight="false" outlineLevel="0" collapsed="false">
      <c r="A2225" s="1" t="s">
        <v>3827</v>
      </c>
      <c r="B2225" s="1" t="s">
        <v>3828</v>
      </c>
      <c r="C2225" s="1" t="s">
        <v>3688</v>
      </c>
      <c r="D2225" s="1" t="s">
        <v>3689</v>
      </c>
      <c r="E2225" s="1" t="s">
        <v>7</v>
      </c>
    </row>
    <row r="2226" customFormat="false" ht="16" hidden="false" customHeight="false" outlineLevel="0" collapsed="false">
      <c r="A2226" s="1" t="s">
        <v>3829</v>
      </c>
      <c r="B2226" s="1" t="s">
        <v>3830</v>
      </c>
      <c r="C2226" s="1" t="s">
        <v>3688</v>
      </c>
      <c r="D2226" s="1" t="s">
        <v>3689</v>
      </c>
      <c r="E2226" s="1" t="s">
        <v>7</v>
      </c>
    </row>
    <row r="2227" customFormat="false" ht="16" hidden="false" customHeight="false" outlineLevel="0" collapsed="false">
      <c r="A2227" s="1" t="s">
        <v>3831</v>
      </c>
      <c r="B2227" s="1" t="s">
        <v>3832</v>
      </c>
      <c r="C2227" s="1" t="s">
        <v>3688</v>
      </c>
      <c r="D2227" s="1" t="s">
        <v>3689</v>
      </c>
      <c r="E2227" s="1" t="s">
        <v>7</v>
      </c>
    </row>
    <row r="2228" customFormat="false" ht="16" hidden="false" customHeight="false" outlineLevel="0" collapsed="false">
      <c r="A2228" s="1" t="s">
        <v>3833</v>
      </c>
      <c r="B2228" s="1" t="s">
        <v>39</v>
      </c>
      <c r="C2228" s="1" t="s">
        <v>3688</v>
      </c>
      <c r="D2228" s="1" t="s">
        <v>3689</v>
      </c>
      <c r="E2228" s="1" t="s">
        <v>7</v>
      </c>
    </row>
    <row r="2229" customFormat="false" ht="16" hidden="false" customHeight="false" outlineLevel="0" collapsed="false">
      <c r="A2229" s="1" t="s">
        <v>3834</v>
      </c>
      <c r="B2229" s="1" t="s">
        <v>39</v>
      </c>
      <c r="C2229" s="1" t="s">
        <v>3688</v>
      </c>
      <c r="D2229" s="1" t="s">
        <v>3727</v>
      </c>
      <c r="E2229" s="1" t="s">
        <v>7</v>
      </c>
    </row>
    <row r="2230" customFormat="false" ht="16" hidden="false" customHeight="false" outlineLevel="0" collapsed="false">
      <c r="A2230" s="1" t="s">
        <v>3835</v>
      </c>
      <c r="B2230" s="1" t="s">
        <v>39</v>
      </c>
      <c r="C2230" s="1" t="s">
        <v>3688</v>
      </c>
      <c r="D2230" s="1" t="s">
        <v>3729</v>
      </c>
      <c r="E2230" s="1" t="s">
        <v>7</v>
      </c>
    </row>
    <row r="2231" customFormat="false" ht="16" hidden="false" customHeight="false" outlineLevel="0" collapsed="false">
      <c r="A2231" s="1" t="s">
        <v>3836</v>
      </c>
      <c r="B2231" s="1" t="s">
        <v>39</v>
      </c>
      <c r="C2231" s="1" t="s">
        <v>3688</v>
      </c>
      <c r="D2231" s="1" t="s">
        <v>770</v>
      </c>
      <c r="E2231" s="1" t="s">
        <v>7</v>
      </c>
    </row>
    <row r="2232" customFormat="false" ht="16" hidden="false" customHeight="false" outlineLevel="0" collapsed="false">
      <c r="A2232" s="1" t="s">
        <v>3837</v>
      </c>
      <c r="B2232" s="1" t="s">
        <v>11</v>
      </c>
      <c r="C2232" s="1" t="s">
        <v>3688</v>
      </c>
      <c r="D2232" s="1" t="s">
        <v>3689</v>
      </c>
      <c r="E2232" s="1" t="s">
        <v>7</v>
      </c>
    </row>
    <row r="2233" customFormat="false" ht="16" hidden="false" customHeight="false" outlineLevel="0" collapsed="false">
      <c r="A2233" s="1" t="s">
        <v>3838</v>
      </c>
      <c r="B2233" s="1" t="s">
        <v>11</v>
      </c>
      <c r="C2233" s="1" t="s">
        <v>3688</v>
      </c>
      <c r="D2233" s="1" t="s">
        <v>3727</v>
      </c>
      <c r="E2233" s="1" t="s">
        <v>7</v>
      </c>
    </row>
    <row r="2234" customFormat="false" ht="16" hidden="false" customHeight="false" outlineLevel="0" collapsed="false">
      <c r="A2234" s="1" t="s">
        <v>3839</v>
      </c>
      <c r="B2234" s="1" t="s">
        <v>11</v>
      </c>
      <c r="C2234" s="1" t="s">
        <v>3688</v>
      </c>
      <c r="D2234" s="1" t="s">
        <v>3729</v>
      </c>
      <c r="E2234" s="1" t="s">
        <v>7</v>
      </c>
    </row>
    <row r="2235" customFormat="false" ht="16" hidden="false" customHeight="false" outlineLevel="0" collapsed="false">
      <c r="A2235" s="1" t="s">
        <v>3840</v>
      </c>
      <c r="B2235" s="1" t="s">
        <v>11</v>
      </c>
      <c r="C2235" s="1" t="s">
        <v>3688</v>
      </c>
      <c r="D2235" s="1" t="s">
        <v>770</v>
      </c>
      <c r="E2235" s="1" t="s">
        <v>7</v>
      </c>
    </row>
    <row r="2236" customFormat="false" ht="16" hidden="false" customHeight="false" outlineLevel="0" collapsed="false">
      <c r="A2236" s="1" t="s">
        <v>3841</v>
      </c>
      <c r="B2236" s="1" t="s">
        <v>3842</v>
      </c>
      <c r="C2236" s="1" t="s">
        <v>3688</v>
      </c>
      <c r="D2236" s="1" t="s">
        <v>3689</v>
      </c>
      <c r="E2236" s="1" t="s">
        <v>7</v>
      </c>
    </row>
    <row r="2237" customFormat="false" ht="16" hidden="false" customHeight="false" outlineLevel="0" collapsed="false">
      <c r="A2237" s="1" t="s">
        <v>3843</v>
      </c>
      <c r="B2237" s="1" t="s">
        <v>3844</v>
      </c>
      <c r="C2237" s="1" t="s">
        <v>3688</v>
      </c>
      <c r="D2237" s="1" t="s">
        <v>3689</v>
      </c>
      <c r="E2237" s="1" t="s">
        <v>7</v>
      </c>
    </row>
    <row r="2238" customFormat="false" ht="16" hidden="false" customHeight="false" outlineLevel="0" collapsed="false">
      <c r="A2238" s="1" t="s">
        <v>3845</v>
      </c>
      <c r="B2238" s="1" t="s">
        <v>1164</v>
      </c>
      <c r="C2238" s="1" t="s">
        <v>3688</v>
      </c>
      <c r="D2238" s="1" t="s">
        <v>3689</v>
      </c>
      <c r="E2238" s="1" t="s">
        <v>7</v>
      </c>
    </row>
    <row r="2239" customFormat="false" ht="16" hidden="false" customHeight="false" outlineLevel="0" collapsed="false">
      <c r="A2239" s="1" t="s">
        <v>3846</v>
      </c>
      <c r="B2239" s="1" t="s">
        <v>3847</v>
      </c>
      <c r="C2239" s="1" t="s">
        <v>3688</v>
      </c>
      <c r="D2239" s="1" t="s">
        <v>3689</v>
      </c>
      <c r="E2239" s="1" t="s">
        <v>7</v>
      </c>
    </row>
    <row r="2240" customFormat="false" ht="16" hidden="false" customHeight="false" outlineLevel="0" collapsed="false">
      <c r="A2240" s="1" t="s">
        <v>3848</v>
      </c>
      <c r="B2240" s="1" t="s">
        <v>3849</v>
      </c>
      <c r="C2240" s="1" t="s">
        <v>3688</v>
      </c>
      <c r="D2240" s="1" t="s">
        <v>3689</v>
      </c>
      <c r="E2240" s="1" t="s">
        <v>7</v>
      </c>
    </row>
    <row r="2241" customFormat="false" ht="16" hidden="false" customHeight="false" outlineLevel="0" collapsed="false">
      <c r="A2241" s="1" t="s">
        <v>3850</v>
      </c>
      <c r="B2241" s="1" t="s">
        <v>3851</v>
      </c>
      <c r="C2241" s="1" t="s">
        <v>3688</v>
      </c>
      <c r="D2241" s="1" t="s">
        <v>3689</v>
      </c>
      <c r="E2241" s="1" t="s">
        <v>7</v>
      </c>
    </row>
    <row r="2242" customFormat="false" ht="16" hidden="false" customHeight="false" outlineLevel="0" collapsed="false">
      <c r="A2242" s="1" t="s">
        <v>3852</v>
      </c>
      <c r="B2242" s="1" t="s">
        <v>9</v>
      </c>
      <c r="C2242" s="1" t="s">
        <v>3688</v>
      </c>
      <c r="D2242" s="1" t="s">
        <v>3689</v>
      </c>
      <c r="E2242" s="1" t="s">
        <v>7</v>
      </c>
    </row>
    <row r="2243" customFormat="false" ht="16" hidden="false" customHeight="false" outlineLevel="0" collapsed="false">
      <c r="A2243" s="1" t="s">
        <v>3853</v>
      </c>
      <c r="B2243" s="1" t="s">
        <v>9</v>
      </c>
      <c r="C2243" s="1" t="s">
        <v>3688</v>
      </c>
      <c r="D2243" s="1" t="s">
        <v>3727</v>
      </c>
      <c r="E2243" s="1" t="s">
        <v>7</v>
      </c>
    </row>
    <row r="2244" customFormat="false" ht="16" hidden="false" customHeight="false" outlineLevel="0" collapsed="false">
      <c r="A2244" s="1" t="s">
        <v>3854</v>
      </c>
      <c r="B2244" s="1" t="s">
        <v>9</v>
      </c>
      <c r="C2244" s="1" t="s">
        <v>3688</v>
      </c>
      <c r="D2244" s="1" t="s">
        <v>3729</v>
      </c>
      <c r="E2244" s="1" t="s">
        <v>7</v>
      </c>
    </row>
    <row r="2245" customFormat="false" ht="16" hidden="false" customHeight="false" outlineLevel="0" collapsed="false">
      <c r="A2245" s="1" t="s">
        <v>3855</v>
      </c>
      <c r="B2245" s="1" t="s">
        <v>9</v>
      </c>
      <c r="C2245" s="1" t="s">
        <v>3688</v>
      </c>
      <c r="D2245" s="1" t="s">
        <v>770</v>
      </c>
      <c r="E2245" s="1" t="s">
        <v>7</v>
      </c>
    </row>
    <row r="2246" customFormat="false" ht="16" hidden="false" customHeight="false" outlineLevel="0" collapsed="false">
      <c r="A2246" s="1" t="s">
        <v>3856</v>
      </c>
      <c r="B2246" s="1" t="s">
        <v>3857</v>
      </c>
      <c r="C2246" s="1" t="s">
        <v>3688</v>
      </c>
      <c r="D2246" s="1" t="s">
        <v>3689</v>
      </c>
      <c r="E2246" s="1" t="s">
        <v>7</v>
      </c>
    </row>
    <row r="2247" customFormat="false" ht="16" hidden="false" customHeight="false" outlineLevel="0" collapsed="false">
      <c r="A2247" s="1" t="s">
        <v>3858</v>
      </c>
      <c r="B2247" s="1" t="s">
        <v>3857</v>
      </c>
      <c r="C2247" s="1" t="s">
        <v>3688</v>
      </c>
      <c r="D2247" s="1" t="s">
        <v>3727</v>
      </c>
      <c r="E2247" s="1" t="s">
        <v>7</v>
      </c>
    </row>
    <row r="2248" customFormat="false" ht="16" hidden="false" customHeight="false" outlineLevel="0" collapsed="false">
      <c r="A2248" s="1" t="s">
        <v>3859</v>
      </c>
      <c r="B2248" s="1" t="s">
        <v>3857</v>
      </c>
      <c r="C2248" s="1" t="s">
        <v>3688</v>
      </c>
      <c r="D2248" s="1" t="s">
        <v>3729</v>
      </c>
      <c r="E2248" s="1" t="s">
        <v>7</v>
      </c>
    </row>
    <row r="2249" customFormat="false" ht="16" hidden="false" customHeight="false" outlineLevel="0" collapsed="false">
      <c r="A2249" s="1" t="s">
        <v>3860</v>
      </c>
      <c r="B2249" s="1" t="s">
        <v>3857</v>
      </c>
      <c r="C2249" s="1" t="s">
        <v>3688</v>
      </c>
      <c r="D2249" s="1" t="s">
        <v>770</v>
      </c>
      <c r="E2249" s="1" t="s">
        <v>7</v>
      </c>
    </row>
    <row r="2250" customFormat="false" ht="16" hidden="false" customHeight="false" outlineLevel="0" collapsed="false">
      <c r="A2250" s="1" t="s">
        <v>3861</v>
      </c>
      <c r="B2250" s="1" t="s">
        <v>3862</v>
      </c>
      <c r="C2250" s="1" t="s">
        <v>3688</v>
      </c>
      <c r="D2250" s="1" t="s">
        <v>3689</v>
      </c>
      <c r="E2250" s="1" t="s">
        <v>7</v>
      </c>
    </row>
    <row r="2251" customFormat="false" ht="16" hidden="false" customHeight="false" outlineLevel="0" collapsed="false">
      <c r="A2251" s="1" t="s">
        <v>3863</v>
      </c>
      <c r="B2251" s="1" t="s">
        <v>3864</v>
      </c>
      <c r="C2251" s="1" t="s">
        <v>3688</v>
      </c>
      <c r="D2251" s="1" t="s">
        <v>3689</v>
      </c>
      <c r="E2251" s="1" t="s">
        <v>7</v>
      </c>
    </row>
    <row r="2252" customFormat="false" ht="16" hidden="false" customHeight="false" outlineLevel="0" collapsed="false">
      <c r="A2252" s="1" t="s">
        <v>3865</v>
      </c>
      <c r="B2252" s="1" t="s">
        <v>3866</v>
      </c>
      <c r="C2252" s="1" t="s">
        <v>3688</v>
      </c>
      <c r="D2252" s="1" t="s">
        <v>3689</v>
      </c>
      <c r="E2252" s="1" t="s">
        <v>7</v>
      </c>
    </row>
    <row r="2253" customFormat="false" ht="16" hidden="false" customHeight="false" outlineLevel="0" collapsed="false">
      <c r="A2253" s="1" t="s">
        <v>3867</v>
      </c>
      <c r="B2253" s="1" t="s">
        <v>1217</v>
      </c>
      <c r="C2253" s="1" t="s">
        <v>3688</v>
      </c>
      <c r="D2253" s="1" t="s">
        <v>3689</v>
      </c>
      <c r="E2253" s="1" t="s">
        <v>7</v>
      </c>
    </row>
    <row r="2254" customFormat="false" ht="16" hidden="false" customHeight="false" outlineLevel="0" collapsed="false">
      <c r="A2254" s="1" t="s">
        <v>3868</v>
      </c>
      <c r="B2254" s="1" t="s">
        <v>3869</v>
      </c>
      <c r="C2254" s="1" t="s">
        <v>3688</v>
      </c>
      <c r="D2254" s="1" t="s">
        <v>3689</v>
      </c>
      <c r="E2254" s="1" t="s">
        <v>7</v>
      </c>
    </row>
    <row r="2255" customFormat="false" ht="16" hidden="false" customHeight="false" outlineLevel="0" collapsed="false">
      <c r="A2255" s="1" t="s">
        <v>3870</v>
      </c>
      <c r="B2255" s="1" t="s">
        <v>3871</v>
      </c>
      <c r="C2255" s="1" t="s">
        <v>3688</v>
      </c>
      <c r="D2255" s="1" t="s">
        <v>3689</v>
      </c>
      <c r="E2255" s="1" t="s">
        <v>7</v>
      </c>
    </row>
    <row r="2256" customFormat="false" ht="16" hidden="false" customHeight="false" outlineLevel="0" collapsed="false">
      <c r="A2256" s="1" t="s">
        <v>3872</v>
      </c>
      <c r="B2256" s="1" t="s">
        <v>3873</v>
      </c>
      <c r="C2256" s="1" t="s">
        <v>3688</v>
      </c>
      <c r="D2256" s="1" t="s">
        <v>3689</v>
      </c>
      <c r="E2256" s="1" t="s">
        <v>7</v>
      </c>
    </row>
    <row r="2257" customFormat="false" ht="16" hidden="false" customHeight="false" outlineLevel="0" collapsed="false">
      <c r="A2257" s="1" t="s">
        <v>3874</v>
      </c>
      <c r="B2257" s="1" t="s">
        <v>3875</v>
      </c>
      <c r="C2257" s="1" t="s">
        <v>3688</v>
      </c>
      <c r="D2257" s="1" t="s">
        <v>3689</v>
      </c>
      <c r="E2257" s="1" t="s">
        <v>7</v>
      </c>
    </row>
    <row r="2258" customFormat="false" ht="16" hidden="false" customHeight="false" outlineLevel="0" collapsed="false">
      <c r="A2258" s="1" t="s">
        <v>3876</v>
      </c>
      <c r="B2258" s="1" t="s">
        <v>3877</v>
      </c>
      <c r="C2258" s="1" t="s">
        <v>3688</v>
      </c>
      <c r="D2258" s="1" t="s">
        <v>3689</v>
      </c>
      <c r="E2258" s="1" t="s">
        <v>7</v>
      </c>
    </row>
    <row r="2259" customFormat="false" ht="16" hidden="false" customHeight="false" outlineLevel="0" collapsed="false">
      <c r="A2259" s="1" t="s">
        <v>3878</v>
      </c>
      <c r="B2259" s="1" t="s">
        <v>3877</v>
      </c>
      <c r="C2259" s="1" t="s">
        <v>3688</v>
      </c>
      <c r="D2259" s="1" t="s">
        <v>3727</v>
      </c>
      <c r="E2259" s="1" t="s">
        <v>7</v>
      </c>
    </row>
    <row r="2260" customFormat="false" ht="16" hidden="false" customHeight="false" outlineLevel="0" collapsed="false">
      <c r="A2260" s="1" t="s">
        <v>3879</v>
      </c>
      <c r="B2260" s="1" t="s">
        <v>3877</v>
      </c>
      <c r="C2260" s="1" t="s">
        <v>3688</v>
      </c>
      <c r="D2260" s="1" t="s">
        <v>3729</v>
      </c>
      <c r="E2260" s="1" t="s">
        <v>7</v>
      </c>
    </row>
    <row r="2261" customFormat="false" ht="16" hidden="false" customHeight="false" outlineLevel="0" collapsed="false">
      <c r="A2261" s="1" t="s">
        <v>3880</v>
      </c>
      <c r="B2261" s="1" t="s">
        <v>3877</v>
      </c>
      <c r="C2261" s="1" t="s">
        <v>3688</v>
      </c>
      <c r="D2261" s="1" t="s">
        <v>770</v>
      </c>
      <c r="E2261" s="1" t="s">
        <v>7</v>
      </c>
    </row>
    <row r="2262" customFormat="false" ht="16" hidden="false" customHeight="false" outlineLevel="0" collapsed="false">
      <c r="A2262" s="1" t="s">
        <v>3881</v>
      </c>
      <c r="B2262" s="1" t="s">
        <v>1249</v>
      </c>
      <c r="C2262" s="1" t="s">
        <v>3688</v>
      </c>
      <c r="D2262" s="1" t="s">
        <v>3689</v>
      </c>
      <c r="E2262" s="1" t="s">
        <v>7</v>
      </c>
    </row>
    <row r="2263" customFormat="false" ht="16" hidden="false" customHeight="false" outlineLevel="0" collapsed="false">
      <c r="A2263" s="1" t="s">
        <v>3882</v>
      </c>
      <c r="B2263" s="1" t="s">
        <v>13</v>
      </c>
      <c r="C2263" s="1" t="s">
        <v>3688</v>
      </c>
      <c r="D2263" s="1" t="s">
        <v>770</v>
      </c>
      <c r="E2263" s="1" t="s">
        <v>7</v>
      </c>
    </row>
    <row r="2264" customFormat="false" ht="16" hidden="false" customHeight="false" outlineLevel="0" collapsed="false">
      <c r="A2264" s="1" t="s">
        <v>3883</v>
      </c>
      <c r="B2264" s="1" t="s">
        <v>3884</v>
      </c>
      <c r="C2264" s="1" t="s">
        <v>3688</v>
      </c>
      <c r="D2264" s="1" t="s">
        <v>3689</v>
      </c>
      <c r="E2264" s="1" t="s">
        <v>7</v>
      </c>
    </row>
    <row r="2265" customFormat="false" ht="16" hidden="false" customHeight="false" outlineLevel="0" collapsed="false">
      <c r="A2265" s="1" t="s">
        <v>3885</v>
      </c>
      <c r="B2265" s="1" t="s">
        <v>3886</v>
      </c>
      <c r="C2265" s="1" t="s">
        <v>3688</v>
      </c>
      <c r="D2265" s="1" t="s">
        <v>3689</v>
      </c>
      <c r="E2265" s="1" t="s">
        <v>7</v>
      </c>
    </row>
    <row r="2266" customFormat="false" ht="16" hidden="false" customHeight="false" outlineLevel="0" collapsed="false">
      <c r="A2266" s="1" t="s">
        <v>3887</v>
      </c>
      <c r="B2266" s="1" t="s">
        <v>3888</v>
      </c>
      <c r="C2266" s="1" t="s">
        <v>3688</v>
      </c>
      <c r="D2266" s="1" t="s">
        <v>3689</v>
      </c>
      <c r="E2266" s="1" t="s">
        <v>7</v>
      </c>
    </row>
    <row r="2267" customFormat="false" ht="16" hidden="false" customHeight="false" outlineLevel="0" collapsed="false">
      <c r="A2267" s="1" t="s">
        <v>3889</v>
      </c>
      <c r="B2267" s="1" t="s">
        <v>3890</v>
      </c>
      <c r="C2267" s="1" t="s">
        <v>3688</v>
      </c>
      <c r="D2267" s="1" t="s">
        <v>3689</v>
      </c>
      <c r="E2267" s="1" t="s">
        <v>7</v>
      </c>
    </row>
    <row r="2268" customFormat="false" ht="16" hidden="false" customHeight="false" outlineLevel="0" collapsed="false">
      <c r="A2268" s="1" t="s">
        <v>3891</v>
      </c>
      <c r="B2268" s="1" t="s">
        <v>3892</v>
      </c>
      <c r="C2268" s="1" t="s">
        <v>3688</v>
      </c>
      <c r="D2268" s="1" t="s">
        <v>3689</v>
      </c>
      <c r="E2268" s="1" t="s">
        <v>7</v>
      </c>
    </row>
    <row r="2269" customFormat="false" ht="16" hidden="false" customHeight="false" outlineLevel="0" collapsed="false">
      <c r="A2269" s="1" t="s">
        <v>3893</v>
      </c>
      <c r="B2269" s="1" t="s">
        <v>1282</v>
      </c>
      <c r="C2269" s="1" t="s">
        <v>3688</v>
      </c>
      <c r="D2269" s="1" t="s">
        <v>3689</v>
      </c>
      <c r="E2269" s="1" t="s">
        <v>7</v>
      </c>
    </row>
    <row r="2270" customFormat="false" ht="16" hidden="false" customHeight="false" outlineLevel="0" collapsed="false">
      <c r="A2270" s="1" t="s">
        <v>3894</v>
      </c>
      <c r="B2270" s="1" t="s">
        <v>3895</v>
      </c>
      <c r="C2270" s="1" t="s">
        <v>3688</v>
      </c>
      <c r="D2270" s="1" t="s">
        <v>3689</v>
      </c>
      <c r="E2270" s="1" t="s">
        <v>7</v>
      </c>
    </row>
    <row r="2271" customFormat="false" ht="16" hidden="false" customHeight="false" outlineLevel="0" collapsed="false">
      <c r="A2271" s="1" t="s">
        <v>3896</v>
      </c>
      <c r="B2271" s="1" t="s">
        <v>3897</v>
      </c>
      <c r="C2271" s="1" t="s">
        <v>3688</v>
      </c>
      <c r="D2271" s="1" t="s">
        <v>3689</v>
      </c>
      <c r="E2271" s="1" t="s">
        <v>7</v>
      </c>
    </row>
    <row r="2272" customFormat="false" ht="16" hidden="false" customHeight="false" outlineLevel="0" collapsed="false">
      <c r="A2272" s="1" t="s">
        <v>3898</v>
      </c>
      <c r="B2272" s="1" t="s">
        <v>3899</v>
      </c>
      <c r="C2272" s="1" t="s">
        <v>3688</v>
      </c>
      <c r="D2272" s="1" t="s">
        <v>3689</v>
      </c>
      <c r="E2272" s="1" t="s">
        <v>7</v>
      </c>
    </row>
    <row r="2273" customFormat="false" ht="16" hidden="false" customHeight="false" outlineLevel="0" collapsed="false">
      <c r="A2273" s="1" t="s">
        <v>3900</v>
      </c>
      <c r="B2273" s="1" t="s">
        <v>3901</v>
      </c>
      <c r="C2273" s="1" t="s">
        <v>3688</v>
      </c>
      <c r="D2273" s="1" t="s">
        <v>3689</v>
      </c>
      <c r="E2273" s="1" t="s">
        <v>7</v>
      </c>
    </row>
    <row r="2274" customFormat="false" ht="16" hidden="false" customHeight="false" outlineLevel="0" collapsed="false">
      <c r="A2274" s="1" t="s">
        <v>3902</v>
      </c>
      <c r="B2274" s="1" t="s">
        <v>3903</v>
      </c>
      <c r="C2274" s="1" t="s">
        <v>3688</v>
      </c>
      <c r="D2274" s="1" t="s">
        <v>3689</v>
      </c>
      <c r="E2274" s="1" t="s">
        <v>7</v>
      </c>
    </row>
    <row r="2275" customFormat="false" ht="16" hidden="false" customHeight="false" outlineLevel="0" collapsed="false">
      <c r="A2275" s="1" t="s">
        <v>3904</v>
      </c>
      <c r="B2275" s="1" t="s">
        <v>43</v>
      </c>
      <c r="C2275" s="1" t="s">
        <v>3688</v>
      </c>
      <c r="D2275" s="1" t="s">
        <v>3689</v>
      </c>
      <c r="E2275" s="1" t="s">
        <v>7</v>
      </c>
    </row>
    <row r="2276" customFormat="false" ht="16" hidden="false" customHeight="false" outlineLevel="0" collapsed="false">
      <c r="A2276" s="1" t="s">
        <v>3905</v>
      </c>
      <c r="B2276" s="1" t="s">
        <v>43</v>
      </c>
      <c r="C2276" s="1" t="s">
        <v>3688</v>
      </c>
      <c r="D2276" s="1" t="s">
        <v>3727</v>
      </c>
      <c r="E2276" s="1" t="s">
        <v>7</v>
      </c>
    </row>
    <row r="2277" customFormat="false" ht="16" hidden="false" customHeight="false" outlineLevel="0" collapsed="false">
      <c r="A2277" s="1" t="s">
        <v>3906</v>
      </c>
      <c r="B2277" s="1" t="s">
        <v>43</v>
      </c>
      <c r="C2277" s="1" t="s">
        <v>3688</v>
      </c>
      <c r="D2277" s="1" t="s">
        <v>3729</v>
      </c>
      <c r="E2277" s="1" t="s">
        <v>7</v>
      </c>
    </row>
    <row r="2278" customFormat="false" ht="16" hidden="false" customHeight="false" outlineLevel="0" collapsed="false">
      <c r="A2278" s="1" t="s">
        <v>3907</v>
      </c>
      <c r="B2278" s="1" t="s">
        <v>43</v>
      </c>
      <c r="C2278" s="1" t="s">
        <v>3688</v>
      </c>
      <c r="D2278" s="1" t="s">
        <v>770</v>
      </c>
      <c r="E2278" s="1" t="s">
        <v>7</v>
      </c>
    </row>
    <row r="2279" customFormat="false" ht="16" hidden="false" customHeight="false" outlineLevel="0" collapsed="false">
      <c r="A2279" s="1" t="s">
        <v>3908</v>
      </c>
      <c r="B2279" s="1" t="s">
        <v>1291</v>
      </c>
      <c r="C2279" s="1" t="s">
        <v>3688</v>
      </c>
      <c r="D2279" s="1" t="s">
        <v>3689</v>
      </c>
      <c r="E2279" s="1" t="s">
        <v>7</v>
      </c>
    </row>
    <row r="2280" customFormat="false" ht="16" hidden="false" customHeight="false" outlineLevel="0" collapsed="false">
      <c r="A2280" s="1" t="s">
        <v>3909</v>
      </c>
      <c r="B2280" s="1" t="s">
        <v>1291</v>
      </c>
      <c r="C2280" s="1" t="s">
        <v>3688</v>
      </c>
      <c r="D2280" s="1" t="s">
        <v>3727</v>
      </c>
      <c r="E2280" s="1" t="s">
        <v>7</v>
      </c>
    </row>
    <row r="2281" customFormat="false" ht="16" hidden="false" customHeight="false" outlineLevel="0" collapsed="false">
      <c r="A2281" s="1" t="s">
        <v>3910</v>
      </c>
      <c r="B2281" s="1" t="s">
        <v>1291</v>
      </c>
      <c r="C2281" s="1" t="s">
        <v>3688</v>
      </c>
      <c r="D2281" s="1" t="s">
        <v>3729</v>
      </c>
      <c r="E2281" s="1" t="s">
        <v>7</v>
      </c>
    </row>
    <row r="2282" customFormat="false" ht="16" hidden="false" customHeight="false" outlineLevel="0" collapsed="false">
      <c r="A2282" s="1" t="s">
        <v>3911</v>
      </c>
      <c r="B2282" s="1" t="s">
        <v>1291</v>
      </c>
      <c r="C2282" s="1" t="s">
        <v>3688</v>
      </c>
      <c r="D2282" s="1" t="s">
        <v>770</v>
      </c>
      <c r="E2282" s="1" t="s">
        <v>7</v>
      </c>
    </row>
    <row r="2283" customFormat="false" ht="16" hidden="false" customHeight="false" outlineLevel="0" collapsed="false">
      <c r="A2283" s="1" t="s">
        <v>3912</v>
      </c>
      <c r="B2283" s="1" t="s">
        <v>3913</v>
      </c>
      <c r="C2283" s="1" t="s">
        <v>3688</v>
      </c>
      <c r="D2283" s="1" t="s">
        <v>3689</v>
      </c>
      <c r="E2283" s="1" t="s">
        <v>7</v>
      </c>
    </row>
    <row r="2284" customFormat="false" ht="16" hidden="false" customHeight="false" outlineLevel="0" collapsed="false">
      <c r="A2284" s="1" t="s">
        <v>3914</v>
      </c>
      <c r="B2284" s="1" t="s">
        <v>1305</v>
      </c>
      <c r="C2284" s="1" t="s">
        <v>3688</v>
      </c>
      <c r="D2284" s="1" t="s">
        <v>3689</v>
      </c>
      <c r="E2284" s="1" t="s">
        <v>7</v>
      </c>
    </row>
    <row r="2285" customFormat="false" ht="16" hidden="false" customHeight="false" outlineLevel="0" collapsed="false">
      <c r="A2285" s="1" t="s">
        <v>3915</v>
      </c>
      <c r="B2285" s="1" t="s">
        <v>3916</v>
      </c>
      <c r="C2285" s="1" t="s">
        <v>3688</v>
      </c>
      <c r="D2285" s="1" t="s">
        <v>3689</v>
      </c>
      <c r="E2285" s="1" t="s">
        <v>7</v>
      </c>
    </row>
    <row r="2286" customFormat="false" ht="16" hidden="false" customHeight="false" outlineLevel="0" collapsed="false">
      <c r="A2286" s="1" t="s">
        <v>3917</v>
      </c>
      <c r="B2286" s="1" t="s">
        <v>3918</v>
      </c>
      <c r="C2286" s="1" t="s">
        <v>3688</v>
      </c>
      <c r="D2286" s="1" t="s">
        <v>3689</v>
      </c>
      <c r="E2286" s="1" t="s">
        <v>7</v>
      </c>
    </row>
    <row r="2287" customFormat="false" ht="16" hidden="false" customHeight="false" outlineLevel="0" collapsed="false">
      <c r="A2287" s="1" t="s">
        <v>3919</v>
      </c>
      <c r="B2287" s="1" t="s">
        <v>3920</v>
      </c>
      <c r="C2287" s="1" t="s">
        <v>3688</v>
      </c>
      <c r="D2287" s="1" t="s">
        <v>3689</v>
      </c>
      <c r="E2287" s="1" t="s">
        <v>7</v>
      </c>
    </row>
    <row r="2288" customFormat="false" ht="16" hidden="false" customHeight="false" outlineLevel="0" collapsed="false">
      <c r="A2288" s="1" t="s">
        <v>3921</v>
      </c>
      <c r="B2288" s="1" t="s">
        <v>3922</v>
      </c>
      <c r="C2288" s="1" t="s">
        <v>3688</v>
      </c>
      <c r="D2288" s="1" t="s">
        <v>3689</v>
      </c>
      <c r="E2288" s="1" t="s">
        <v>7</v>
      </c>
    </row>
    <row r="2289" customFormat="false" ht="16" hidden="false" customHeight="false" outlineLevel="0" collapsed="false">
      <c r="A2289" s="1" t="s">
        <v>3923</v>
      </c>
      <c r="B2289" s="1" t="s">
        <v>3924</v>
      </c>
      <c r="C2289" s="1" t="s">
        <v>3688</v>
      </c>
      <c r="D2289" s="1" t="s">
        <v>3689</v>
      </c>
      <c r="E2289" s="1" t="s">
        <v>7</v>
      </c>
    </row>
    <row r="2290" customFormat="false" ht="16" hidden="false" customHeight="false" outlineLevel="0" collapsed="false">
      <c r="A2290" s="1" t="s">
        <v>3925</v>
      </c>
      <c r="B2290" s="1" t="s">
        <v>1307</v>
      </c>
      <c r="C2290" s="1" t="s">
        <v>3688</v>
      </c>
      <c r="D2290" s="1" t="s">
        <v>3689</v>
      </c>
      <c r="E2290" s="1" t="s">
        <v>7</v>
      </c>
    </row>
    <row r="2291" customFormat="false" ht="16" hidden="false" customHeight="false" outlineLevel="0" collapsed="false">
      <c r="A2291" s="1" t="s">
        <v>3926</v>
      </c>
      <c r="B2291" s="1" t="s">
        <v>3927</v>
      </c>
      <c r="C2291" s="1" t="s">
        <v>3688</v>
      </c>
      <c r="D2291" s="1" t="s">
        <v>3689</v>
      </c>
      <c r="E2291" s="1" t="s">
        <v>7</v>
      </c>
    </row>
    <row r="2292" customFormat="false" ht="16" hidden="false" customHeight="false" outlineLevel="0" collapsed="false">
      <c r="A2292" s="1" t="s">
        <v>3928</v>
      </c>
      <c r="B2292" s="1" t="s">
        <v>41</v>
      </c>
      <c r="C2292" s="1" t="s">
        <v>3688</v>
      </c>
      <c r="D2292" s="1" t="s">
        <v>3689</v>
      </c>
      <c r="E2292" s="1" t="s">
        <v>7</v>
      </c>
    </row>
    <row r="2293" customFormat="false" ht="16" hidden="false" customHeight="false" outlineLevel="0" collapsed="false">
      <c r="A2293" s="1" t="s">
        <v>3929</v>
      </c>
      <c r="B2293" s="1" t="s">
        <v>41</v>
      </c>
      <c r="C2293" s="1" t="s">
        <v>3688</v>
      </c>
      <c r="D2293" s="1" t="s">
        <v>3727</v>
      </c>
      <c r="E2293" s="1" t="s">
        <v>7</v>
      </c>
    </row>
    <row r="2294" customFormat="false" ht="16" hidden="false" customHeight="false" outlineLevel="0" collapsed="false">
      <c r="A2294" s="1" t="s">
        <v>3930</v>
      </c>
      <c r="B2294" s="1" t="s">
        <v>41</v>
      </c>
      <c r="C2294" s="1" t="s">
        <v>3688</v>
      </c>
      <c r="D2294" s="1" t="s">
        <v>3729</v>
      </c>
      <c r="E2294" s="1" t="s">
        <v>7</v>
      </c>
    </row>
    <row r="2295" customFormat="false" ht="16" hidden="false" customHeight="false" outlineLevel="0" collapsed="false">
      <c r="A2295" s="1" t="s">
        <v>3931</v>
      </c>
      <c r="B2295" s="1" t="s">
        <v>41</v>
      </c>
      <c r="C2295" s="1" t="s">
        <v>3688</v>
      </c>
      <c r="D2295" s="1" t="s">
        <v>770</v>
      </c>
      <c r="E2295" s="1" t="s">
        <v>7</v>
      </c>
    </row>
    <row r="2296" customFormat="false" ht="16" hidden="false" customHeight="false" outlineLevel="0" collapsed="false">
      <c r="A2296" s="1" t="s">
        <v>3932</v>
      </c>
      <c r="B2296" s="1" t="s">
        <v>45</v>
      </c>
      <c r="C2296" s="1" t="s">
        <v>3688</v>
      </c>
      <c r="D2296" s="1" t="s">
        <v>3689</v>
      </c>
      <c r="E2296" s="1" t="s">
        <v>7</v>
      </c>
    </row>
    <row r="2297" customFormat="false" ht="16" hidden="false" customHeight="false" outlineLevel="0" collapsed="false">
      <c r="A2297" s="1" t="s">
        <v>3933</v>
      </c>
      <c r="B2297" s="1" t="s">
        <v>45</v>
      </c>
      <c r="C2297" s="1" t="s">
        <v>3688</v>
      </c>
      <c r="D2297" s="1" t="s">
        <v>3727</v>
      </c>
      <c r="E2297" s="1" t="s">
        <v>7</v>
      </c>
    </row>
    <row r="2298" customFormat="false" ht="16" hidden="false" customHeight="false" outlineLevel="0" collapsed="false">
      <c r="A2298" s="1" t="s">
        <v>3934</v>
      </c>
      <c r="B2298" s="1" t="s">
        <v>45</v>
      </c>
      <c r="C2298" s="1" t="s">
        <v>3688</v>
      </c>
      <c r="D2298" s="1" t="s">
        <v>3729</v>
      </c>
      <c r="E2298" s="1" t="s">
        <v>7</v>
      </c>
    </row>
    <row r="2299" customFormat="false" ht="16" hidden="false" customHeight="false" outlineLevel="0" collapsed="false">
      <c r="A2299" s="1" t="s">
        <v>3935</v>
      </c>
      <c r="B2299" s="1" t="s">
        <v>45</v>
      </c>
      <c r="C2299" s="1" t="s">
        <v>3688</v>
      </c>
      <c r="D2299" s="1" t="s">
        <v>770</v>
      </c>
      <c r="E2299" s="1" t="s">
        <v>7</v>
      </c>
    </row>
    <row r="2300" customFormat="false" ht="16" hidden="false" customHeight="false" outlineLevel="0" collapsed="false">
      <c r="A2300" s="1" t="s">
        <v>3936</v>
      </c>
      <c r="B2300" s="1" t="s">
        <v>3937</v>
      </c>
      <c r="C2300" s="1" t="s">
        <v>3688</v>
      </c>
      <c r="D2300" s="1" t="s">
        <v>3689</v>
      </c>
      <c r="E2300" s="1" t="s">
        <v>7</v>
      </c>
    </row>
    <row r="2301" customFormat="false" ht="16" hidden="false" customHeight="false" outlineLevel="0" collapsed="false">
      <c r="A2301" s="1" t="s">
        <v>3938</v>
      </c>
      <c r="B2301" s="1" t="s">
        <v>3939</v>
      </c>
      <c r="C2301" s="1" t="s">
        <v>3688</v>
      </c>
      <c r="D2301" s="1" t="s">
        <v>3689</v>
      </c>
      <c r="E2301" s="1" t="s">
        <v>7</v>
      </c>
    </row>
    <row r="2302" customFormat="false" ht="16" hidden="false" customHeight="false" outlineLevel="0" collapsed="false">
      <c r="A2302" s="1" t="s">
        <v>3940</v>
      </c>
      <c r="B2302" s="1" t="s">
        <v>3941</v>
      </c>
      <c r="C2302" s="1" t="s">
        <v>3688</v>
      </c>
      <c r="D2302" s="1" t="s">
        <v>3689</v>
      </c>
      <c r="E2302" s="1" t="s">
        <v>7</v>
      </c>
    </row>
    <row r="2303" customFormat="false" ht="16" hidden="false" customHeight="false" outlineLevel="0" collapsed="false">
      <c r="A2303" s="1" t="s">
        <v>3942</v>
      </c>
      <c r="B2303" s="1" t="s">
        <v>3943</v>
      </c>
      <c r="C2303" s="1" t="s">
        <v>3688</v>
      </c>
      <c r="D2303" s="1" t="s">
        <v>3689</v>
      </c>
      <c r="E2303" s="1" t="s">
        <v>7</v>
      </c>
    </row>
    <row r="2304" customFormat="false" ht="16" hidden="false" customHeight="false" outlineLevel="0" collapsed="false">
      <c r="A2304" s="1" t="s">
        <v>3944</v>
      </c>
      <c r="B2304" s="1" t="s">
        <v>3945</v>
      </c>
      <c r="C2304" s="1" t="s">
        <v>3688</v>
      </c>
      <c r="D2304" s="1" t="s">
        <v>3689</v>
      </c>
      <c r="E2304" s="1" t="s">
        <v>7</v>
      </c>
    </row>
    <row r="2305" customFormat="false" ht="16" hidden="false" customHeight="false" outlineLevel="0" collapsed="false">
      <c r="A2305" s="1" t="s">
        <v>3946</v>
      </c>
      <c r="B2305" s="1" t="s">
        <v>3947</v>
      </c>
      <c r="C2305" s="1" t="s">
        <v>3688</v>
      </c>
      <c r="D2305" s="1" t="s">
        <v>3689</v>
      </c>
      <c r="E2305" s="1" t="s">
        <v>7</v>
      </c>
    </row>
    <row r="2306" customFormat="false" ht="16" hidden="false" customHeight="false" outlineLevel="0" collapsed="false">
      <c r="A2306" s="1" t="s">
        <v>3948</v>
      </c>
      <c r="B2306" s="1" t="s">
        <v>1383</v>
      </c>
      <c r="C2306" s="1" t="s">
        <v>3688</v>
      </c>
      <c r="D2306" s="1" t="s">
        <v>3689</v>
      </c>
      <c r="E2306" s="1" t="s">
        <v>7</v>
      </c>
    </row>
    <row r="2307" customFormat="false" ht="16" hidden="false" customHeight="false" outlineLevel="0" collapsed="false">
      <c r="A2307" s="1" t="s">
        <v>3949</v>
      </c>
      <c r="B2307" s="1" t="s">
        <v>3950</v>
      </c>
      <c r="C2307" s="1" t="s">
        <v>3688</v>
      </c>
      <c r="D2307" s="1" t="s">
        <v>3689</v>
      </c>
      <c r="E2307" s="1" t="s">
        <v>7</v>
      </c>
    </row>
    <row r="2308" customFormat="false" ht="16" hidden="false" customHeight="false" outlineLevel="0" collapsed="false">
      <c r="A2308" s="1" t="s">
        <v>3951</v>
      </c>
      <c r="B2308" s="1" t="s">
        <v>1385</v>
      </c>
      <c r="C2308" s="1" t="s">
        <v>3688</v>
      </c>
      <c r="D2308" s="1" t="s">
        <v>3689</v>
      </c>
      <c r="E2308" s="1" t="s">
        <v>7</v>
      </c>
    </row>
    <row r="2309" customFormat="false" ht="16" hidden="false" customHeight="false" outlineLevel="0" collapsed="false">
      <c r="A2309" s="1" t="s">
        <v>3952</v>
      </c>
      <c r="B2309" s="1" t="s">
        <v>3953</v>
      </c>
      <c r="C2309" s="1" t="s">
        <v>3688</v>
      </c>
      <c r="D2309" s="1" t="s">
        <v>3689</v>
      </c>
      <c r="E2309" s="1" t="s">
        <v>7</v>
      </c>
    </row>
    <row r="2310" customFormat="false" ht="16" hidden="false" customHeight="false" outlineLevel="0" collapsed="false">
      <c r="A2310" s="1" t="s">
        <v>3954</v>
      </c>
      <c r="B2310" s="1" t="s">
        <v>3955</v>
      </c>
      <c r="C2310" s="1" t="s">
        <v>3688</v>
      </c>
      <c r="D2310" s="1" t="s">
        <v>3689</v>
      </c>
      <c r="E2310" s="1" t="s">
        <v>7</v>
      </c>
    </row>
    <row r="2311" customFormat="false" ht="16" hidden="false" customHeight="false" outlineLevel="0" collapsed="false">
      <c r="A2311" s="1" t="s">
        <v>3956</v>
      </c>
      <c r="B2311" s="1" t="s">
        <v>1387</v>
      </c>
      <c r="C2311" s="1" t="s">
        <v>3688</v>
      </c>
      <c r="D2311" s="1" t="s">
        <v>3689</v>
      </c>
      <c r="E2311" s="1" t="s">
        <v>7</v>
      </c>
    </row>
    <row r="2312" customFormat="false" ht="16" hidden="false" customHeight="false" outlineLevel="0" collapsed="false">
      <c r="A2312" s="1" t="s">
        <v>3957</v>
      </c>
      <c r="B2312" s="1" t="s">
        <v>3958</v>
      </c>
      <c r="C2312" s="1" t="s">
        <v>3688</v>
      </c>
      <c r="D2312" s="1" t="s">
        <v>3689</v>
      </c>
      <c r="E2312" s="1" t="s">
        <v>7</v>
      </c>
    </row>
    <row r="2313" customFormat="false" ht="16" hidden="false" customHeight="false" outlineLevel="0" collapsed="false">
      <c r="A2313" s="1" t="s">
        <v>3959</v>
      </c>
      <c r="B2313" s="1" t="s">
        <v>3960</v>
      </c>
      <c r="C2313" s="1" t="s">
        <v>3688</v>
      </c>
      <c r="D2313" s="1" t="s">
        <v>3689</v>
      </c>
      <c r="E2313" s="1" t="s">
        <v>7</v>
      </c>
    </row>
    <row r="2314" customFormat="false" ht="16" hidden="false" customHeight="false" outlineLevel="0" collapsed="false">
      <c r="A2314" s="1" t="s">
        <v>3961</v>
      </c>
      <c r="B2314" s="1" t="s">
        <v>3962</v>
      </c>
      <c r="C2314" s="1" t="s">
        <v>3688</v>
      </c>
      <c r="D2314" s="1" t="s">
        <v>3689</v>
      </c>
      <c r="E2314" s="1" t="s">
        <v>7</v>
      </c>
    </row>
    <row r="2315" customFormat="false" ht="16" hidden="false" customHeight="false" outlineLevel="0" collapsed="false">
      <c r="A2315" s="1" t="s">
        <v>3963</v>
      </c>
      <c r="B2315" s="1" t="s">
        <v>3964</v>
      </c>
      <c r="C2315" s="1" t="s">
        <v>3688</v>
      </c>
      <c r="D2315" s="1" t="s">
        <v>3689</v>
      </c>
      <c r="E2315" s="1" t="s">
        <v>7</v>
      </c>
    </row>
    <row r="2316" customFormat="false" ht="16" hidden="false" customHeight="false" outlineLevel="0" collapsed="false">
      <c r="A2316" s="1" t="s">
        <v>3965</v>
      </c>
      <c r="B2316" s="1" t="s">
        <v>3966</v>
      </c>
      <c r="C2316" s="1" t="s">
        <v>3688</v>
      </c>
      <c r="D2316" s="1" t="s">
        <v>3689</v>
      </c>
      <c r="E2316" s="1" t="s">
        <v>7</v>
      </c>
    </row>
    <row r="2317" customFormat="false" ht="16" hidden="false" customHeight="false" outlineLevel="0" collapsed="false">
      <c r="A2317" s="1" t="s">
        <v>3967</v>
      </c>
      <c r="B2317" s="1" t="s">
        <v>3968</v>
      </c>
      <c r="C2317" s="1" t="s">
        <v>3688</v>
      </c>
      <c r="D2317" s="1" t="s">
        <v>3689</v>
      </c>
      <c r="E2317" s="1" t="s">
        <v>7</v>
      </c>
    </row>
    <row r="2318" customFormat="false" ht="16" hidden="false" customHeight="false" outlineLevel="0" collapsed="false">
      <c r="A2318" s="1" t="s">
        <v>3969</v>
      </c>
      <c r="B2318" s="1" t="s">
        <v>3970</v>
      </c>
      <c r="C2318" s="1" t="s">
        <v>3688</v>
      </c>
      <c r="D2318" s="1" t="s">
        <v>3689</v>
      </c>
      <c r="E2318" s="1" t="s">
        <v>7</v>
      </c>
    </row>
    <row r="2319" customFormat="false" ht="16" hidden="false" customHeight="false" outlineLevel="0" collapsed="false">
      <c r="A2319" s="1" t="s">
        <v>3971</v>
      </c>
      <c r="B2319" s="1" t="s">
        <v>3972</v>
      </c>
      <c r="C2319" s="1" t="s">
        <v>3688</v>
      </c>
      <c r="D2319" s="1" t="s">
        <v>3689</v>
      </c>
      <c r="E2319" s="1" t="s">
        <v>7</v>
      </c>
    </row>
    <row r="2320" customFormat="false" ht="16" hidden="false" customHeight="false" outlineLevel="0" collapsed="false">
      <c r="A2320" s="1" t="s">
        <v>3973</v>
      </c>
      <c r="B2320" s="1" t="s">
        <v>3974</v>
      </c>
      <c r="C2320" s="1" t="s">
        <v>3688</v>
      </c>
      <c r="D2320" s="1" t="s">
        <v>3689</v>
      </c>
      <c r="E2320" s="1" t="s">
        <v>7</v>
      </c>
    </row>
    <row r="2321" customFormat="false" ht="16" hidden="false" customHeight="false" outlineLevel="0" collapsed="false">
      <c r="A2321" s="1" t="s">
        <v>3975</v>
      </c>
      <c r="B2321" s="1" t="s">
        <v>3976</v>
      </c>
      <c r="C2321" s="1" t="s">
        <v>3688</v>
      </c>
      <c r="D2321" s="1" t="s">
        <v>3689</v>
      </c>
      <c r="E2321" s="1" t="s">
        <v>7</v>
      </c>
    </row>
    <row r="2322" customFormat="false" ht="16" hidden="false" customHeight="false" outlineLevel="0" collapsed="false">
      <c r="A2322" s="1" t="s">
        <v>3977</v>
      </c>
      <c r="B2322" s="1" t="s">
        <v>3978</v>
      </c>
      <c r="C2322" s="1" t="s">
        <v>3688</v>
      </c>
      <c r="D2322" s="1" t="s">
        <v>3689</v>
      </c>
      <c r="E2322" s="1" t="s">
        <v>7</v>
      </c>
    </row>
    <row r="2323" customFormat="false" ht="16" hidden="false" customHeight="false" outlineLevel="0" collapsed="false">
      <c r="A2323" s="1" t="s">
        <v>3979</v>
      </c>
      <c r="B2323" s="1" t="s">
        <v>3980</v>
      </c>
      <c r="C2323" s="1" t="s">
        <v>3688</v>
      </c>
      <c r="D2323" s="1" t="s">
        <v>3689</v>
      </c>
      <c r="E2323" s="1" t="s">
        <v>7</v>
      </c>
    </row>
    <row r="2324" customFormat="false" ht="16" hidden="false" customHeight="false" outlineLevel="0" collapsed="false">
      <c r="A2324" s="1" t="s">
        <v>3981</v>
      </c>
      <c r="B2324" s="1" t="s">
        <v>3982</v>
      </c>
      <c r="C2324" s="1" t="s">
        <v>3688</v>
      </c>
      <c r="D2324" s="1" t="s">
        <v>3689</v>
      </c>
      <c r="E2324" s="1" t="s">
        <v>7</v>
      </c>
    </row>
    <row r="2325" customFormat="false" ht="16" hidden="false" customHeight="false" outlineLevel="0" collapsed="false">
      <c r="A2325" s="1" t="s">
        <v>3983</v>
      </c>
      <c r="B2325" s="1" t="s">
        <v>1397</v>
      </c>
      <c r="C2325" s="1" t="s">
        <v>3688</v>
      </c>
      <c r="D2325" s="1" t="s">
        <v>3689</v>
      </c>
      <c r="E2325" s="1" t="s">
        <v>7</v>
      </c>
    </row>
    <row r="2326" customFormat="false" ht="16" hidden="false" customHeight="false" outlineLevel="0" collapsed="false">
      <c r="A2326" s="1" t="s">
        <v>3984</v>
      </c>
      <c r="B2326" s="1" t="s">
        <v>3985</v>
      </c>
      <c r="C2326" s="1" t="s">
        <v>3688</v>
      </c>
      <c r="D2326" s="1" t="s">
        <v>3689</v>
      </c>
      <c r="E2326" s="1" t="s">
        <v>7</v>
      </c>
    </row>
    <row r="2327" customFormat="false" ht="16" hidden="false" customHeight="false" outlineLevel="0" collapsed="false">
      <c r="A2327" s="1" t="s">
        <v>3986</v>
      </c>
      <c r="B2327" s="1" t="s">
        <v>3987</v>
      </c>
      <c r="C2327" s="1" t="s">
        <v>3688</v>
      </c>
      <c r="D2327" s="1" t="s">
        <v>3689</v>
      </c>
      <c r="E2327" s="1" t="s">
        <v>7</v>
      </c>
    </row>
    <row r="2328" customFormat="false" ht="16" hidden="false" customHeight="false" outlineLevel="0" collapsed="false">
      <c r="A2328" s="1" t="s">
        <v>3988</v>
      </c>
      <c r="B2328" s="1" t="s">
        <v>1401</v>
      </c>
      <c r="C2328" s="1" t="s">
        <v>3688</v>
      </c>
      <c r="D2328" s="1" t="s">
        <v>3689</v>
      </c>
      <c r="E2328" s="1" t="s">
        <v>7</v>
      </c>
    </row>
    <row r="2329" customFormat="false" ht="16" hidden="false" customHeight="false" outlineLevel="0" collapsed="false">
      <c r="A2329" s="1" t="s">
        <v>3989</v>
      </c>
      <c r="B2329" s="1" t="s">
        <v>3990</v>
      </c>
      <c r="C2329" s="1" t="s">
        <v>3688</v>
      </c>
      <c r="D2329" s="1" t="s">
        <v>3689</v>
      </c>
      <c r="E2329" s="1" t="s">
        <v>7</v>
      </c>
    </row>
    <row r="2330" customFormat="false" ht="16" hidden="false" customHeight="false" outlineLevel="0" collapsed="false">
      <c r="A2330" s="1" t="s">
        <v>3991</v>
      </c>
      <c r="B2330" s="1" t="s">
        <v>3992</v>
      </c>
      <c r="C2330" s="1" t="s">
        <v>3688</v>
      </c>
      <c r="D2330" s="1" t="s">
        <v>3689</v>
      </c>
      <c r="E2330" s="1" t="s">
        <v>7</v>
      </c>
    </row>
    <row r="2331" customFormat="false" ht="16" hidden="false" customHeight="false" outlineLevel="0" collapsed="false">
      <c r="A2331" s="1" t="s">
        <v>3993</v>
      </c>
      <c r="B2331" s="1" t="s">
        <v>3994</v>
      </c>
      <c r="C2331" s="1" t="s">
        <v>3688</v>
      </c>
      <c r="D2331" s="1" t="s">
        <v>3689</v>
      </c>
      <c r="E2331" s="1" t="s">
        <v>7</v>
      </c>
    </row>
    <row r="2332" customFormat="false" ht="16" hidden="false" customHeight="false" outlineLevel="0" collapsed="false">
      <c r="A2332" s="1" t="s">
        <v>3995</v>
      </c>
      <c r="B2332" s="1" t="s">
        <v>3996</v>
      </c>
      <c r="C2332" s="1" t="s">
        <v>3688</v>
      </c>
      <c r="D2332" s="1" t="s">
        <v>3689</v>
      </c>
      <c r="E2332" s="1" t="s">
        <v>7</v>
      </c>
    </row>
    <row r="2333" customFormat="false" ht="16" hidden="false" customHeight="false" outlineLevel="0" collapsed="false">
      <c r="A2333" s="1" t="s">
        <v>3997</v>
      </c>
      <c r="B2333" s="1" t="s">
        <v>3998</v>
      </c>
      <c r="C2333" s="1" t="s">
        <v>3688</v>
      </c>
      <c r="D2333" s="1" t="s">
        <v>3689</v>
      </c>
      <c r="E2333" s="1" t="s">
        <v>7</v>
      </c>
    </row>
    <row r="2334" customFormat="false" ht="16" hidden="false" customHeight="false" outlineLevel="0" collapsed="false">
      <c r="A2334" s="1" t="s">
        <v>3999</v>
      </c>
      <c r="B2334" s="1" t="s">
        <v>4000</v>
      </c>
      <c r="C2334" s="1" t="s">
        <v>3688</v>
      </c>
      <c r="D2334" s="1" t="s">
        <v>3689</v>
      </c>
      <c r="E2334" s="1" t="s">
        <v>7</v>
      </c>
    </row>
    <row r="2335" customFormat="false" ht="16" hidden="false" customHeight="false" outlineLevel="0" collapsed="false">
      <c r="A2335" s="1" t="s">
        <v>4001</v>
      </c>
      <c r="B2335" s="1" t="s">
        <v>4002</v>
      </c>
      <c r="C2335" s="1" t="s">
        <v>3688</v>
      </c>
      <c r="D2335" s="1" t="s">
        <v>3689</v>
      </c>
      <c r="E2335" s="1" t="s">
        <v>7</v>
      </c>
    </row>
    <row r="2336" customFormat="false" ht="16" hidden="false" customHeight="false" outlineLevel="0" collapsed="false">
      <c r="A2336" s="1" t="s">
        <v>4003</v>
      </c>
      <c r="B2336" s="1" t="s">
        <v>4004</v>
      </c>
      <c r="C2336" s="1" t="s">
        <v>3688</v>
      </c>
      <c r="D2336" s="1" t="s">
        <v>3689</v>
      </c>
      <c r="E2336" s="1" t="s">
        <v>7</v>
      </c>
    </row>
    <row r="2337" customFormat="false" ht="16" hidden="false" customHeight="false" outlineLevel="0" collapsed="false">
      <c r="A2337" s="1" t="s">
        <v>4005</v>
      </c>
      <c r="B2337" s="1" t="s">
        <v>4006</v>
      </c>
      <c r="C2337" s="1" t="s">
        <v>3688</v>
      </c>
      <c r="D2337" s="1" t="s">
        <v>3689</v>
      </c>
      <c r="E2337" s="1" t="s">
        <v>7</v>
      </c>
    </row>
    <row r="2338" customFormat="false" ht="16" hidden="false" customHeight="false" outlineLevel="0" collapsed="false">
      <c r="A2338" s="1" t="s">
        <v>4007</v>
      </c>
      <c r="B2338" s="1" t="s">
        <v>1421</v>
      </c>
      <c r="C2338" s="1" t="s">
        <v>3688</v>
      </c>
      <c r="D2338" s="1" t="s">
        <v>3689</v>
      </c>
      <c r="E2338" s="1" t="s">
        <v>7</v>
      </c>
    </row>
    <row r="2339" customFormat="false" ht="16" hidden="false" customHeight="false" outlineLevel="0" collapsed="false">
      <c r="A2339" s="1" t="s">
        <v>4008</v>
      </c>
      <c r="B2339" s="1" t="s">
        <v>4009</v>
      </c>
      <c r="C2339" s="1" t="s">
        <v>3688</v>
      </c>
      <c r="D2339" s="1" t="s">
        <v>3689</v>
      </c>
      <c r="E2339" s="1" t="s">
        <v>7</v>
      </c>
    </row>
    <row r="2340" customFormat="false" ht="16" hidden="false" customHeight="false" outlineLevel="0" collapsed="false">
      <c r="A2340" s="1" t="s">
        <v>4010</v>
      </c>
      <c r="B2340" s="1" t="s">
        <v>4011</v>
      </c>
      <c r="C2340" s="1" t="s">
        <v>3688</v>
      </c>
      <c r="D2340" s="1" t="s">
        <v>3689</v>
      </c>
      <c r="E2340" s="1" t="s">
        <v>7</v>
      </c>
    </row>
    <row r="2341" customFormat="false" ht="16" hidden="false" customHeight="false" outlineLevel="0" collapsed="false">
      <c r="A2341" s="1" t="s">
        <v>4012</v>
      </c>
      <c r="B2341" s="1" t="s">
        <v>4013</v>
      </c>
      <c r="C2341" s="1" t="s">
        <v>3688</v>
      </c>
      <c r="D2341" s="1" t="s">
        <v>3689</v>
      </c>
      <c r="E2341" s="1" t="s">
        <v>7</v>
      </c>
    </row>
    <row r="2342" customFormat="false" ht="16" hidden="false" customHeight="false" outlineLevel="0" collapsed="false">
      <c r="A2342" s="1" t="s">
        <v>4014</v>
      </c>
      <c r="B2342" s="1" t="s">
        <v>4015</v>
      </c>
      <c r="C2342" s="1" t="s">
        <v>3688</v>
      </c>
      <c r="D2342" s="1" t="s">
        <v>3689</v>
      </c>
      <c r="E2342" s="1" t="s">
        <v>7</v>
      </c>
    </row>
    <row r="2343" customFormat="false" ht="16" hidden="false" customHeight="false" outlineLevel="0" collapsed="false">
      <c r="A2343" s="1" t="s">
        <v>4016</v>
      </c>
      <c r="B2343" s="1" t="s">
        <v>1423</v>
      </c>
      <c r="C2343" s="1" t="s">
        <v>3688</v>
      </c>
      <c r="D2343" s="1" t="s">
        <v>3689</v>
      </c>
      <c r="E2343" s="1" t="s">
        <v>7</v>
      </c>
    </row>
    <row r="2344" customFormat="false" ht="16" hidden="false" customHeight="false" outlineLevel="0" collapsed="false">
      <c r="A2344" s="1" t="s">
        <v>4017</v>
      </c>
      <c r="B2344" s="1" t="s">
        <v>4018</v>
      </c>
      <c r="C2344" s="1" t="s">
        <v>3688</v>
      </c>
      <c r="D2344" s="1" t="s">
        <v>3689</v>
      </c>
      <c r="E2344" s="1" t="s">
        <v>7</v>
      </c>
    </row>
    <row r="2345" customFormat="false" ht="16" hidden="false" customHeight="false" outlineLevel="0" collapsed="false">
      <c r="A2345" s="1" t="s">
        <v>4019</v>
      </c>
      <c r="B2345" s="1" t="s">
        <v>4020</v>
      </c>
      <c r="C2345" s="1" t="s">
        <v>3688</v>
      </c>
      <c r="D2345" s="1" t="s">
        <v>3689</v>
      </c>
      <c r="E2345" s="1" t="s">
        <v>7</v>
      </c>
    </row>
    <row r="2346" customFormat="false" ht="16" hidden="false" customHeight="false" outlineLevel="0" collapsed="false">
      <c r="A2346" s="1" t="s">
        <v>4021</v>
      </c>
      <c r="B2346" s="1" t="s">
        <v>4022</v>
      </c>
      <c r="C2346" s="1" t="s">
        <v>3688</v>
      </c>
      <c r="D2346" s="1" t="s">
        <v>3689</v>
      </c>
      <c r="E2346" s="1" t="s">
        <v>7</v>
      </c>
    </row>
    <row r="2347" customFormat="false" ht="16" hidden="false" customHeight="false" outlineLevel="0" collapsed="false">
      <c r="A2347" s="1" t="s">
        <v>4023</v>
      </c>
      <c r="B2347" s="1" t="s">
        <v>4024</v>
      </c>
      <c r="C2347" s="1" t="s">
        <v>3688</v>
      </c>
      <c r="D2347" s="1" t="s">
        <v>3689</v>
      </c>
      <c r="E2347" s="1" t="s">
        <v>7</v>
      </c>
    </row>
    <row r="2348" customFormat="false" ht="16" hidden="false" customHeight="false" outlineLevel="0" collapsed="false">
      <c r="A2348" s="1" t="s">
        <v>4025</v>
      </c>
      <c r="B2348" s="1" t="s">
        <v>4026</v>
      </c>
      <c r="C2348" s="1" t="s">
        <v>3688</v>
      </c>
      <c r="D2348" s="1" t="s">
        <v>3689</v>
      </c>
      <c r="E2348" s="1" t="s">
        <v>7</v>
      </c>
    </row>
    <row r="2349" customFormat="false" ht="16" hidden="false" customHeight="false" outlineLevel="0" collapsed="false">
      <c r="A2349" s="1" t="s">
        <v>4027</v>
      </c>
      <c r="B2349" s="1" t="s">
        <v>4028</v>
      </c>
      <c r="C2349" s="1" t="s">
        <v>3688</v>
      </c>
      <c r="D2349" s="1" t="s">
        <v>3689</v>
      </c>
      <c r="E2349" s="1" t="s">
        <v>7</v>
      </c>
    </row>
    <row r="2350" customFormat="false" ht="16" hidden="false" customHeight="false" outlineLevel="0" collapsed="false">
      <c r="A2350" s="1" t="s">
        <v>4029</v>
      </c>
      <c r="B2350" s="1" t="s">
        <v>4030</v>
      </c>
      <c r="C2350" s="1" t="s">
        <v>3688</v>
      </c>
      <c r="D2350" s="1" t="s">
        <v>3689</v>
      </c>
      <c r="E2350" s="1" t="s">
        <v>7</v>
      </c>
    </row>
    <row r="2351" customFormat="false" ht="16" hidden="false" customHeight="false" outlineLevel="0" collapsed="false">
      <c r="A2351" s="1" t="s">
        <v>4031</v>
      </c>
      <c r="B2351" s="1" t="s">
        <v>1456</v>
      </c>
      <c r="C2351" s="1" t="s">
        <v>3688</v>
      </c>
      <c r="D2351" s="1" t="s">
        <v>3689</v>
      </c>
      <c r="E2351" s="1" t="s">
        <v>7</v>
      </c>
    </row>
    <row r="2352" customFormat="false" ht="16" hidden="false" customHeight="false" outlineLevel="0" collapsed="false">
      <c r="A2352" s="1" t="s">
        <v>4032</v>
      </c>
      <c r="B2352" s="1" t="s">
        <v>1456</v>
      </c>
      <c r="C2352" s="1" t="s">
        <v>3688</v>
      </c>
      <c r="D2352" s="1" t="s">
        <v>3727</v>
      </c>
      <c r="E2352" s="1" t="s">
        <v>7</v>
      </c>
    </row>
    <row r="2353" customFormat="false" ht="16" hidden="false" customHeight="false" outlineLevel="0" collapsed="false">
      <c r="A2353" s="1" t="s">
        <v>4033</v>
      </c>
      <c r="B2353" s="1" t="s">
        <v>1456</v>
      </c>
      <c r="C2353" s="1" t="s">
        <v>3688</v>
      </c>
      <c r="D2353" s="1" t="s">
        <v>3729</v>
      </c>
      <c r="E2353" s="1" t="s">
        <v>7</v>
      </c>
    </row>
    <row r="2354" customFormat="false" ht="16" hidden="false" customHeight="false" outlineLevel="0" collapsed="false">
      <c r="A2354" s="1" t="s">
        <v>4034</v>
      </c>
      <c r="B2354" s="1" t="s">
        <v>1456</v>
      </c>
      <c r="C2354" s="1" t="s">
        <v>3688</v>
      </c>
      <c r="D2354" s="1" t="s">
        <v>770</v>
      </c>
      <c r="E2354" s="1" t="s">
        <v>7</v>
      </c>
    </row>
    <row r="2355" customFormat="false" ht="16" hidden="false" customHeight="false" outlineLevel="0" collapsed="false">
      <c r="A2355" s="1" t="s">
        <v>4035</v>
      </c>
      <c r="B2355" s="1" t="s">
        <v>4036</v>
      </c>
      <c r="C2355" s="1" t="s">
        <v>3688</v>
      </c>
      <c r="D2355" s="1" t="s">
        <v>3689</v>
      </c>
      <c r="E2355" s="1" t="s">
        <v>7</v>
      </c>
    </row>
    <row r="2356" customFormat="false" ht="16" hidden="false" customHeight="false" outlineLevel="0" collapsed="false">
      <c r="A2356" s="1" t="s">
        <v>4037</v>
      </c>
      <c r="B2356" s="1" t="s">
        <v>4038</v>
      </c>
      <c r="C2356" s="1" t="s">
        <v>3688</v>
      </c>
      <c r="D2356" s="1" t="s">
        <v>3689</v>
      </c>
      <c r="E2356" s="1" t="s">
        <v>7</v>
      </c>
    </row>
    <row r="2357" customFormat="false" ht="16" hidden="false" customHeight="false" outlineLevel="0" collapsed="false">
      <c r="A2357" s="1" t="s">
        <v>4039</v>
      </c>
      <c r="B2357" s="1" t="s">
        <v>4040</v>
      </c>
      <c r="C2357" s="1" t="s">
        <v>3688</v>
      </c>
      <c r="D2357" s="1" t="s">
        <v>3689</v>
      </c>
      <c r="E2357" s="1" t="s">
        <v>7</v>
      </c>
    </row>
    <row r="2358" customFormat="false" ht="16" hidden="false" customHeight="false" outlineLevel="0" collapsed="false">
      <c r="A2358" s="1" t="s">
        <v>4041</v>
      </c>
      <c r="B2358" s="1" t="s">
        <v>4042</v>
      </c>
      <c r="C2358" s="1" t="s">
        <v>3688</v>
      </c>
      <c r="D2358" s="1" t="s">
        <v>3689</v>
      </c>
      <c r="E2358" s="1" t="s">
        <v>7</v>
      </c>
    </row>
    <row r="2359" customFormat="false" ht="16" hidden="false" customHeight="false" outlineLevel="0" collapsed="false">
      <c r="A2359" s="1" t="s">
        <v>4043</v>
      </c>
      <c r="B2359" s="1" t="s">
        <v>4044</v>
      </c>
      <c r="C2359" s="1" t="s">
        <v>3688</v>
      </c>
      <c r="D2359" s="1" t="s">
        <v>3689</v>
      </c>
      <c r="E2359" s="1" t="s">
        <v>7</v>
      </c>
    </row>
    <row r="2360" customFormat="false" ht="16" hidden="false" customHeight="false" outlineLevel="0" collapsed="false">
      <c r="A2360" s="1" t="s">
        <v>4045</v>
      </c>
      <c r="B2360" s="1" t="s">
        <v>4046</v>
      </c>
      <c r="C2360" s="1" t="s">
        <v>3688</v>
      </c>
      <c r="D2360" s="1" t="s">
        <v>3689</v>
      </c>
      <c r="E2360" s="1" t="s">
        <v>7</v>
      </c>
    </row>
    <row r="2361" customFormat="false" ht="16" hidden="false" customHeight="false" outlineLevel="0" collapsed="false">
      <c r="A2361" s="1" t="s">
        <v>4047</v>
      </c>
      <c r="B2361" s="1" t="s">
        <v>4048</v>
      </c>
      <c r="C2361" s="1" t="s">
        <v>3688</v>
      </c>
      <c r="D2361" s="1" t="s">
        <v>3689</v>
      </c>
      <c r="E2361" s="1" t="s">
        <v>7</v>
      </c>
    </row>
    <row r="2362" customFormat="false" ht="16" hidden="false" customHeight="false" outlineLevel="0" collapsed="false">
      <c r="A2362" s="1" t="s">
        <v>4049</v>
      </c>
      <c r="B2362" s="1" t="s">
        <v>4050</v>
      </c>
      <c r="C2362" s="1" t="s">
        <v>3688</v>
      </c>
      <c r="D2362" s="1" t="s">
        <v>3689</v>
      </c>
      <c r="E2362" s="1" t="s">
        <v>7</v>
      </c>
    </row>
    <row r="2363" customFormat="false" ht="16" hidden="false" customHeight="false" outlineLevel="0" collapsed="false">
      <c r="A2363" s="1" t="s">
        <v>4051</v>
      </c>
      <c r="B2363" s="1" t="s">
        <v>1468</v>
      </c>
      <c r="C2363" s="1" t="s">
        <v>3688</v>
      </c>
      <c r="D2363" s="1" t="s">
        <v>770</v>
      </c>
      <c r="E2363" s="1" t="s">
        <v>7</v>
      </c>
    </row>
    <row r="2364" customFormat="false" ht="16" hidden="false" customHeight="false" outlineLevel="0" collapsed="false">
      <c r="A2364" s="1" t="s">
        <v>4052</v>
      </c>
      <c r="B2364" s="1" t="s">
        <v>4053</v>
      </c>
      <c r="C2364" s="1" t="s">
        <v>3688</v>
      </c>
      <c r="D2364" s="1" t="s">
        <v>3689</v>
      </c>
      <c r="E2364" s="1" t="s">
        <v>7</v>
      </c>
    </row>
    <row r="2365" customFormat="false" ht="16" hidden="false" customHeight="false" outlineLevel="0" collapsed="false">
      <c r="A2365" s="1" t="s">
        <v>4054</v>
      </c>
      <c r="B2365" s="1" t="s">
        <v>4055</v>
      </c>
      <c r="C2365" s="1" t="s">
        <v>3688</v>
      </c>
      <c r="D2365" s="1" t="s">
        <v>3689</v>
      </c>
      <c r="E2365" s="1" t="s">
        <v>7</v>
      </c>
    </row>
    <row r="2366" customFormat="false" ht="16" hidden="false" customHeight="false" outlineLevel="0" collapsed="false">
      <c r="A2366" s="1" t="s">
        <v>4056</v>
      </c>
      <c r="B2366" s="1" t="s">
        <v>4057</v>
      </c>
      <c r="C2366" s="1" t="s">
        <v>3688</v>
      </c>
      <c r="D2366" s="1" t="s">
        <v>3689</v>
      </c>
      <c r="E2366" s="1" t="s">
        <v>7</v>
      </c>
    </row>
    <row r="2367" customFormat="false" ht="16" hidden="false" customHeight="false" outlineLevel="0" collapsed="false">
      <c r="A2367" s="1" t="s">
        <v>4058</v>
      </c>
      <c r="B2367" s="1" t="s">
        <v>1476</v>
      </c>
      <c r="C2367" s="1" t="s">
        <v>3688</v>
      </c>
      <c r="D2367" s="1" t="s">
        <v>3689</v>
      </c>
      <c r="E2367" s="1" t="s">
        <v>7</v>
      </c>
    </row>
    <row r="2368" customFormat="false" ht="16" hidden="false" customHeight="false" outlineLevel="0" collapsed="false">
      <c r="A2368" s="1" t="s">
        <v>4059</v>
      </c>
      <c r="B2368" s="1" t="s">
        <v>4060</v>
      </c>
      <c r="C2368" s="1" t="s">
        <v>3688</v>
      </c>
      <c r="D2368" s="1" t="s">
        <v>3689</v>
      </c>
      <c r="E2368" s="1" t="s">
        <v>7</v>
      </c>
    </row>
    <row r="2369" customFormat="false" ht="16" hidden="false" customHeight="false" outlineLevel="0" collapsed="false">
      <c r="A2369" s="1" t="s">
        <v>4061</v>
      </c>
      <c r="B2369" s="1" t="s">
        <v>1610</v>
      </c>
      <c r="C2369" s="1" t="s">
        <v>3688</v>
      </c>
      <c r="D2369" s="1" t="s">
        <v>3689</v>
      </c>
      <c r="E2369" s="1" t="s">
        <v>7</v>
      </c>
    </row>
    <row r="2370" customFormat="false" ht="16" hidden="false" customHeight="false" outlineLevel="0" collapsed="false">
      <c r="A2370" s="1" t="s">
        <v>4062</v>
      </c>
      <c r="B2370" s="1" t="s">
        <v>4063</v>
      </c>
      <c r="C2370" s="1" t="s">
        <v>3688</v>
      </c>
      <c r="D2370" s="1" t="s">
        <v>3689</v>
      </c>
      <c r="E2370" s="1" t="s">
        <v>7</v>
      </c>
    </row>
    <row r="2371" customFormat="false" ht="16" hidden="false" customHeight="false" outlineLevel="0" collapsed="false">
      <c r="A2371" s="1" t="s">
        <v>4064</v>
      </c>
      <c r="B2371" s="1" t="s">
        <v>4065</v>
      </c>
      <c r="C2371" s="1" t="s">
        <v>3688</v>
      </c>
      <c r="D2371" s="1" t="s">
        <v>3689</v>
      </c>
      <c r="E2371" s="1" t="s">
        <v>7</v>
      </c>
    </row>
    <row r="2372" customFormat="false" ht="16" hidden="false" customHeight="false" outlineLevel="0" collapsed="false">
      <c r="A2372" s="1" t="s">
        <v>4066</v>
      </c>
      <c r="B2372" s="1" t="s">
        <v>4067</v>
      </c>
      <c r="C2372" s="1" t="s">
        <v>3688</v>
      </c>
      <c r="D2372" s="1" t="s">
        <v>3689</v>
      </c>
      <c r="E2372" s="1" t="s">
        <v>7</v>
      </c>
    </row>
    <row r="2373" customFormat="false" ht="16" hidden="false" customHeight="false" outlineLevel="0" collapsed="false">
      <c r="A2373" s="1" t="s">
        <v>4068</v>
      </c>
      <c r="B2373" s="1" t="s">
        <v>4069</v>
      </c>
      <c r="C2373" s="1" t="s">
        <v>3688</v>
      </c>
      <c r="D2373" s="1" t="s">
        <v>3689</v>
      </c>
      <c r="E2373" s="1" t="s">
        <v>7</v>
      </c>
    </row>
    <row r="2374" customFormat="false" ht="16" hidden="false" customHeight="false" outlineLevel="0" collapsed="false">
      <c r="A2374" s="1" t="s">
        <v>4070</v>
      </c>
      <c r="B2374" s="1" t="s">
        <v>4071</v>
      </c>
      <c r="C2374" s="1" t="s">
        <v>3688</v>
      </c>
      <c r="D2374" s="1" t="s">
        <v>3689</v>
      </c>
      <c r="E2374" s="1" t="s">
        <v>7</v>
      </c>
    </row>
    <row r="2375" customFormat="false" ht="16" hidden="false" customHeight="false" outlineLevel="0" collapsed="false">
      <c r="A2375" s="1" t="s">
        <v>4072</v>
      </c>
      <c r="B2375" s="1" t="s">
        <v>4073</v>
      </c>
      <c r="C2375" s="1" t="s">
        <v>3688</v>
      </c>
      <c r="D2375" s="1" t="s">
        <v>3689</v>
      </c>
      <c r="E2375" s="1" t="s">
        <v>7</v>
      </c>
    </row>
    <row r="2376" customFormat="false" ht="16" hidden="false" customHeight="false" outlineLevel="0" collapsed="false">
      <c r="A2376" s="1" t="s">
        <v>4074</v>
      </c>
      <c r="B2376" s="1" t="s">
        <v>4075</v>
      </c>
      <c r="C2376" s="1" t="s">
        <v>3688</v>
      </c>
      <c r="D2376" s="1" t="s">
        <v>3689</v>
      </c>
      <c r="E2376" s="1" t="s">
        <v>7</v>
      </c>
    </row>
    <row r="2377" customFormat="false" ht="16" hidden="false" customHeight="false" outlineLevel="0" collapsed="false">
      <c r="A2377" s="1" t="s">
        <v>4076</v>
      </c>
      <c r="B2377" s="1" t="s">
        <v>4077</v>
      </c>
      <c r="C2377" s="1" t="s">
        <v>3688</v>
      </c>
      <c r="D2377" s="1" t="s">
        <v>3689</v>
      </c>
      <c r="E2377" s="1" t="s">
        <v>7</v>
      </c>
    </row>
    <row r="2378" customFormat="false" ht="16" hidden="false" customHeight="false" outlineLevel="0" collapsed="false">
      <c r="A2378" s="1" t="s">
        <v>4078</v>
      </c>
      <c r="B2378" s="1" t="s">
        <v>4079</v>
      </c>
      <c r="C2378" s="1" t="s">
        <v>3688</v>
      </c>
      <c r="D2378" s="1" t="s">
        <v>3689</v>
      </c>
      <c r="E2378" s="1" t="s">
        <v>7</v>
      </c>
    </row>
    <row r="2379" customFormat="false" ht="16" hidden="false" customHeight="false" outlineLevel="0" collapsed="false">
      <c r="A2379" s="1" t="s">
        <v>4080</v>
      </c>
      <c r="B2379" s="1" t="s">
        <v>4081</v>
      </c>
      <c r="C2379" s="1" t="s">
        <v>3688</v>
      </c>
      <c r="D2379" s="1" t="s">
        <v>3689</v>
      </c>
      <c r="E2379" s="1" t="s">
        <v>7</v>
      </c>
    </row>
    <row r="2380" customFormat="false" ht="16" hidden="false" customHeight="false" outlineLevel="0" collapsed="false">
      <c r="A2380" s="1" t="s">
        <v>4082</v>
      </c>
      <c r="B2380" s="1" t="s">
        <v>4083</v>
      </c>
      <c r="C2380" s="1" t="s">
        <v>3688</v>
      </c>
      <c r="D2380" s="1" t="s">
        <v>3689</v>
      </c>
      <c r="E2380" s="1" t="s">
        <v>7</v>
      </c>
    </row>
    <row r="2381" customFormat="false" ht="16" hidden="false" customHeight="false" outlineLevel="0" collapsed="false">
      <c r="A2381" s="1" t="s">
        <v>4084</v>
      </c>
      <c r="B2381" s="1" t="s">
        <v>4085</v>
      </c>
      <c r="C2381" s="1" t="s">
        <v>3688</v>
      </c>
      <c r="D2381" s="1" t="s">
        <v>3689</v>
      </c>
      <c r="E2381" s="1" t="s">
        <v>7</v>
      </c>
    </row>
    <row r="2382" customFormat="false" ht="16" hidden="false" customHeight="false" outlineLevel="0" collapsed="false">
      <c r="A2382" s="1" t="s">
        <v>4086</v>
      </c>
      <c r="B2382" s="1" t="s">
        <v>4087</v>
      </c>
      <c r="C2382" s="1" t="s">
        <v>3688</v>
      </c>
      <c r="D2382" s="1" t="s">
        <v>3689</v>
      </c>
      <c r="E2382" s="1" t="s">
        <v>7</v>
      </c>
    </row>
    <row r="2383" customFormat="false" ht="16" hidden="false" customHeight="false" outlineLevel="0" collapsed="false">
      <c r="A2383" s="1" t="s">
        <v>4088</v>
      </c>
      <c r="B2383" s="1" t="s">
        <v>4089</v>
      </c>
      <c r="C2383" s="1" t="s">
        <v>3688</v>
      </c>
      <c r="D2383" s="1" t="s">
        <v>3689</v>
      </c>
      <c r="E2383" s="1" t="s">
        <v>7</v>
      </c>
    </row>
    <row r="2384" customFormat="false" ht="16" hidden="false" customHeight="false" outlineLevel="0" collapsed="false">
      <c r="A2384" s="1" t="s">
        <v>4090</v>
      </c>
      <c r="B2384" s="1" t="s">
        <v>1656</v>
      </c>
      <c r="C2384" s="1" t="s">
        <v>3688</v>
      </c>
      <c r="D2384" s="1" t="s">
        <v>3689</v>
      </c>
      <c r="E2384" s="1" t="s">
        <v>7</v>
      </c>
    </row>
    <row r="2385" customFormat="false" ht="16" hidden="false" customHeight="false" outlineLevel="0" collapsed="false">
      <c r="A2385" s="1" t="s">
        <v>4091</v>
      </c>
      <c r="B2385" s="1" t="s">
        <v>4092</v>
      </c>
      <c r="C2385" s="1" t="s">
        <v>3688</v>
      </c>
      <c r="D2385" s="1" t="s">
        <v>3689</v>
      </c>
      <c r="E2385" s="1" t="s">
        <v>7</v>
      </c>
    </row>
    <row r="2386" customFormat="false" ht="16" hidden="false" customHeight="false" outlineLevel="0" collapsed="false">
      <c r="A2386" s="1" t="s">
        <v>4093</v>
      </c>
      <c r="B2386" s="1" t="s">
        <v>4094</v>
      </c>
      <c r="C2386" s="1" t="s">
        <v>3688</v>
      </c>
      <c r="D2386" s="1" t="s">
        <v>3689</v>
      </c>
      <c r="E2386" s="1" t="s">
        <v>7</v>
      </c>
    </row>
    <row r="2387" customFormat="false" ht="16" hidden="false" customHeight="false" outlineLevel="0" collapsed="false">
      <c r="A2387" s="1" t="s">
        <v>4095</v>
      </c>
      <c r="B2387" s="1" t="s">
        <v>4096</v>
      </c>
      <c r="C2387" s="1" t="s">
        <v>3688</v>
      </c>
      <c r="D2387" s="1" t="s">
        <v>3689</v>
      </c>
      <c r="E2387" s="1" t="s">
        <v>7</v>
      </c>
    </row>
    <row r="2388" customFormat="false" ht="16" hidden="false" customHeight="false" outlineLevel="0" collapsed="false">
      <c r="A2388" s="1" t="s">
        <v>4097</v>
      </c>
      <c r="B2388" s="1" t="s">
        <v>4098</v>
      </c>
      <c r="C2388" s="1" t="s">
        <v>3688</v>
      </c>
      <c r="D2388" s="1" t="s">
        <v>3689</v>
      </c>
      <c r="E2388" s="1" t="s">
        <v>7</v>
      </c>
    </row>
    <row r="2389" customFormat="false" ht="16" hidden="false" customHeight="false" outlineLevel="0" collapsed="false">
      <c r="A2389" s="1" t="s">
        <v>4099</v>
      </c>
      <c r="B2389" s="1" t="s">
        <v>4100</v>
      </c>
      <c r="C2389" s="1" t="s">
        <v>3688</v>
      </c>
      <c r="D2389" s="1" t="s">
        <v>3689</v>
      </c>
      <c r="E2389" s="1" t="s">
        <v>7</v>
      </c>
    </row>
    <row r="2390" customFormat="false" ht="16" hidden="false" customHeight="false" outlineLevel="0" collapsed="false">
      <c r="A2390" s="1" t="s">
        <v>4101</v>
      </c>
      <c r="B2390" s="1" t="s">
        <v>4102</v>
      </c>
      <c r="C2390" s="1" t="s">
        <v>3688</v>
      </c>
      <c r="D2390" s="1" t="s">
        <v>3689</v>
      </c>
      <c r="E2390" s="1" t="s">
        <v>7</v>
      </c>
    </row>
    <row r="2391" customFormat="false" ht="16" hidden="false" customHeight="false" outlineLevel="0" collapsed="false">
      <c r="A2391" s="1" t="s">
        <v>4103</v>
      </c>
      <c r="B2391" s="1" t="s">
        <v>4104</v>
      </c>
      <c r="C2391" s="1" t="s">
        <v>3688</v>
      </c>
      <c r="D2391" s="1" t="s">
        <v>3689</v>
      </c>
      <c r="E2391" s="1" t="s">
        <v>7</v>
      </c>
    </row>
    <row r="2392" customFormat="false" ht="16" hidden="false" customHeight="false" outlineLevel="0" collapsed="false">
      <c r="A2392" s="1" t="s">
        <v>4105</v>
      </c>
      <c r="B2392" s="1" t="s">
        <v>4106</v>
      </c>
      <c r="C2392" s="1" t="s">
        <v>3688</v>
      </c>
      <c r="D2392" s="1" t="s">
        <v>3689</v>
      </c>
      <c r="E2392" s="1" t="s">
        <v>7</v>
      </c>
    </row>
    <row r="2393" customFormat="false" ht="16" hidden="false" customHeight="false" outlineLevel="0" collapsed="false">
      <c r="A2393" s="1" t="s">
        <v>4107</v>
      </c>
      <c r="B2393" s="1" t="s">
        <v>4108</v>
      </c>
      <c r="C2393" s="1" t="s">
        <v>3688</v>
      </c>
      <c r="D2393" s="1" t="s">
        <v>3689</v>
      </c>
      <c r="E2393" s="1" t="s">
        <v>7</v>
      </c>
    </row>
    <row r="2394" customFormat="false" ht="16" hidden="false" customHeight="false" outlineLevel="0" collapsed="false">
      <c r="A2394" s="1" t="s">
        <v>4109</v>
      </c>
      <c r="B2394" s="1" t="s">
        <v>4110</v>
      </c>
      <c r="C2394" s="1" t="s">
        <v>3688</v>
      </c>
      <c r="D2394" s="1" t="s">
        <v>3689</v>
      </c>
      <c r="E2394" s="1" t="s">
        <v>7</v>
      </c>
    </row>
    <row r="2395" customFormat="false" ht="16" hidden="false" customHeight="false" outlineLevel="0" collapsed="false">
      <c r="A2395" s="1" t="s">
        <v>4111</v>
      </c>
      <c r="B2395" s="1" t="s">
        <v>4112</v>
      </c>
      <c r="C2395" s="1" t="s">
        <v>3688</v>
      </c>
      <c r="D2395" s="1" t="s">
        <v>3689</v>
      </c>
      <c r="E2395" s="1" t="s">
        <v>7</v>
      </c>
    </row>
    <row r="2396" customFormat="false" ht="16" hidden="false" customHeight="false" outlineLevel="0" collapsed="false">
      <c r="A2396" s="1" t="s">
        <v>4113</v>
      </c>
      <c r="B2396" s="1" t="s">
        <v>4114</v>
      </c>
      <c r="C2396" s="1" t="s">
        <v>3688</v>
      </c>
      <c r="D2396" s="1" t="s">
        <v>3689</v>
      </c>
      <c r="E2396" s="1" t="s">
        <v>7</v>
      </c>
    </row>
    <row r="2397" customFormat="false" ht="16" hidden="false" customHeight="false" outlineLevel="0" collapsed="false">
      <c r="A2397" s="1" t="s">
        <v>4115</v>
      </c>
      <c r="B2397" s="1" t="s">
        <v>4116</v>
      </c>
      <c r="C2397" s="1" t="s">
        <v>3688</v>
      </c>
      <c r="D2397" s="1" t="s">
        <v>3689</v>
      </c>
      <c r="E2397" s="1" t="s">
        <v>7</v>
      </c>
    </row>
    <row r="2398" customFormat="false" ht="16" hidden="false" customHeight="false" outlineLevel="0" collapsed="false">
      <c r="A2398" s="1" t="s">
        <v>4117</v>
      </c>
      <c r="B2398" s="1" t="s">
        <v>4118</v>
      </c>
      <c r="C2398" s="1" t="s">
        <v>3688</v>
      </c>
      <c r="D2398" s="1" t="s">
        <v>3689</v>
      </c>
      <c r="E2398" s="1" t="s">
        <v>7</v>
      </c>
    </row>
    <row r="2399" customFormat="false" ht="16" hidden="false" customHeight="false" outlineLevel="0" collapsed="false">
      <c r="A2399" s="1" t="s">
        <v>4119</v>
      </c>
      <c r="B2399" s="1" t="s">
        <v>4120</v>
      </c>
      <c r="C2399" s="1" t="s">
        <v>3688</v>
      </c>
      <c r="D2399" s="1" t="s">
        <v>3689</v>
      </c>
      <c r="E2399" s="1" t="s">
        <v>7</v>
      </c>
    </row>
    <row r="2400" customFormat="false" ht="16" hidden="false" customHeight="false" outlineLevel="0" collapsed="false">
      <c r="A2400" s="1" t="s">
        <v>4121</v>
      </c>
      <c r="B2400" s="1" t="s">
        <v>4122</v>
      </c>
      <c r="C2400" s="1" t="s">
        <v>3688</v>
      </c>
      <c r="D2400" s="1" t="s">
        <v>3689</v>
      </c>
      <c r="E2400" s="1" t="s">
        <v>7</v>
      </c>
    </row>
    <row r="2401" customFormat="false" ht="16" hidden="false" customHeight="false" outlineLevel="0" collapsed="false">
      <c r="A2401" s="1" t="s">
        <v>4123</v>
      </c>
      <c r="B2401" s="1" t="s">
        <v>4124</v>
      </c>
      <c r="C2401" s="1" t="s">
        <v>3688</v>
      </c>
      <c r="D2401" s="1" t="s">
        <v>3689</v>
      </c>
      <c r="E2401" s="1" t="s">
        <v>7</v>
      </c>
    </row>
    <row r="2402" customFormat="false" ht="16" hidden="false" customHeight="false" outlineLevel="0" collapsed="false">
      <c r="A2402" s="1" t="s">
        <v>4125</v>
      </c>
      <c r="B2402" s="1" t="s">
        <v>4126</v>
      </c>
      <c r="C2402" s="1" t="s">
        <v>3688</v>
      </c>
      <c r="D2402" s="1" t="s">
        <v>3689</v>
      </c>
      <c r="E2402" s="1" t="s">
        <v>7</v>
      </c>
    </row>
    <row r="2403" customFormat="false" ht="16" hidden="false" customHeight="false" outlineLevel="0" collapsed="false">
      <c r="A2403" s="1" t="s">
        <v>4127</v>
      </c>
      <c r="B2403" s="1" t="s">
        <v>1660</v>
      </c>
      <c r="C2403" s="1" t="s">
        <v>3688</v>
      </c>
      <c r="D2403" s="1" t="s">
        <v>3689</v>
      </c>
      <c r="E2403" s="1" t="s">
        <v>7</v>
      </c>
    </row>
    <row r="2404" customFormat="false" ht="16" hidden="false" customHeight="false" outlineLevel="0" collapsed="false">
      <c r="A2404" s="1" t="s">
        <v>4128</v>
      </c>
      <c r="B2404" s="1" t="s">
        <v>1662</v>
      </c>
      <c r="C2404" s="1" t="s">
        <v>3688</v>
      </c>
      <c r="D2404" s="1" t="s">
        <v>3689</v>
      </c>
      <c r="E2404" s="1" t="s">
        <v>7</v>
      </c>
    </row>
    <row r="2405" customFormat="false" ht="16" hidden="false" customHeight="false" outlineLevel="0" collapsed="false">
      <c r="A2405" s="1" t="s">
        <v>4129</v>
      </c>
      <c r="B2405" s="1" t="s">
        <v>1664</v>
      </c>
      <c r="C2405" s="1" t="s">
        <v>3688</v>
      </c>
      <c r="D2405" s="1" t="s">
        <v>3689</v>
      </c>
      <c r="E2405" s="1" t="s">
        <v>7</v>
      </c>
    </row>
    <row r="2406" customFormat="false" ht="16" hidden="false" customHeight="false" outlineLevel="0" collapsed="false">
      <c r="A2406" s="1" t="s">
        <v>4130</v>
      </c>
      <c r="B2406" s="1" t="s">
        <v>1666</v>
      </c>
      <c r="C2406" s="1" t="s">
        <v>3688</v>
      </c>
      <c r="D2406" s="1" t="s">
        <v>3689</v>
      </c>
      <c r="E2406" s="1" t="s">
        <v>7</v>
      </c>
    </row>
    <row r="2407" customFormat="false" ht="16" hidden="false" customHeight="false" outlineLevel="0" collapsed="false">
      <c r="A2407" s="1" t="s">
        <v>4131</v>
      </c>
      <c r="B2407" s="1" t="s">
        <v>4132</v>
      </c>
      <c r="C2407" s="1" t="s">
        <v>3688</v>
      </c>
      <c r="D2407" s="1" t="s">
        <v>3689</v>
      </c>
      <c r="E2407" s="1" t="s">
        <v>7</v>
      </c>
    </row>
    <row r="2408" customFormat="false" ht="16" hidden="false" customHeight="false" outlineLevel="0" collapsed="false">
      <c r="A2408" s="1" t="s">
        <v>4133</v>
      </c>
      <c r="B2408" s="1" t="s">
        <v>4134</v>
      </c>
      <c r="C2408" s="1" t="s">
        <v>3688</v>
      </c>
      <c r="D2408" s="1" t="s">
        <v>3689</v>
      </c>
      <c r="E2408" s="1" t="s">
        <v>7</v>
      </c>
    </row>
    <row r="2409" customFormat="false" ht="16" hidden="false" customHeight="false" outlineLevel="0" collapsed="false">
      <c r="A2409" s="1" t="s">
        <v>4135</v>
      </c>
      <c r="B2409" s="1" t="s">
        <v>4134</v>
      </c>
      <c r="C2409" s="1" t="s">
        <v>3688</v>
      </c>
      <c r="D2409" s="1" t="s">
        <v>3727</v>
      </c>
      <c r="E2409" s="1" t="s">
        <v>7</v>
      </c>
    </row>
    <row r="2410" customFormat="false" ht="16" hidden="false" customHeight="false" outlineLevel="0" collapsed="false">
      <c r="A2410" s="1" t="s">
        <v>4136</v>
      </c>
      <c r="B2410" s="1" t="s">
        <v>4134</v>
      </c>
      <c r="C2410" s="1" t="s">
        <v>3688</v>
      </c>
      <c r="D2410" s="1" t="s">
        <v>3729</v>
      </c>
      <c r="E2410" s="1" t="s">
        <v>7</v>
      </c>
    </row>
    <row r="2411" customFormat="false" ht="16" hidden="false" customHeight="false" outlineLevel="0" collapsed="false">
      <c r="A2411" s="1" t="s">
        <v>4137</v>
      </c>
      <c r="B2411" s="1" t="s">
        <v>4134</v>
      </c>
      <c r="C2411" s="1" t="s">
        <v>3688</v>
      </c>
      <c r="D2411" s="1" t="s">
        <v>770</v>
      </c>
      <c r="E2411" s="1" t="s">
        <v>7</v>
      </c>
    </row>
    <row r="2412" customFormat="false" ht="16" hidden="false" customHeight="false" outlineLevel="0" collapsed="false">
      <c r="A2412" s="1" t="s">
        <v>4138</v>
      </c>
      <c r="B2412" s="1" t="s">
        <v>4139</v>
      </c>
      <c r="C2412" s="1" t="s">
        <v>3688</v>
      </c>
      <c r="D2412" s="1" t="s">
        <v>3689</v>
      </c>
      <c r="E2412" s="1" t="s">
        <v>7</v>
      </c>
    </row>
    <row r="2413" customFormat="false" ht="16" hidden="false" customHeight="false" outlineLevel="0" collapsed="false">
      <c r="A2413" s="1" t="s">
        <v>4140</v>
      </c>
      <c r="B2413" s="1" t="s">
        <v>4141</v>
      </c>
      <c r="C2413" s="1" t="s">
        <v>3688</v>
      </c>
      <c r="D2413" s="1" t="s">
        <v>3689</v>
      </c>
      <c r="E2413" s="1" t="s">
        <v>7</v>
      </c>
    </row>
    <row r="2414" customFormat="false" ht="16" hidden="false" customHeight="false" outlineLevel="0" collapsed="false">
      <c r="A2414" s="1" t="s">
        <v>4142</v>
      </c>
      <c r="B2414" s="1" t="s">
        <v>4143</v>
      </c>
      <c r="C2414" s="1" t="s">
        <v>3688</v>
      </c>
      <c r="D2414" s="1" t="s">
        <v>3689</v>
      </c>
      <c r="E2414" s="1" t="s">
        <v>7</v>
      </c>
    </row>
    <row r="2415" customFormat="false" ht="16" hidden="false" customHeight="false" outlineLevel="0" collapsed="false">
      <c r="A2415" s="1" t="s">
        <v>4144</v>
      </c>
      <c r="B2415" s="1" t="s">
        <v>4145</v>
      </c>
      <c r="C2415" s="1" t="s">
        <v>3688</v>
      </c>
      <c r="D2415" s="1" t="s">
        <v>3689</v>
      </c>
      <c r="E2415" s="1" t="s">
        <v>7</v>
      </c>
    </row>
    <row r="2416" customFormat="false" ht="16" hidden="false" customHeight="false" outlineLevel="0" collapsed="false">
      <c r="A2416" s="1" t="s">
        <v>4146</v>
      </c>
      <c r="B2416" s="1" t="s">
        <v>4147</v>
      </c>
      <c r="C2416" s="1" t="s">
        <v>3688</v>
      </c>
      <c r="D2416" s="1" t="s">
        <v>3689</v>
      </c>
      <c r="E2416" s="1" t="s">
        <v>7</v>
      </c>
    </row>
    <row r="2417" customFormat="false" ht="16" hidden="false" customHeight="false" outlineLevel="0" collapsed="false">
      <c r="A2417" s="1" t="s">
        <v>4148</v>
      </c>
      <c r="B2417" s="1" t="s">
        <v>4149</v>
      </c>
      <c r="C2417" s="1" t="s">
        <v>3688</v>
      </c>
      <c r="D2417" s="1" t="s">
        <v>3689</v>
      </c>
      <c r="E2417" s="1" t="s">
        <v>7</v>
      </c>
    </row>
    <row r="2418" customFormat="false" ht="16" hidden="false" customHeight="false" outlineLevel="0" collapsed="false">
      <c r="A2418" s="1" t="s">
        <v>4150</v>
      </c>
      <c r="B2418" s="1" t="s">
        <v>4151</v>
      </c>
      <c r="C2418" s="1" t="s">
        <v>3688</v>
      </c>
      <c r="D2418" s="1" t="s">
        <v>3689</v>
      </c>
      <c r="E2418" s="1" t="s">
        <v>7</v>
      </c>
    </row>
    <row r="2419" customFormat="false" ht="16" hidden="false" customHeight="false" outlineLevel="0" collapsed="false">
      <c r="A2419" s="1" t="s">
        <v>4152</v>
      </c>
      <c r="B2419" s="1" t="s">
        <v>4153</v>
      </c>
      <c r="C2419" s="1" t="s">
        <v>3688</v>
      </c>
      <c r="D2419" s="1" t="s">
        <v>3689</v>
      </c>
      <c r="E2419" s="1" t="s">
        <v>7</v>
      </c>
    </row>
    <row r="2420" customFormat="false" ht="16" hidden="false" customHeight="false" outlineLevel="0" collapsed="false">
      <c r="A2420" s="1" t="s">
        <v>4154</v>
      </c>
      <c r="B2420" s="1" t="s">
        <v>4155</v>
      </c>
      <c r="C2420" s="1" t="s">
        <v>3688</v>
      </c>
      <c r="D2420" s="1" t="s">
        <v>3689</v>
      </c>
      <c r="E2420" s="1" t="s">
        <v>7</v>
      </c>
    </row>
    <row r="2421" customFormat="false" ht="16" hidden="false" customHeight="false" outlineLevel="0" collapsed="false">
      <c r="A2421" s="1" t="s">
        <v>4156</v>
      </c>
      <c r="B2421" s="1" t="s">
        <v>4157</v>
      </c>
      <c r="C2421" s="1" t="s">
        <v>3688</v>
      </c>
      <c r="D2421" s="1" t="s">
        <v>3689</v>
      </c>
      <c r="E2421" s="1" t="s">
        <v>7</v>
      </c>
    </row>
    <row r="2422" customFormat="false" ht="16" hidden="false" customHeight="false" outlineLevel="0" collapsed="false">
      <c r="A2422" s="1" t="s">
        <v>4158</v>
      </c>
      <c r="B2422" s="1" t="s">
        <v>4159</v>
      </c>
      <c r="C2422" s="1" t="s">
        <v>3688</v>
      </c>
      <c r="D2422" s="1" t="s">
        <v>3689</v>
      </c>
      <c r="E2422" s="1" t="s">
        <v>7</v>
      </c>
    </row>
    <row r="2423" customFormat="false" ht="16" hidden="false" customHeight="false" outlineLevel="0" collapsed="false">
      <c r="A2423" s="1" t="s">
        <v>4160</v>
      </c>
      <c r="B2423" s="1" t="s">
        <v>4161</v>
      </c>
      <c r="C2423" s="1" t="s">
        <v>3688</v>
      </c>
      <c r="D2423" s="1" t="s">
        <v>3689</v>
      </c>
      <c r="E2423" s="1" t="s">
        <v>7</v>
      </c>
    </row>
    <row r="2424" customFormat="false" ht="16" hidden="false" customHeight="false" outlineLevel="0" collapsed="false">
      <c r="A2424" s="1" t="s">
        <v>4162</v>
      </c>
      <c r="B2424" s="1" t="s">
        <v>1683</v>
      </c>
      <c r="C2424" s="1" t="s">
        <v>3688</v>
      </c>
      <c r="D2424" s="1" t="s">
        <v>3689</v>
      </c>
      <c r="E2424" s="1" t="s">
        <v>7</v>
      </c>
    </row>
    <row r="2425" customFormat="false" ht="16" hidden="false" customHeight="false" outlineLevel="0" collapsed="false">
      <c r="A2425" s="1" t="s">
        <v>4163</v>
      </c>
      <c r="B2425" s="1" t="s">
        <v>4164</v>
      </c>
      <c r="C2425" s="1" t="s">
        <v>3688</v>
      </c>
      <c r="D2425" s="1" t="s">
        <v>3689</v>
      </c>
      <c r="E2425" s="1" t="s">
        <v>7</v>
      </c>
    </row>
    <row r="2426" customFormat="false" ht="16" hidden="false" customHeight="false" outlineLevel="0" collapsed="false">
      <c r="A2426" s="1" t="s">
        <v>4165</v>
      </c>
      <c r="B2426" s="1" t="s">
        <v>4166</v>
      </c>
      <c r="C2426" s="1" t="s">
        <v>3688</v>
      </c>
      <c r="D2426" s="1" t="s">
        <v>3689</v>
      </c>
      <c r="E2426" s="1" t="s">
        <v>7</v>
      </c>
    </row>
    <row r="2427" customFormat="false" ht="16" hidden="false" customHeight="false" outlineLevel="0" collapsed="false">
      <c r="A2427" s="1" t="s">
        <v>4167</v>
      </c>
      <c r="B2427" s="1" t="s">
        <v>4168</v>
      </c>
      <c r="C2427" s="1" t="s">
        <v>3688</v>
      </c>
      <c r="D2427" s="1" t="s">
        <v>3689</v>
      </c>
      <c r="E2427" s="1" t="s">
        <v>7</v>
      </c>
    </row>
    <row r="2428" customFormat="false" ht="16" hidden="false" customHeight="false" outlineLevel="0" collapsed="false">
      <c r="A2428" s="1" t="s">
        <v>4169</v>
      </c>
      <c r="B2428" s="1" t="s">
        <v>4170</v>
      </c>
      <c r="C2428" s="1" t="s">
        <v>3688</v>
      </c>
      <c r="D2428" s="1" t="s">
        <v>3689</v>
      </c>
      <c r="E2428" s="1" t="s">
        <v>7</v>
      </c>
    </row>
    <row r="2429" customFormat="false" ht="16" hidden="false" customHeight="false" outlineLevel="0" collapsed="false">
      <c r="A2429" s="1" t="s">
        <v>4171</v>
      </c>
      <c r="B2429" s="1" t="s">
        <v>4172</v>
      </c>
      <c r="C2429" s="1" t="s">
        <v>3688</v>
      </c>
      <c r="D2429" s="1" t="s">
        <v>3689</v>
      </c>
      <c r="E2429" s="1" t="s">
        <v>7</v>
      </c>
    </row>
    <row r="2430" customFormat="false" ht="16" hidden="false" customHeight="false" outlineLevel="0" collapsed="false">
      <c r="A2430" s="1" t="s">
        <v>4173</v>
      </c>
      <c r="B2430" s="1" t="s">
        <v>4174</v>
      </c>
      <c r="C2430" s="1" t="s">
        <v>3688</v>
      </c>
      <c r="D2430" s="1" t="s">
        <v>3689</v>
      </c>
      <c r="E2430" s="1" t="s">
        <v>7</v>
      </c>
    </row>
    <row r="2431" customFormat="false" ht="16" hidden="false" customHeight="false" outlineLevel="0" collapsed="false">
      <c r="A2431" s="1" t="s">
        <v>4175</v>
      </c>
      <c r="B2431" s="1" t="s">
        <v>4176</v>
      </c>
      <c r="C2431" s="1" t="s">
        <v>3688</v>
      </c>
      <c r="D2431" s="1" t="s">
        <v>3689</v>
      </c>
      <c r="E2431" s="1" t="s">
        <v>7</v>
      </c>
    </row>
    <row r="2432" customFormat="false" ht="16" hidden="false" customHeight="false" outlineLevel="0" collapsed="false">
      <c r="A2432" s="1" t="s">
        <v>4177</v>
      </c>
      <c r="B2432" s="1" t="s">
        <v>4178</v>
      </c>
      <c r="C2432" s="1" t="s">
        <v>3688</v>
      </c>
      <c r="D2432" s="1" t="s">
        <v>3689</v>
      </c>
      <c r="E2432" s="1" t="s">
        <v>7</v>
      </c>
    </row>
    <row r="2433" customFormat="false" ht="16" hidden="false" customHeight="false" outlineLevel="0" collapsed="false">
      <c r="A2433" s="1" t="s">
        <v>4179</v>
      </c>
      <c r="B2433" s="1" t="s">
        <v>4180</v>
      </c>
      <c r="C2433" s="1" t="s">
        <v>3688</v>
      </c>
      <c r="D2433" s="1" t="s">
        <v>3689</v>
      </c>
      <c r="E2433" s="1" t="s">
        <v>7</v>
      </c>
    </row>
    <row r="2434" customFormat="false" ht="16" hidden="false" customHeight="false" outlineLevel="0" collapsed="false">
      <c r="A2434" s="1" t="s">
        <v>4181</v>
      </c>
      <c r="B2434" s="1" t="s">
        <v>4182</v>
      </c>
      <c r="C2434" s="1" t="s">
        <v>3688</v>
      </c>
      <c r="D2434" s="1" t="s">
        <v>3689</v>
      </c>
      <c r="E2434" s="1" t="s">
        <v>7</v>
      </c>
    </row>
    <row r="2435" customFormat="false" ht="16" hidden="false" customHeight="false" outlineLevel="0" collapsed="false">
      <c r="A2435" s="1" t="s">
        <v>4183</v>
      </c>
      <c r="B2435" s="1" t="s">
        <v>1711</v>
      </c>
      <c r="C2435" s="1" t="s">
        <v>3688</v>
      </c>
      <c r="D2435" s="1" t="s">
        <v>3689</v>
      </c>
      <c r="E2435" s="1" t="s">
        <v>7</v>
      </c>
    </row>
    <row r="2436" customFormat="false" ht="16" hidden="false" customHeight="false" outlineLevel="0" collapsed="false">
      <c r="A2436" s="1" t="s">
        <v>4184</v>
      </c>
      <c r="B2436" s="1" t="s">
        <v>1711</v>
      </c>
      <c r="C2436" s="1" t="s">
        <v>3688</v>
      </c>
      <c r="D2436" s="1" t="s">
        <v>3729</v>
      </c>
      <c r="E2436" s="1" t="s">
        <v>7</v>
      </c>
    </row>
    <row r="2437" customFormat="false" ht="16" hidden="false" customHeight="false" outlineLevel="0" collapsed="false">
      <c r="A2437" s="1" t="s">
        <v>4185</v>
      </c>
      <c r="B2437" s="1" t="s">
        <v>4186</v>
      </c>
      <c r="C2437" s="1" t="s">
        <v>3688</v>
      </c>
      <c r="D2437" s="1" t="s">
        <v>3689</v>
      </c>
      <c r="E2437" s="1" t="s">
        <v>7</v>
      </c>
    </row>
    <row r="2438" customFormat="false" ht="16" hidden="false" customHeight="false" outlineLevel="0" collapsed="false">
      <c r="A2438" s="1" t="s">
        <v>4187</v>
      </c>
      <c r="B2438" s="1" t="s">
        <v>4188</v>
      </c>
      <c r="C2438" s="1" t="s">
        <v>3688</v>
      </c>
      <c r="D2438" s="1" t="s">
        <v>3689</v>
      </c>
      <c r="E2438" s="1" t="s">
        <v>7</v>
      </c>
    </row>
    <row r="2439" customFormat="false" ht="16" hidden="false" customHeight="false" outlineLevel="0" collapsed="false">
      <c r="A2439" s="1" t="s">
        <v>4189</v>
      </c>
      <c r="B2439" s="1" t="s">
        <v>4190</v>
      </c>
      <c r="C2439" s="1" t="s">
        <v>3688</v>
      </c>
      <c r="D2439" s="1" t="s">
        <v>3689</v>
      </c>
      <c r="E2439" s="1" t="s">
        <v>7</v>
      </c>
    </row>
    <row r="2440" customFormat="false" ht="16" hidden="false" customHeight="false" outlineLevel="0" collapsed="false">
      <c r="A2440" s="1" t="s">
        <v>4191</v>
      </c>
      <c r="B2440" s="1" t="s">
        <v>4192</v>
      </c>
      <c r="C2440" s="1" t="s">
        <v>3688</v>
      </c>
      <c r="D2440" s="1" t="s">
        <v>3689</v>
      </c>
      <c r="E2440" s="1" t="s">
        <v>7</v>
      </c>
    </row>
    <row r="2441" customFormat="false" ht="16" hidden="false" customHeight="false" outlineLevel="0" collapsed="false">
      <c r="A2441" s="1" t="s">
        <v>4193</v>
      </c>
      <c r="B2441" s="1" t="s">
        <v>1713</v>
      </c>
      <c r="C2441" s="1" t="s">
        <v>3688</v>
      </c>
      <c r="D2441" s="1" t="s">
        <v>3689</v>
      </c>
      <c r="E2441" s="1" t="s">
        <v>1714</v>
      </c>
    </row>
    <row r="2442" customFormat="false" ht="16" hidden="false" customHeight="false" outlineLevel="0" collapsed="false">
      <c r="A2442" s="1" t="s">
        <v>4194</v>
      </c>
      <c r="B2442" s="1" t="s">
        <v>1713</v>
      </c>
      <c r="C2442" s="1" t="s">
        <v>3688</v>
      </c>
      <c r="D2442" s="1" t="s">
        <v>3727</v>
      </c>
      <c r="E2442" s="1" t="s">
        <v>1714</v>
      </c>
    </row>
    <row r="2443" customFormat="false" ht="16" hidden="false" customHeight="false" outlineLevel="0" collapsed="false">
      <c r="A2443" s="1" t="s">
        <v>4195</v>
      </c>
      <c r="B2443" s="1" t="s">
        <v>1713</v>
      </c>
      <c r="C2443" s="1" t="s">
        <v>3688</v>
      </c>
      <c r="D2443" s="1" t="s">
        <v>3729</v>
      </c>
      <c r="E2443" s="1" t="s">
        <v>1714</v>
      </c>
    </row>
    <row r="2444" customFormat="false" ht="16" hidden="false" customHeight="false" outlineLevel="0" collapsed="false">
      <c r="A2444" s="1" t="s">
        <v>4196</v>
      </c>
      <c r="B2444" s="1" t="s">
        <v>1713</v>
      </c>
      <c r="C2444" s="1" t="s">
        <v>3688</v>
      </c>
      <c r="D2444" s="1" t="s">
        <v>770</v>
      </c>
      <c r="E2444" s="1" t="s">
        <v>1714</v>
      </c>
    </row>
    <row r="2445" customFormat="false" ht="16" hidden="false" customHeight="false" outlineLevel="0" collapsed="false">
      <c r="A2445" s="1" t="s">
        <v>4197</v>
      </c>
      <c r="B2445" s="1" t="s">
        <v>4198</v>
      </c>
      <c r="C2445" s="1" t="s">
        <v>3688</v>
      </c>
      <c r="D2445" s="1" t="s">
        <v>3689</v>
      </c>
      <c r="E2445" s="1" t="s">
        <v>7</v>
      </c>
    </row>
    <row r="2446" customFormat="false" ht="16" hidden="false" customHeight="false" outlineLevel="0" collapsed="false">
      <c r="A2446" s="1" t="s">
        <v>4199</v>
      </c>
      <c r="B2446" s="1" t="s">
        <v>4200</v>
      </c>
      <c r="C2446" s="1" t="s">
        <v>3688</v>
      </c>
      <c r="D2446" s="1" t="s">
        <v>3689</v>
      </c>
      <c r="E2446" s="1" t="s">
        <v>7</v>
      </c>
    </row>
    <row r="2447" customFormat="false" ht="16" hidden="false" customHeight="false" outlineLevel="0" collapsed="false">
      <c r="A2447" s="1" t="s">
        <v>4201</v>
      </c>
      <c r="B2447" s="1" t="s">
        <v>4202</v>
      </c>
      <c r="C2447" s="1" t="s">
        <v>3688</v>
      </c>
      <c r="D2447" s="1" t="s">
        <v>3689</v>
      </c>
      <c r="E2447" s="1" t="s">
        <v>7</v>
      </c>
    </row>
    <row r="2448" customFormat="false" ht="16" hidden="false" customHeight="false" outlineLevel="0" collapsed="false">
      <c r="A2448" s="1" t="s">
        <v>4203</v>
      </c>
      <c r="B2448" s="1" t="s">
        <v>4204</v>
      </c>
      <c r="C2448" s="1" t="s">
        <v>3688</v>
      </c>
      <c r="D2448" s="1" t="s">
        <v>3689</v>
      </c>
      <c r="E2448" s="1" t="s">
        <v>7</v>
      </c>
    </row>
    <row r="2449" customFormat="false" ht="16" hidden="false" customHeight="false" outlineLevel="0" collapsed="false">
      <c r="A2449" s="1" t="s">
        <v>4205</v>
      </c>
      <c r="B2449" s="1" t="s">
        <v>4206</v>
      </c>
      <c r="C2449" s="1" t="s">
        <v>3688</v>
      </c>
      <c r="D2449" s="1" t="s">
        <v>3689</v>
      </c>
      <c r="E2449" s="1" t="s">
        <v>7</v>
      </c>
    </row>
    <row r="2450" customFormat="false" ht="16" hidden="false" customHeight="false" outlineLevel="0" collapsed="false">
      <c r="A2450" s="1" t="s">
        <v>4207</v>
      </c>
      <c r="B2450" s="1" t="s">
        <v>4208</v>
      </c>
      <c r="C2450" s="1" t="s">
        <v>3688</v>
      </c>
      <c r="D2450" s="1" t="s">
        <v>3689</v>
      </c>
      <c r="E2450" s="1" t="s">
        <v>7</v>
      </c>
    </row>
    <row r="2451" customFormat="false" ht="16" hidden="false" customHeight="false" outlineLevel="0" collapsed="false">
      <c r="A2451" s="1" t="s">
        <v>4209</v>
      </c>
      <c r="B2451" s="1" t="s">
        <v>4210</v>
      </c>
      <c r="C2451" s="1" t="s">
        <v>3688</v>
      </c>
      <c r="D2451" s="1" t="s">
        <v>3689</v>
      </c>
      <c r="E2451" s="1" t="s">
        <v>7</v>
      </c>
    </row>
    <row r="2452" customFormat="false" ht="16" hidden="false" customHeight="false" outlineLevel="0" collapsed="false">
      <c r="A2452" s="1" t="s">
        <v>4211</v>
      </c>
      <c r="B2452" s="1" t="s">
        <v>1773</v>
      </c>
      <c r="C2452" s="1" t="s">
        <v>3688</v>
      </c>
      <c r="D2452" s="1" t="s">
        <v>770</v>
      </c>
      <c r="E2452" s="1" t="s">
        <v>7</v>
      </c>
    </row>
    <row r="2453" customFormat="false" ht="16" hidden="false" customHeight="false" outlineLevel="0" collapsed="false">
      <c r="A2453" s="1" t="s">
        <v>4212</v>
      </c>
      <c r="B2453" s="1" t="s">
        <v>4213</v>
      </c>
      <c r="C2453" s="1" t="s">
        <v>3688</v>
      </c>
      <c r="D2453" s="1" t="s">
        <v>3689</v>
      </c>
      <c r="E2453" s="1" t="s">
        <v>7</v>
      </c>
    </row>
    <row r="2454" customFormat="false" ht="16" hidden="false" customHeight="false" outlineLevel="0" collapsed="false">
      <c r="A2454" s="1" t="s">
        <v>4214</v>
      </c>
      <c r="B2454" s="1" t="s">
        <v>4215</v>
      </c>
      <c r="C2454" s="1" t="s">
        <v>3688</v>
      </c>
      <c r="D2454" s="1" t="s">
        <v>3689</v>
      </c>
      <c r="E2454" s="1" t="s">
        <v>7</v>
      </c>
    </row>
    <row r="2455" customFormat="false" ht="16" hidden="false" customHeight="false" outlineLevel="0" collapsed="false">
      <c r="A2455" s="1" t="s">
        <v>4216</v>
      </c>
      <c r="B2455" s="1" t="s">
        <v>1812</v>
      </c>
      <c r="C2455" s="1" t="s">
        <v>3688</v>
      </c>
      <c r="D2455" s="1" t="s">
        <v>3689</v>
      </c>
      <c r="E2455" s="1" t="s">
        <v>7</v>
      </c>
    </row>
    <row r="2456" customFormat="false" ht="16" hidden="false" customHeight="false" outlineLevel="0" collapsed="false">
      <c r="A2456" s="1" t="s">
        <v>4217</v>
      </c>
      <c r="B2456" s="1" t="s">
        <v>4218</v>
      </c>
      <c r="C2456" s="1" t="s">
        <v>3688</v>
      </c>
      <c r="D2456" s="1" t="s">
        <v>3689</v>
      </c>
      <c r="E2456" s="1" t="s">
        <v>7</v>
      </c>
    </row>
    <row r="2457" customFormat="false" ht="16" hidden="false" customHeight="false" outlineLevel="0" collapsed="false">
      <c r="A2457" s="1" t="s">
        <v>4219</v>
      </c>
      <c r="B2457" s="1" t="s">
        <v>1814</v>
      </c>
      <c r="C2457" s="1" t="s">
        <v>3688</v>
      </c>
      <c r="D2457" s="1" t="s">
        <v>3689</v>
      </c>
      <c r="E2457" s="1" t="s">
        <v>7</v>
      </c>
    </row>
    <row r="2458" customFormat="false" ht="16" hidden="false" customHeight="false" outlineLevel="0" collapsed="false">
      <c r="A2458" s="1" t="s">
        <v>4220</v>
      </c>
      <c r="B2458" s="1" t="s">
        <v>1816</v>
      </c>
      <c r="C2458" s="1" t="s">
        <v>3688</v>
      </c>
      <c r="D2458" s="1" t="s">
        <v>3689</v>
      </c>
      <c r="E2458" s="1" t="s">
        <v>7</v>
      </c>
    </row>
    <row r="2459" customFormat="false" ht="16" hidden="false" customHeight="false" outlineLevel="0" collapsed="false">
      <c r="A2459" s="1" t="s">
        <v>4221</v>
      </c>
      <c r="B2459" s="1" t="s">
        <v>4222</v>
      </c>
      <c r="C2459" s="1" t="s">
        <v>3688</v>
      </c>
      <c r="D2459" s="1" t="s">
        <v>3689</v>
      </c>
      <c r="E2459" s="1" t="s">
        <v>7</v>
      </c>
    </row>
    <row r="2460" customFormat="false" ht="16" hidden="false" customHeight="false" outlineLevel="0" collapsed="false">
      <c r="A2460" s="1" t="s">
        <v>4223</v>
      </c>
      <c r="B2460" s="1" t="s">
        <v>4224</v>
      </c>
      <c r="C2460" s="1" t="s">
        <v>3688</v>
      </c>
      <c r="D2460" s="1" t="s">
        <v>3689</v>
      </c>
      <c r="E2460" s="1" t="s">
        <v>7</v>
      </c>
    </row>
    <row r="2461" customFormat="false" ht="16" hidden="false" customHeight="false" outlineLevel="0" collapsed="false">
      <c r="A2461" s="1" t="s">
        <v>4225</v>
      </c>
      <c r="B2461" s="1" t="s">
        <v>4226</v>
      </c>
      <c r="C2461" s="1" t="s">
        <v>3688</v>
      </c>
      <c r="D2461" s="1" t="s">
        <v>3689</v>
      </c>
      <c r="E2461" s="1" t="s">
        <v>7</v>
      </c>
    </row>
    <row r="2462" customFormat="false" ht="16" hidden="false" customHeight="false" outlineLevel="0" collapsed="false">
      <c r="A2462" s="1" t="s">
        <v>4227</v>
      </c>
      <c r="B2462" s="1" t="s">
        <v>4228</v>
      </c>
      <c r="C2462" s="1" t="s">
        <v>3688</v>
      </c>
      <c r="D2462" s="1" t="s">
        <v>3689</v>
      </c>
      <c r="E2462" s="1" t="s">
        <v>7</v>
      </c>
    </row>
    <row r="2463" customFormat="false" ht="16" hidden="false" customHeight="false" outlineLevel="0" collapsed="false">
      <c r="A2463" s="1" t="s">
        <v>4229</v>
      </c>
      <c r="B2463" s="1" t="s">
        <v>4228</v>
      </c>
      <c r="C2463" s="1" t="s">
        <v>3688</v>
      </c>
      <c r="D2463" s="1" t="s">
        <v>3727</v>
      </c>
      <c r="E2463" s="1" t="s">
        <v>7</v>
      </c>
    </row>
    <row r="2464" customFormat="false" ht="16" hidden="false" customHeight="false" outlineLevel="0" collapsed="false">
      <c r="A2464" s="1" t="s">
        <v>4230</v>
      </c>
      <c r="B2464" s="1" t="s">
        <v>4228</v>
      </c>
      <c r="C2464" s="1" t="s">
        <v>3688</v>
      </c>
      <c r="D2464" s="1" t="s">
        <v>3729</v>
      </c>
      <c r="E2464" s="1" t="s">
        <v>7</v>
      </c>
    </row>
    <row r="2465" customFormat="false" ht="16" hidden="false" customHeight="false" outlineLevel="0" collapsed="false">
      <c r="A2465" s="1" t="s">
        <v>4231</v>
      </c>
      <c r="B2465" s="1" t="s">
        <v>4228</v>
      </c>
      <c r="C2465" s="1" t="s">
        <v>3688</v>
      </c>
      <c r="D2465" s="1" t="s">
        <v>770</v>
      </c>
      <c r="E2465" s="1" t="s">
        <v>7</v>
      </c>
    </row>
    <row r="2466" customFormat="false" ht="16" hidden="false" customHeight="false" outlineLevel="0" collapsed="false">
      <c r="A2466" s="1" t="s">
        <v>4232</v>
      </c>
      <c r="B2466" s="1" t="s">
        <v>4233</v>
      </c>
      <c r="C2466" s="1" t="s">
        <v>3688</v>
      </c>
      <c r="D2466" s="1" t="s">
        <v>3689</v>
      </c>
      <c r="E2466" s="1" t="s">
        <v>7</v>
      </c>
    </row>
    <row r="2467" customFormat="false" ht="16" hidden="false" customHeight="false" outlineLevel="0" collapsed="false">
      <c r="A2467" s="1" t="s">
        <v>4234</v>
      </c>
      <c r="B2467" s="1" t="s">
        <v>4235</v>
      </c>
      <c r="C2467" s="1" t="s">
        <v>3688</v>
      </c>
      <c r="D2467" s="1" t="s">
        <v>3689</v>
      </c>
      <c r="E2467" s="1" t="s">
        <v>7</v>
      </c>
    </row>
    <row r="2468" customFormat="false" ht="16" hidden="false" customHeight="false" outlineLevel="0" collapsed="false">
      <c r="A2468" s="1" t="s">
        <v>4236</v>
      </c>
      <c r="B2468" s="1" t="s">
        <v>4237</v>
      </c>
      <c r="C2468" s="1" t="s">
        <v>3688</v>
      </c>
      <c r="D2468" s="1" t="s">
        <v>3689</v>
      </c>
      <c r="E2468" s="1" t="s">
        <v>7</v>
      </c>
    </row>
    <row r="2469" customFormat="false" ht="16" hidden="false" customHeight="false" outlineLevel="0" collapsed="false">
      <c r="A2469" s="1" t="s">
        <v>4238</v>
      </c>
      <c r="B2469" s="1" t="s">
        <v>4239</v>
      </c>
      <c r="C2469" s="1" t="s">
        <v>3688</v>
      </c>
      <c r="D2469" s="1" t="s">
        <v>3689</v>
      </c>
      <c r="E2469" s="1" t="s">
        <v>7</v>
      </c>
    </row>
    <row r="2470" customFormat="false" ht="16" hidden="false" customHeight="false" outlineLevel="0" collapsed="false">
      <c r="A2470" s="1" t="s">
        <v>4240</v>
      </c>
      <c r="B2470" s="1" t="s">
        <v>4241</v>
      </c>
      <c r="C2470" s="1" t="s">
        <v>3688</v>
      </c>
      <c r="D2470" s="1" t="s">
        <v>3689</v>
      </c>
      <c r="E2470" s="1" t="s">
        <v>7</v>
      </c>
    </row>
    <row r="2471" customFormat="false" ht="16" hidden="false" customHeight="false" outlineLevel="0" collapsed="false">
      <c r="A2471" s="1" t="s">
        <v>4242</v>
      </c>
      <c r="B2471" s="1" t="s">
        <v>4243</v>
      </c>
      <c r="C2471" s="1" t="s">
        <v>3688</v>
      </c>
      <c r="D2471" s="1" t="s">
        <v>3689</v>
      </c>
      <c r="E2471" s="1" t="s">
        <v>7</v>
      </c>
    </row>
    <row r="2472" customFormat="false" ht="16" hidden="false" customHeight="false" outlineLevel="0" collapsed="false">
      <c r="A2472" s="1" t="s">
        <v>4244</v>
      </c>
      <c r="B2472" s="1" t="s">
        <v>47</v>
      </c>
      <c r="C2472" s="1" t="s">
        <v>3688</v>
      </c>
      <c r="D2472" s="1" t="s">
        <v>3689</v>
      </c>
      <c r="E2472" s="1" t="s">
        <v>7</v>
      </c>
    </row>
    <row r="2473" customFormat="false" ht="16" hidden="false" customHeight="false" outlineLevel="0" collapsed="false">
      <c r="A2473" s="1" t="s">
        <v>4245</v>
      </c>
      <c r="B2473" s="1" t="s">
        <v>47</v>
      </c>
      <c r="C2473" s="1" t="s">
        <v>3688</v>
      </c>
      <c r="D2473" s="1" t="s">
        <v>3727</v>
      </c>
      <c r="E2473" s="1" t="s">
        <v>7</v>
      </c>
    </row>
    <row r="2474" customFormat="false" ht="16" hidden="false" customHeight="false" outlineLevel="0" collapsed="false">
      <c r="A2474" s="1" t="s">
        <v>4246</v>
      </c>
      <c r="B2474" s="1" t="s">
        <v>47</v>
      </c>
      <c r="C2474" s="1" t="s">
        <v>3688</v>
      </c>
      <c r="D2474" s="1" t="s">
        <v>3729</v>
      </c>
      <c r="E2474" s="1" t="s">
        <v>7</v>
      </c>
    </row>
    <row r="2475" customFormat="false" ht="16" hidden="false" customHeight="false" outlineLevel="0" collapsed="false">
      <c r="A2475" s="1" t="s">
        <v>4247</v>
      </c>
      <c r="B2475" s="1" t="s">
        <v>47</v>
      </c>
      <c r="C2475" s="1" t="s">
        <v>3688</v>
      </c>
      <c r="D2475" s="1" t="s">
        <v>770</v>
      </c>
      <c r="E2475" s="1" t="s">
        <v>7</v>
      </c>
    </row>
    <row r="2476" customFormat="false" ht="16" hidden="false" customHeight="false" outlineLevel="0" collapsed="false">
      <c r="A2476" s="1" t="s">
        <v>4248</v>
      </c>
      <c r="B2476" s="1" t="s">
        <v>4249</v>
      </c>
      <c r="C2476" s="1" t="s">
        <v>3688</v>
      </c>
      <c r="D2476" s="1" t="s">
        <v>3689</v>
      </c>
      <c r="E2476" s="1" t="s">
        <v>7</v>
      </c>
    </row>
    <row r="2477" customFormat="false" ht="16" hidden="false" customHeight="false" outlineLevel="0" collapsed="false">
      <c r="A2477" s="1" t="s">
        <v>4250</v>
      </c>
      <c r="B2477" s="1" t="s">
        <v>4251</v>
      </c>
      <c r="C2477" s="1" t="s">
        <v>3688</v>
      </c>
      <c r="D2477" s="1" t="s">
        <v>3689</v>
      </c>
      <c r="E2477" s="1" t="s">
        <v>7</v>
      </c>
    </row>
    <row r="2478" customFormat="false" ht="16" hidden="false" customHeight="false" outlineLevel="0" collapsed="false">
      <c r="A2478" s="1" t="s">
        <v>4252</v>
      </c>
      <c r="B2478" s="1" t="s">
        <v>4253</v>
      </c>
      <c r="C2478" s="1" t="s">
        <v>3688</v>
      </c>
      <c r="D2478" s="1" t="s">
        <v>3689</v>
      </c>
      <c r="E2478" s="1" t="s">
        <v>7</v>
      </c>
    </row>
    <row r="2479" customFormat="false" ht="16" hidden="false" customHeight="false" outlineLevel="0" collapsed="false">
      <c r="A2479" s="1" t="s">
        <v>4254</v>
      </c>
      <c r="B2479" s="1" t="s">
        <v>4255</v>
      </c>
      <c r="C2479" s="1" t="s">
        <v>3688</v>
      </c>
      <c r="D2479" s="1" t="s">
        <v>3689</v>
      </c>
      <c r="E2479" s="1" t="s">
        <v>7</v>
      </c>
    </row>
    <row r="2480" customFormat="false" ht="16" hidden="false" customHeight="false" outlineLevel="0" collapsed="false">
      <c r="A2480" s="1" t="s">
        <v>4256</v>
      </c>
      <c r="B2480" s="1" t="s">
        <v>4257</v>
      </c>
      <c r="C2480" s="1" t="s">
        <v>3688</v>
      </c>
      <c r="D2480" s="1" t="s">
        <v>3689</v>
      </c>
      <c r="E2480" s="1" t="s">
        <v>7</v>
      </c>
    </row>
    <row r="2481" customFormat="false" ht="16" hidden="false" customHeight="false" outlineLevel="0" collapsed="false">
      <c r="A2481" s="1" t="s">
        <v>4258</v>
      </c>
      <c r="B2481" s="1" t="s">
        <v>1916</v>
      </c>
      <c r="C2481" s="1" t="s">
        <v>3688</v>
      </c>
      <c r="D2481" s="1" t="s">
        <v>3689</v>
      </c>
      <c r="E2481" s="1" t="s">
        <v>7</v>
      </c>
    </row>
    <row r="2482" customFormat="false" ht="16" hidden="false" customHeight="false" outlineLevel="0" collapsed="false">
      <c r="A2482" s="1" t="s">
        <v>4259</v>
      </c>
      <c r="B2482" s="1" t="s">
        <v>1918</v>
      </c>
      <c r="C2482" s="1" t="s">
        <v>3688</v>
      </c>
      <c r="D2482" s="1" t="s">
        <v>3689</v>
      </c>
      <c r="E2482" s="1" t="s">
        <v>7</v>
      </c>
    </row>
    <row r="2483" customFormat="false" ht="16" hidden="false" customHeight="false" outlineLevel="0" collapsed="false">
      <c r="A2483" s="1" t="s">
        <v>4260</v>
      </c>
      <c r="B2483" s="1" t="s">
        <v>59</v>
      </c>
      <c r="C2483" s="1" t="s">
        <v>3688</v>
      </c>
      <c r="D2483" s="1" t="s">
        <v>3689</v>
      </c>
      <c r="E2483" s="1" t="s">
        <v>7</v>
      </c>
    </row>
    <row r="2484" customFormat="false" ht="16" hidden="false" customHeight="false" outlineLevel="0" collapsed="false">
      <c r="A2484" s="1" t="s">
        <v>4261</v>
      </c>
      <c r="B2484" s="1" t="s">
        <v>59</v>
      </c>
      <c r="C2484" s="1" t="s">
        <v>3688</v>
      </c>
      <c r="D2484" s="1" t="s">
        <v>3727</v>
      </c>
      <c r="E2484" s="1" t="s">
        <v>7</v>
      </c>
    </row>
    <row r="2485" customFormat="false" ht="16" hidden="false" customHeight="false" outlineLevel="0" collapsed="false">
      <c r="A2485" s="1" t="s">
        <v>4262</v>
      </c>
      <c r="B2485" s="1" t="s">
        <v>59</v>
      </c>
      <c r="C2485" s="1" t="s">
        <v>3688</v>
      </c>
      <c r="D2485" s="1" t="s">
        <v>3729</v>
      </c>
      <c r="E2485" s="1" t="s">
        <v>7</v>
      </c>
    </row>
    <row r="2486" customFormat="false" ht="16" hidden="false" customHeight="false" outlineLevel="0" collapsed="false">
      <c r="A2486" s="1" t="s">
        <v>4263</v>
      </c>
      <c r="B2486" s="1" t="s">
        <v>59</v>
      </c>
      <c r="C2486" s="1" t="s">
        <v>3688</v>
      </c>
      <c r="D2486" s="1" t="s">
        <v>770</v>
      </c>
      <c r="E2486" s="1" t="s">
        <v>7</v>
      </c>
    </row>
    <row r="2487" customFormat="false" ht="16" hidden="false" customHeight="false" outlineLevel="0" collapsed="false">
      <c r="A2487" s="1" t="s">
        <v>4264</v>
      </c>
      <c r="B2487" s="1" t="s">
        <v>4265</v>
      </c>
      <c r="C2487" s="1" t="s">
        <v>3688</v>
      </c>
      <c r="D2487" s="1" t="s">
        <v>3689</v>
      </c>
      <c r="E2487" s="1" t="s">
        <v>7</v>
      </c>
    </row>
    <row r="2488" customFormat="false" ht="16" hidden="false" customHeight="false" outlineLevel="0" collapsed="false">
      <c r="A2488" s="1" t="s">
        <v>4266</v>
      </c>
      <c r="B2488" s="1" t="s">
        <v>4267</v>
      </c>
      <c r="C2488" s="1" t="s">
        <v>3688</v>
      </c>
      <c r="D2488" s="1" t="s">
        <v>3689</v>
      </c>
      <c r="E2488" s="1" t="s">
        <v>7</v>
      </c>
    </row>
    <row r="2489" customFormat="false" ht="16" hidden="false" customHeight="false" outlineLevel="0" collapsed="false">
      <c r="A2489" s="1" t="s">
        <v>4268</v>
      </c>
      <c r="B2489" s="1" t="s">
        <v>4269</v>
      </c>
      <c r="C2489" s="1" t="s">
        <v>3688</v>
      </c>
      <c r="D2489" s="1" t="s">
        <v>3689</v>
      </c>
      <c r="E2489" s="1" t="s">
        <v>7</v>
      </c>
    </row>
    <row r="2490" customFormat="false" ht="16" hidden="false" customHeight="false" outlineLevel="0" collapsed="false">
      <c r="A2490" s="1" t="s">
        <v>4270</v>
      </c>
      <c r="B2490" s="1" t="s">
        <v>65</v>
      </c>
      <c r="C2490" s="1" t="s">
        <v>3688</v>
      </c>
      <c r="D2490" s="1" t="s">
        <v>770</v>
      </c>
      <c r="E2490" s="1" t="s">
        <v>7</v>
      </c>
    </row>
    <row r="2491" customFormat="false" ht="16" hidden="false" customHeight="false" outlineLevel="0" collapsed="false">
      <c r="A2491" s="1" t="s">
        <v>4271</v>
      </c>
      <c r="B2491" s="1" t="s">
        <v>4272</v>
      </c>
      <c r="C2491" s="1" t="s">
        <v>3688</v>
      </c>
      <c r="D2491" s="1" t="s">
        <v>3689</v>
      </c>
      <c r="E2491" s="1" t="s">
        <v>7</v>
      </c>
    </row>
    <row r="2492" customFormat="false" ht="16" hidden="false" customHeight="false" outlineLevel="0" collapsed="false">
      <c r="A2492" s="1" t="s">
        <v>4273</v>
      </c>
      <c r="B2492" s="1" t="s">
        <v>1951</v>
      </c>
      <c r="C2492" s="1" t="s">
        <v>3688</v>
      </c>
      <c r="D2492" s="1" t="s">
        <v>3689</v>
      </c>
      <c r="E2492" s="1" t="s">
        <v>7</v>
      </c>
    </row>
    <row r="2493" customFormat="false" ht="16" hidden="false" customHeight="false" outlineLevel="0" collapsed="false">
      <c r="A2493" s="1" t="s">
        <v>4274</v>
      </c>
      <c r="B2493" s="1" t="s">
        <v>1953</v>
      </c>
      <c r="C2493" s="1" t="s">
        <v>3688</v>
      </c>
      <c r="D2493" s="1" t="s">
        <v>3689</v>
      </c>
      <c r="E2493" s="1" t="s">
        <v>7</v>
      </c>
    </row>
    <row r="2494" customFormat="false" ht="16" hidden="false" customHeight="false" outlineLevel="0" collapsed="false">
      <c r="A2494" s="1" t="s">
        <v>4275</v>
      </c>
      <c r="B2494" s="1" t="s">
        <v>4276</v>
      </c>
      <c r="C2494" s="1" t="s">
        <v>3688</v>
      </c>
      <c r="D2494" s="1" t="s">
        <v>3689</v>
      </c>
      <c r="E2494" s="1" t="s">
        <v>7</v>
      </c>
    </row>
    <row r="2495" customFormat="false" ht="16" hidden="false" customHeight="false" outlineLevel="0" collapsed="false">
      <c r="A2495" s="1" t="s">
        <v>4277</v>
      </c>
      <c r="B2495" s="1" t="s">
        <v>51</v>
      </c>
      <c r="C2495" s="1" t="s">
        <v>3688</v>
      </c>
      <c r="D2495" s="1" t="s">
        <v>3689</v>
      </c>
      <c r="E2495" s="1" t="s">
        <v>7</v>
      </c>
    </row>
    <row r="2496" customFormat="false" ht="16" hidden="false" customHeight="false" outlineLevel="0" collapsed="false">
      <c r="A2496" s="1" t="s">
        <v>4278</v>
      </c>
      <c r="B2496" s="1" t="s">
        <v>51</v>
      </c>
      <c r="C2496" s="1" t="s">
        <v>3688</v>
      </c>
      <c r="D2496" s="1" t="s">
        <v>3727</v>
      </c>
      <c r="E2496" s="1" t="s">
        <v>7</v>
      </c>
    </row>
    <row r="2497" customFormat="false" ht="16" hidden="false" customHeight="false" outlineLevel="0" collapsed="false">
      <c r="A2497" s="1" t="s">
        <v>4279</v>
      </c>
      <c r="B2497" s="1" t="s">
        <v>51</v>
      </c>
      <c r="C2497" s="1" t="s">
        <v>3688</v>
      </c>
      <c r="D2497" s="1" t="s">
        <v>3729</v>
      </c>
      <c r="E2497" s="1" t="s">
        <v>7</v>
      </c>
    </row>
    <row r="2498" customFormat="false" ht="16" hidden="false" customHeight="false" outlineLevel="0" collapsed="false">
      <c r="A2498" s="1" t="s">
        <v>4280</v>
      </c>
      <c r="B2498" s="1" t="s">
        <v>51</v>
      </c>
      <c r="C2498" s="1" t="s">
        <v>3688</v>
      </c>
      <c r="D2498" s="1" t="s">
        <v>770</v>
      </c>
      <c r="E2498" s="1" t="s">
        <v>7</v>
      </c>
    </row>
    <row r="2499" customFormat="false" ht="16" hidden="false" customHeight="false" outlineLevel="0" collapsed="false">
      <c r="A2499" s="1" t="s">
        <v>4281</v>
      </c>
      <c r="B2499" s="1" t="s">
        <v>4282</v>
      </c>
      <c r="C2499" s="1" t="s">
        <v>3688</v>
      </c>
      <c r="D2499" s="1" t="s">
        <v>3689</v>
      </c>
      <c r="E2499" s="1" t="s">
        <v>7</v>
      </c>
    </row>
    <row r="2500" customFormat="false" ht="16" hidden="false" customHeight="false" outlineLevel="0" collapsed="false">
      <c r="A2500" s="1" t="s">
        <v>4283</v>
      </c>
      <c r="B2500" s="1" t="s">
        <v>4284</v>
      </c>
      <c r="C2500" s="1" t="s">
        <v>3688</v>
      </c>
      <c r="D2500" s="1" t="s">
        <v>3689</v>
      </c>
      <c r="E2500" s="1" t="s">
        <v>7</v>
      </c>
    </row>
    <row r="2501" customFormat="false" ht="16" hidden="false" customHeight="false" outlineLevel="0" collapsed="false">
      <c r="A2501" s="1" t="s">
        <v>4285</v>
      </c>
      <c r="B2501" s="1" t="s">
        <v>4286</v>
      </c>
      <c r="C2501" s="1" t="s">
        <v>3688</v>
      </c>
      <c r="D2501" s="1" t="s">
        <v>3689</v>
      </c>
      <c r="E2501" s="1" t="s">
        <v>7</v>
      </c>
    </row>
    <row r="2502" customFormat="false" ht="16" hidden="false" customHeight="false" outlineLevel="0" collapsed="false">
      <c r="A2502" s="1" t="s">
        <v>4287</v>
      </c>
      <c r="B2502" s="1" t="s">
        <v>4288</v>
      </c>
      <c r="C2502" s="1" t="s">
        <v>3688</v>
      </c>
      <c r="D2502" s="1" t="s">
        <v>3689</v>
      </c>
      <c r="E2502" s="1" t="s">
        <v>7</v>
      </c>
    </row>
    <row r="2503" customFormat="false" ht="16" hidden="false" customHeight="false" outlineLevel="0" collapsed="false">
      <c r="A2503" s="1" t="s">
        <v>4289</v>
      </c>
      <c r="B2503" s="1" t="s">
        <v>4290</v>
      </c>
      <c r="C2503" s="1" t="s">
        <v>3688</v>
      </c>
      <c r="D2503" s="1" t="s">
        <v>3689</v>
      </c>
      <c r="E2503" s="1" t="s">
        <v>7</v>
      </c>
    </row>
    <row r="2504" customFormat="false" ht="16" hidden="false" customHeight="false" outlineLevel="0" collapsed="false">
      <c r="A2504" s="1" t="s">
        <v>4291</v>
      </c>
      <c r="B2504" s="1" t="s">
        <v>4292</v>
      </c>
      <c r="C2504" s="1" t="s">
        <v>3688</v>
      </c>
      <c r="D2504" s="1" t="s">
        <v>3689</v>
      </c>
      <c r="E2504" s="1" t="s">
        <v>7</v>
      </c>
    </row>
    <row r="2505" customFormat="false" ht="16" hidden="false" customHeight="false" outlineLevel="0" collapsed="false">
      <c r="A2505" s="1" t="s">
        <v>4293</v>
      </c>
      <c r="B2505" s="1" t="s">
        <v>53</v>
      </c>
      <c r="C2505" s="1" t="s">
        <v>3688</v>
      </c>
      <c r="D2505" s="1" t="s">
        <v>3689</v>
      </c>
      <c r="E2505" s="1" t="s">
        <v>7</v>
      </c>
    </row>
    <row r="2506" customFormat="false" ht="16" hidden="false" customHeight="false" outlineLevel="0" collapsed="false">
      <c r="A2506" s="1" t="s">
        <v>4294</v>
      </c>
      <c r="B2506" s="1" t="s">
        <v>53</v>
      </c>
      <c r="C2506" s="1" t="s">
        <v>3688</v>
      </c>
      <c r="D2506" s="1" t="s">
        <v>3727</v>
      </c>
      <c r="E2506" s="1" t="s">
        <v>7</v>
      </c>
    </row>
    <row r="2507" customFormat="false" ht="16" hidden="false" customHeight="false" outlineLevel="0" collapsed="false">
      <c r="A2507" s="1" t="s">
        <v>4295</v>
      </c>
      <c r="B2507" s="1" t="s">
        <v>53</v>
      </c>
      <c r="C2507" s="1" t="s">
        <v>3688</v>
      </c>
      <c r="D2507" s="1" t="s">
        <v>3729</v>
      </c>
      <c r="E2507" s="1" t="s">
        <v>7</v>
      </c>
    </row>
    <row r="2508" customFormat="false" ht="16" hidden="false" customHeight="false" outlineLevel="0" collapsed="false">
      <c r="A2508" s="1" t="s">
        <v>4296</v>
      </c>
      <c r="B2508" s="1" t="s">
        <v>53</v>
      </c>
      <c r="C2508" s="1" t="s">
        <v>3688</v>
      </c>
      <c r="D2508" s="1" t="s">
        <v>770</v>
      </c>
      <c r="E2508" s="1" t="s">
        <v>7</v>
      </c>
    </row>
    <row r="2509" customFormat="false" ht="16" hidden="false" customHeight="false" outlineLevel="0" collapsed="false">
      <c r="A2509" s="1" t="s">
        <v>4297</v>
      </c>
      <c r="B2509" s="1" t="s">
        <v>4298</v>
      </c>
      <c r="C2509" s="1" t="s">
        <v>3688</v>
      </c>
      <c r="D2509" s="1" t="s">
        <v>3689</v>
      </c>
      <c r="E2509" s="1" t="s">
        <v>7</v>
      </c>
    </row>
    <row r="2510" customFormat="false" ht="16" hidden="false" customHeight="false" outlineLevel="0" collapsed="false">
      <c r="A2510" s="1" t="s">
        <v>4299</v>
      </c>
      <c r="B2510" s="1" t="s">
        <v>4300</v>
      </c>
      <c r="C2510" s="1" t="s">
        <v>3688</v>
      </c>
      <c r="D2510" s="1" t="s">
        <v>3689</v>
      </c>
      <c r="E2510" s="1" t="s">
        <v>7</v>
      </c>
    </row>
    <row r="2511" customFormat="false" ht="16" hidden="false" customHeight="false" outlineLevel="0" collapsed="false">
      <c r="A2511" s="1" t="s">
        <v>4301</v>
      </c>
      <c r="B2511" s="1" t="s">
        <v>4302</v>
      </c>
      <c r="C2511" s="1" t="s">
        <v>3688</v>
      </c>
      <c r="D2511" s="1" t="s">
        <v>3689</v>
      </c>
      <c r="E2511" s="1" t="s">
        <v>7</v>
      </c>
    </row>
    <row r="2512" customFormat="false" ht="16" hidden="false" customHeight="false" outlineLevel="0" collapsed="false">
      <c r="A2512" s="1" t="s">
        <v>4303</v>
      </c>
      <c r="B2512" s="1" t="s">
        <v>4304</v>
      </c>
      <c r="C2512" s="1" t="s">
        <v>3688</v>
      </c>
      <c r="D2512" s="1" t="s">
        <v>3689</v>
      </c>
      <c r="E2512" s="1" t="s">
        <v>7</v>
      </c>
    </row>
    <row r="2513" customFormat="false" ht="16" hidden="false" customHeight="false" outlineLevel="0" collapsed="false">
      <c r="A2513" s="1" t="s">
        <v>4305</v>
      </c>
      <c r="B2513" s="1" t="s">
        <v>4306</v>
      </c>
      <c r="C2513" s="1" t="s">
        <v>3688</v>
      </c>
      <c r="D2513" s="1" t="s">
        <v>3689</v>
      </c>
      <c r="E2513" s="1" t="s">
        <v>7</v>
      </c>
    </row>
    <row r="2514" customFormat="false" ht="16" hidden="false" customHeight="false" outlineLevel="0" collapsed="false">
      <c r="A2514" s="1" t="s">
        <v>4307</v>
      </c>
      <c r="B2514" s="1" t="s">
        <v>4308</v>
      </c>
      <c r="C2514" s="1" t="s">
        <v>3688</v>
      </c>
      <c r="D2514" s="1" t="s">
        <v>3689</v>
      </c>
      <c r="E2514" s="1" t="s">
        <v>7</v>
      </c>
    </row>
    <row r="2515" customFormat="false" ht="16" hidden="false" customHeight="false" outlineLevel="0" collapsed="false">
      <c r="A2515" s="1" t="s">
        <v>4309</v>
      </c>
      <c r="B2515" s="1" t="s">
        <v>4310</v>
      </c>
      <c r="C2515" s="1" t="s">
        <v>3688</v>
      </c>
      <c r="D2515" s="1" t="s">
        <v>3689</v>
      </c>
      <c r="E2515" s="1" t="s">
        <v>7</v>
      </c>
    </row>
    <row r="2516" customFormat="false" ht="16" hidden="false" customHeight="false" outlineLevel="0" collapsed="false">
      <c r="A2516" s="1" t="s">
        <v>4311</v>
      </c>
      <c r="B2516" s="1" t="s">
        <v>49</v>
      </c>
      <c r="C2516" s="1" t="s">
        <v>3688</v>
      </c>
      <c r="D2516" s="1" t="s">
        <v>3689</v>
      </c>
      <c r="E2516" s="1" t="s">
        <v>7</v>
      </c>
    </row>
    <row r="2517" customFormat="false" ht="16" hidden="false" customHeight="false" outlineLevel="0" collapsed="false">
      <c r="A2517" s="1" t="s">
        <v>4312</v>
      </c>
      <c r="B2517" s="1" t="s">
        <v>49</v>
      </c>
      <c r="C2517" s="1" t="s">
        <v>3688</v>
      </c>
      <c r="D2517" s="1" t="s">
        <v>3727</v>
      </c>
      <c r="E2517" s="1" t="s">
        <v>7</v>
      </c>
    </row>
    <row r="2518" customFormat="false" ht="16" hidden="false" customHeight="false" outlineLevel="0" collapsed="false">
      <c r="A2518" s="1" t="s">
        <v>4313</v>
      </c>
      <c r="B2518" s="1" t="s">
        <v>49</v>
      </c>
      <c r="C2518" s="1" t="s">
        <v>3688</v>
      </c>
      <c r="D2518" s="1" t="s">
        <v>3729</v>
      </c>
      <c r="E2518" s="1" t="s">
        <v>7</v>
      </c>
    </row>
    <row r="2519" customFormat="false" ht="16" hidden="false" customHeight="false" outlineLevel="0" collapsed="false">
      <c r="A2519" s="1" t="s">
        <v>4314</v>
      </c>
      <c r="B2519" s="1" t="s">
        <v>49</v>
      </c>
      <c r="C2519" s="1" t="s">
        <v>3688</v>
      </c>
      <c r="D2519" s="1" t="s">
        <v>770</v>
      </c>
      <c r="E2519" s="1" t="s">
        <v>7</v>
      </c>
    </row>
    <row r="2520" customFormat="false" ht="16" hidden="false" customHeight="false" outlineLevel="0" collapsed="false">
      <c r="A2520" s="1" t="s">
        <v>4315</v>
      </c>
      <c r="B2520" s="1" t="s">
        <v>4316</v>
      </c>
      <c r="C2520" s="1" t="s">
        <v>3688</v>
      </c>
      <c r="D2520" s="1" t="s">
        <v>3689</v>
      </c>
      <c r="E2520" s="1" t="s">
        <v>7</v>
      </c>
    </row>
    <row r="2521" customFormat="false" ht="16" hidden="false" customHeight="false" outlineLevel="0" collapsed="false">
      <c r="A2521" s="1" t="s">
        <v>4317</v>
      </c>
      <c r="B2521" s="1" t="s">
        <v>4318</v>
      </c>
      <c r="C2521" s="1" t="s">
        <v>3688</v>
      </c>
      <c r="D2521" s="1" t="s">
        <v>3689</v>
      </c>
      <c r="E2521" s="1" t="s">
        <v>7</v>
      </c>
    </row>
    <row r="2522" customFormat="false" ht="16" hidden="false" customHeight="false" outlineLevel="0" collapsed="false">
      <c r="A2522" s="1" t="s">
        <v>4319</v>
      </c>
      <c r="B2522" s="1" t="s">
        <v>4320</v>
      </c>
      <c r="C2522" s="1" t="s">
        <v>3688</v>
      </c>
      <c r="D2522" s="1" t="s">
        <v>3689</v>
      </c>
      <c r="E2522" s="1" t="s">
        <v>7</v>
      </c>
    </row>
    <row r="2523" customFormat="false" ht="16" hidden="false" customHeight="false" outlineLevel="0" collapsed="false">
      <c r="A2523" s="1" t="s">
        <v>4321</v>
      </c>
      <c r="B2523" s="1" t="s">
        <v>4322</v>
      </c>
      <c r="C2523" s="1" t="s">
        <v>3688</v>
      </c>
      <c r="D2523" s="1" t="s">
        <v>3689</v>
      </c>
      <c r="E2523" s="1" t="s">
        <v>7</v>
      </c>
    </row>
    <row r="2524" customFormat="false" ht="16" hidden="false" customHeight="false" outlineLevel="0" collapsed="false">
      <c r="A2524" s="1" t="s">
        <v>4323</v>
      </c>
      <c r="B2524" s="1" t="s">
        <v>4324</v>
      </c>
      <c r="C2524" s="1" t="s">
        <v>3688</v>
      </c>
      <c r="D2524" s="1" t="s">
        <v>3689</v>
      </c>
      <c r="E2524" s="1" t="s">
        <v>7</v>
      </c>
    </row>
    <row r="2525" customFormat="false" ht="16" hidden="false" customHeight="false" outlineLevel="0" collapsed="false">
      <c r="A2525" s="1" t="s">
        <v>4325</v>
      </c>
      <c r="B2525" s="1" t="s">
        <v>4326</v>
      </c>
      <c r="C2525" s="1" t="s">
        <v>3688</v>
      </c>
      <c r="D2525" s="1" t="s">
        <v>3689</v>
      </c>
      <c r="E2525" s="1" t="s">
        <v>7</v>
      </c>
    </row>
    <row r="2526" customFormat="false" ht="16" hidden="false" customHeight="false" outlineLevel="0" collapsed="false">
      <c r="A2526" s="1" t="s">
        <v>4327</v>
      </c>
      <c r="B2526" s="1" t="s">
        <v>4328</v>
      </c>
      <c r="C2526" s="1" t="s">
        <v>3688</v>
      </c>
      <c r="D2526" s="1" t="s">
        <v>3689</v>
      </c>
      <c r="E2526" s="1" t="s">
        <v>7</v>
      </c>
    </row>
    <row r="2527" customFormat="false" ht="16" hidden="false" customHeight="false" outlineLevel="0" collapsed="false">
      <c r="A2527" s="1" t="s">
        <v>4329</v>
      </c>
      <c r="B2527" s="1" t="s">
        <v>4330</v>
      </c>
      <c r="C2527" s="1" t="s">
        <v>3688</v>
      </c>
      <c r="D2527" s="1" t="s">
        <v>3689</v>
      </c>
      <c r="E2527" s="1" t="s">
        <v>7</v>
      </c>
    </row>
    <row r="2528" customFormat="false" ht="16" hidden="false" customHeight="false" outlineLevel="0" collapsed="false">
      <c r="A2528" s="1" t="s">
        <v>4331</v>
      </c>
      <c r="B2528" s="1" t="s">
        <v>4332</v>
      </c>
      <c r="C2528" s="1" t="s">
        <v>3688</v>
      </c>
      <c r="D2528" s="1" t="s">
        <v>3689</v>
      </c>
      <c r="E2528" s="1" t="s">
        <v>7</v>
      </c>
    </row>
    <row r="2529" customFormat="false" ht="16" hidden="false" customHeight="false" outlineLevel="0" collapsed="false">
      <c r="A2529" s="1" t="s">
        <v>4333</v>
      </c>
      <c r="B2529" s="1" t="s">
        <v>4334</v>
      </c>
      <c r="C2529" s="1" t="s">
        <v>3688</v>
      </c>
      <c r="D2529" s="1" t="s">
        <v>3689</v>
      </c>
      <c r="E2529" s="1" t="s">
        <v>7</v>
      </c>
    </row>
    <row r="2530" customFormat="false" ht="16" hidden="false" customHeight="false" outlineLevel="0" collapsed="false">
      <c r="A2530" s="1" t="s">
        <v>4335</v>
      </c>
      <c r="B2530" s="1" t="s">
        <v>4336</v>
      </c>
      <c r="C2530" s="1" t="s">
        <v>3688</v>
      </c>
      <c r="D2530" s="1" t="s">
        <v>3689</v>
      </c>
      <c r="E2530" s="1" t="s">
        <v>7</v>
      </c>
    </row>
    <row r="2531" customFormat="false" ht="16" hidden="false" customHeight="false" outlineLevel="0" collapsed="false">
      <c r="A2531" s="1" t="s">
        <v>4337</v>
      </c>
      <c r="B2531" s="1" t="s">
        <v>4338</v>
      </c>
      <c r="C2531" s="1" t="s">
        <v>3688</v>
      </c>
      <c r="D2531" s="1" t="s">
        <v>3689</v>
      </c>
      <c r="E2531" s="1" t="s">
        <v>7</v>
      </c>
    </row>
    <row r="2532" customFormat="false" ht="16" hidden="false" customHeight="false" outlineLevel="0" collapsed="false">
      <c r="A2532" s="1" t="s">
        <v>4339</v>
      </c>
      <c r="B2532" s="1" t="s">
        <v>4340</v>
      </c>
      <c r="C2532" s="1" t="s">
        <v>3688</v>
      </c>
      <c r="D2532" s="1" t="s">
        <v>3689</v>
      </c>
      <c r="E2532" s="1" t="s">
        <v>7</v>
      </c>
    </row>
    <row r="2533" customFormat="false" ht="16" hidden="false" customHeight="false" outlineLevel="0" collapsed="false">
      <c r="A2533" s="1" t="s">
        <v>4341</v>
      </c>
      <c r="B2533" s="1" t="s">
        <v>4342</v>
      </c>
      <c r="C2533" s="1" t="s">
        <v>3688</v>
      </c>
      <c r="D2533" s="1" t="s">
        <v>3689</v>
      </c>
      <c r="E2533" s="1" t="s">
        <v>7</v>
      </c>
    </row>
    <row r="2534" customFormat="false" ht="16" hidden="false" customHeight="false" outlineLevel="0" collapsed="false">
      <c r="A2534" s="1" t="s">
        <v>4343</v>
      </c>
      <c r="B2534" s="1" t="s">
        <v>2097</v>
      </c>
      <c r="C2534" s="1" t="s">
        <v>3688</v>
      </c>
      <c r="D2534" s="1" t="s">
        <v>3689</v>
      </c>
      <c r="E2534" s="1" t="s">
        <v>7</v>
      </c>
    </row>
    <row r="2535" customFormat="false" ht="16" hidden="false" customHeight="false" outlineLevel="0" collapsed="false">
      <c r="A2535" s="1" t="s">
        <v>4344</v>
      </c>
      <c r="B2535" s="1" t="s">
        <v>4345</v>
      </c>
      <c r="C2535" s="1" t="s">
        <v>3688</v>
      </c>
      <c r="D2535" s="1" t="s">
        <v>3689</v>
      </c>
      <c r="E2535" s="1" t="s">
        <v>7</v>
      </c>
    </row>
    <row r="2536" customFormat="false" ht="16" hidden="false" customHeight="false" outlineLevel="0" collapsed="false">
      <c r="A2536" s="1" t="s">
        <v>4346</v>
      </c>
      <c r="B2536" s="1" t="s">
        <v>4347</v>
      </c>
      <c r="C2536" s="1" t="s">
        <v>3688</v>
      </c>
      <c r="D2536" s="1" t="s">
        <v>3689</v>
      </c>
      <c r="E2536" s="1" t="s">
        <v>7</v>
      </c>
    </row>
    <row r="2537" customFormat="false" ht="16" hidden="false" customHeight="false" outlineLevel="0" collapsed="false">
      <c r="A2537" s="1" t="s">
        <v>4348</v>
      </c>
      <c r="B2537" s="1" t="s">
        <v>2141</v>
      </c>
      <c r="C2537" s="1" t="s">
        <v>3688</v>
      </c>
      <c r="D2537" s="1" t="s">
        <v>3689</v>
      </c>
      <c r="E2537" s="1" t="s">
        <v>7</v>
      </c>
    </row>
    <row r="2538" customFormat="false" ht="16" hidden="false" customHeight="false" outlineLevel="0" collapsed="false">
      <c r="A2538" s="1" t="s">
        <v>4349</v>
      </c>
      <c r="B2538" s="1" t="s">
        <v>4350</v>
      </c>
      <c r="C2538" s="1" t="s">
        <v>3688</v>
      </c>
      <c r="D2538" s="1" t="s">
        <v>3689</v>
      </c>
      <c r="E2538" s="1" t="s">
        <v>7</v>
      </c>
    </row>
    <row r="2539" customFormat="false" ht="16" hidden="false" customHeight="false" outlineLevel="0" collapsed="false">
      <c r="A2539" s="1" t="s">
        <v>4351</v>
      </c>
      <c r="B2539" s="1" t="s">
        <v>4352</v>
      </c>
      <c r="C2539" s="1" t="s">
        <v>3688</v>
      </c>
      <c r="D2539" s="1" t="s">
        <v>3689</v>
      </c>
      <c r="E2539" s="1" t="s">
        <v>7</v>
      </c>
    </row>
    <row r="2540" customFormat="false" ht="16" hidden="false" customHeight="false" outlineLevel="0" collapsed="false">
      <c r="A2540" s="1" t="s">
        <v>4353</v>
      </c>
      <c r="B2540" s="1" t="s">
        <v>2145</v>
      </c>
      <c r="C2540" s="1" t="s">
        <v>3688</v>
      </c>
      <c r="D2540" s="1" t="s">
        <v>3689</v>
      </c>
      <c r="E2540" s="1" t="s">
        <v>7</v>
      </c>
    </row>
    <row r="2541" customFormat="false" ht="16" hidden="false" customHeight="false" outlineLevel="0" collapsed="false">
      <c r="A2541" s="1" t="s">
        <v>4354</v>
      </c>
      <c r="B2541" s="1" t="s">
        <v>4355</v>
      </c>
      <c r="C2541" s="1" t="s">
        <v>3688</v>
      </c>
      <c r="D2541" s="1" t="s">
        <v>3689</v>
      </c>
      <c r="E2541" s="1" t="s">
        <v>7</v>
      </c>
    </row>
    <row r="2542" customFormat="false" ht="16" hidden="false" customHeight="false" outlineLevel="0" collapsed="false">
      <c r="A2542" s="1" t="s">
        <v>4356</v>
      </c>
      <c r="B2542" s="1" t="s">
        <v>2147</v>
      </c>
      <c r="C2542" s="1" t="s">
        <v>3688</v>
      </c>
      <c r="D2542" s="1" t="s">
        <v>3689</v>
      </c>
      <c r="E2542" s="1" t="s">
        <v>7</v>
      </c>
    </row>
    <row r="2543" customFormat="false" ht="16" hidden="false" customHeight="false" outlineLevel="0" collapsed="false">
      <c r="A2543" s="1" t="s">
        <v>4357</v>
      </c>
      <c r="B2543" s="1" t="s">
        <v>4358</v>
      </c>
      <c r="C2543" s="1" t="s">
        <v>3688</v>
      </c>
      <c r="D2543" s="1" t="s">
        <v>3689</v>
      </c>
      <c r="E2543" s="1" t="s">
        <v>7</v>
      </c>
    </row>
    <row r="2544" customFormat="false" ht="16" hidden="false" customHeight="false" outlineLevel="0" collapsed="false">
      <c r="A2544" s="1" t="s">
        <v>4359</v>
      </c>
      <c r="B2544" s="1" t="s">
        <v>4360</v>
      </c>
      <c r="C2544" s="1" t="s">
        <v>3688</v>
      </c>
      <c r="D2544" s="1" t="s">
        <v>3689</v>
      </c>
      <c r="E2544" s="1" t="s">
        <v>7</v>
      </c>
    </row>
    <row r="2545" customFormat="false" ht="16" hidden="false" customHeight="false" outlineLevel="0" collapsed="false">
      <c r="A2545" s="1" t="s">
        <v>4361</v>
      </c>
      <c r="B2545" s="1" t="s">
        <v>4362</v>
      </c>
      <c r="C2545" s="1" t="s">
        <v>3688</v>
      </c>
      <c r="D2545" s="1" t="s">
        <v>3689</v>
      </c>
      <c r="E2545" s="1" t="s">
        <v>7</v>
      </c>
    </row>
    <row r="2546" customFormat="false" ht="16" hidden="false" customHeight="false" outlineLevel="0" collapsed="false">
      <c r="A2546" s="1" t="s">
        <v>4363</v>
      </c>
      <c r="B2546" s="1" t="s">
        <v>4364</v>
      </c>
      <c r="C2546" s="1" t="s">
        <v>3688</v>
      </c>
      <c r="D2546" s="1" t="s">
        <v>3689</v>
      </c>
      <c r="E2546" s="1" t="s">
        <v>7</v>
      </c>
    </row>
    <row r="2547" customFormat="false" ht="16" hidden="false" customHeight="false" outlineLevel="0" collapsed="false">
      <c r="A2547" s="1" t="s">
        <v>4365</v>
      </c>
      <c r="B2547" s="1" t="s">
        <v>55</v>
      </c>
      <c r="C2547" s="1" t="s">
        <v>3688</v>
      </c>
      <c r="D2547" s="1" t="s">
        <v>3689</v>
      </c>
      <c r="E2547" s="1" t="s">
        <v>7</v>
      </c>
    </row>
    <row r="2548" customFormat="false" ht="16" hidden="false" customHeight="false" outlineLevel="0" collapsed="false">
      <c r="A2548" s="1" t="s">
        <v>4366</v>
      </c>
      <c r="B2548" s="1" t="s">
        <v>55</v>
      </c>
      <c r="C2548" s="1" t="s">
        <v>3688</v>
      </c>
      <c r="D2548" s="1" t="s">
        <v>3727</v>
      </c>
      <c r="E2548" s="1" t="s">
        <v>7</v>
      </c>
    </row>
    <row r="2549" customFormat="false" ht="16" hidden="false" customHeight="false" outlineLevel="0" collapsed="false">
      <c r="A2549" s="1" t="s">
        <v>4367</v>
      </c>
      <c r="B2549" s="1" t="s">
        <v>55</v>
      </c>
      <c r="C2549" s="1" t="s">
        <v>3688</v>
      </c>
      <c r="D2549" s="1" t="s">
        <v>3729</v>
      </c>
      <c r="E2549" s="1" t="s">
        <v>7</v>
      </c>
    </row>
    <row r="2550" customFormat="false" ht="16" hidden="false" customHeight="false" outlineLevel="0" collapsed="false">
      <c r="A2550" s="1" t="s">
        <v>4368</v>
      </c>
      <c r="B2550" s="1" t="s">
        <v>55</v>
      </c>
      <c r="C2550" s="1" t="s">
        <v>3688</v>
      </c>
      <c r="D2550" s="1" t="s">
        <v>770</v>
      </c>
      <c r="E2550" s="1" t="s">
        <v>7</v>
      </c>
    </row>
    <row r="2551" customFormat="false" ht="16" hidden="false" customHeight="false" outlineLevel="0" collapsed="false">
      <c r="A2551" s="1" t="s">
        <v>4369</v>
      </c>
      <c r="B2551" s="1" t="s">
        <v>4370</v>
      </c>
      <c r="C2551" s="1" t="s">
        <v>3688</v>
      </c>
      <c r="D2551" s="1" t="s">
        <v>3689</v>
      </c>
      <c r="E2551" s="1" t="s">
        <v>7</v>
      </c>
    </row>
    <row r="2552" customFormat="false" ht="16" hidden="false" customHeight="false" outlineLevel="0" collapsed="false">
      <c r="A2552" s="1" t="s">
        <v>4371</v>
      </c>
      <c r="B2552" s="1" t="s">
        <v>4372</v>
      </c>
      <c r="C2552" s="1" t="s">
        <v>3688</v>
      </c>
      <c r="D2552" s="1" t="s">
        <v>3689</v>
      </c>
      <c r="E2552" s="1" t="s">
        <v>7</v>
      </c>
    </row>
    <row r="2553" customFormat="false" ht="16" hidden="false" customHeight="false" outlineLevel="0" collapsed="false">
      <c r="A2553" s="1" t="s">
        <v>4373</v>
      </c>
      <c r="B2553" s="1" t="s">
        <v>4374</v>
      </c>
      <c r="C2553" s="1" t="s">
        <v>3688</v>
      </c>
      <c r="D2553" s="1" t="s">
        <v>3689</v>
      </c>
      <c r="E2553" s="1" t="s">
        <v>7</v>
      </c>
    </row>
    <row r="2554" customFormat="false" ht="16" hidden="false" customHeight="false" outlineLevel="0" collapsed="false">
      <c r="A2554" s="1" t="s">
        <v>4375</v>
      </c>
      <c r="B2554" s="1" t="s">
        <v>4376</v>
      </c>
      <c r="C2554" s="1" t="s">
        <v>3688</v>
      </c>
      <c r="D2554" s="1" t="s">
        <v>3689</v>
      </c>
      <c r="E2554" s="1" t="s">
        <v>7</v>
      </c>
    </row>
    <row r="2555" customFormat="false" ht="16" hidden="false" customHeight="false" outlineLevel="0" collapsed="false">
      <c r="A2555" s="1" t="s">
        <v>4377</v>
      </c>
      <c r="B2555" s="1" t="s">
        <v>4378</v>
      </c>
      <c r="C2555" s="1" t="s">
        <v>3688</v>
      </c>
      <c r="D2555" s="1" t="s">
        <v>3689</v>
      </c>
      <c r="E2555" s="1" t="s">
        <v>7</v>
      </c>
    </row>
    <row r="2556" customFormat="false" ht="16" hidden="false" customHeight="false" outlineLevel="0" collapsed="false">
      <c r="A2556" s="1" t="s">
        <v>4379</v>
      </c>
      <c r="B2556" s="1" t="s">
        <v>4380</v>
      </c>
      <c r="C2556" s="1" t="s">
        <v>3688</v>
      </c>
      <c r="D2556" s="1" t="s">
        <v>3689</v>
      </c>
      <c r="E2556" s="1" t="s">
        <v>7</v>
      </c>
    </row>
    <row r="2557" customFormat="false" ht="16" hidden="false" customHeight="false" outlineLevel="0" collapsed="false">
      <c r="A2557" s="1" t="s">
        <v>4381</v>
      </c>
      <c r="B2557" s="1" t="s">
        <v>57</v>
      </c>
      <c r="C2557" s="1" t="s">
        <v>3688</v>
      </c>
      <c r="D2557" s="1" t="s">
        <v>3689</v>
      </c>
      <c r="E2557" s="1" t="s">
        <v>7</v>
      </c>
    </row>
    <row r="2558" customFormat="false" ht="16" hidden="false" customHeight="false" outlineLevel="0" collapsed="false">
      <c r="A2558" s="1" t="s">
        <v>4382</v>
      </c>
      <c r="B2558" s="1" t="s">
        <v>57</v>
      </c>
      <c r="C2558" s="1" t="s">
        <v>3688</v>
      </c>
      <c r="D2558" s="1" t="s">
        <v>3727</v>
      </c>
      <c r="E2558" s="1" t="s">
        <v>7</v>
      </c>
    </row>
    <row r="2559" customFormat="false" ht="16" hidden="false" customHeight="false" outlineLevel="0" collapsed="false">
      <c r="A2559" s="1" t="s">
        <v>4383</v>
      </c>
      <c r="B2559" s="1" t="s">
        <v>57</v>
      </c>
      <c r="C2559" s="1" t="s">
        <v>3688</v>
      </c>
      <c r="D2559" s="1" t="s">
        <v>3729</v>
      </c>
      <c r="E2559" s="1" t="s">
        <v>7</v>
      </c>
    </row>
    <row r="2560" customFormat="false" ht="16" hidden="false" customHeight="false" outlineLevel="0" collapsed="false">
      <c r="A2560" s="1" t="s">
        <v>4384</v>
      </c>
      <c r="B2560" s="1" t="s">
        <v>57</v>
      </c>
      <c r="C2560" s="1" t="s">
        <v>3688</v>
      </c>
      <c r="D2560" s="1" t="s">
        <v>770</v>
      </c>
      <c r="E2560" s="1" t="s">
        <v>7</v>
      </c>
    </row>
    <row r="2561" customFormat="false" ht="16" hidden="false" customHeight="false" outlineLevel="0" collapsed="false">
      <c r="A2561" s="1" t="s">
        <v>4385</v>
      </c>
      <c r="B2561" s="1" t="s">
        <v>4386</v>
      </c>
      <c r="C2561" s="1" t="s">
        <v>3688</v>
      </c>
      <c r="D2561" s="1" t="s">
        <v>3689</v>
      </c>
      <c r="E2561" s="1" t="s">
        <v>7</v>
      </c>
    </row>
    <row r="2562" customFormat="false" ht="16" hidden="false" customHeight="false" outlineLevel="0" collapsed="false">
      <c r="A2562" s="1" t="s">
        <v>4387</v>
      </c>
      <c r="B2562" s="1" t="s">
        <v>2199</v>
      </c>
      <c r="C2562" s="1" t="s">
        <v>3688</v>
      </c>
      <c r="D2562" s="1" t="s">
        <v>770</v>
      </c>
      <c r="E2562" s="1" t="s">
        <v>7</v>
      </c>
    </row>
    <row r="2563" customFormat="false" ht="16" hidden="false" customHeight="false" outlineLevel="0" collapsed="false">
      <c r="A2563" s="1" t="s">
        <v>4388</v>
      </c>
      <c r="B2563" s="1" t="s">
        <v>21</v>
      </c>
      <c r="C2563" s="1" t="s">
        <v>3688</v>
      </c>
      <c r="D2563" s="1" t="s">
        <v>3689</v>
      </c>
      <c r="E2563" s="1" t="s">
        <v>7</v>
      </c>
    </row>
    <row r="2564" customFormat="false" ht="16" hidden="false" customHeight="false" outlineLevel="0" collapsed="false">
      <c r="A2564" s="1" t="s">
        <v>4389</v>
      </c>
      <c r="B2564" s="1" t="s">
        <v>21</v>
      </c>
      <c r="C2564" s="1" t="s">
        <v>3688</v>
      </c>
      <c r="D2564" s="1" t="s">
        <v>3727</v>
      </c>
      <c r="E2564" s="1" t="s">
        <v>7</v>
      </c>
    </row>
    <row r="2565" customFormat="false" ht="16" hidden="false" customHeight="false" outlineLevel="0" collapsed="false">
      <c r="A2565" s="1" t="s">
        <v>4390</v>
      </c>
      <c r="B2565" s="1" t="s">
        <v>21</v>
      </c>
      <c r="C2565" s="1" t="s">
        <v>3688</v>
      </c>
      <c r="D2565" s="1" t="s">
        <v>3729</v>
      </c>
      <c r="E2565" s="1" t="s">
        <v>7</v>
      </c>
    </row>
    <row r="2566" customFormat="false" ht="16" hidden="false" customHeight="false" outlineLevel="0" collapsed="false">
      <c r="A2566" s="1" t="s">
        <v>4391</v>
      </c>
      <c r="B2566" s="1" t="s">
        <v>21</v>
      </c>
      <c r="C2566" s="1" t="s">
        <v>3688</v>
      </c>
      <c r="D2566" s="1" t="s">
        <v>770</v>
      </c>
      <c r="E2566" s="1" t="s">
        <v>7</v>
      </c>
    </row>
    <row r="2567" customFormat="false" ht="16" hidden="false" customHeight="false" outlineLevel="0" collapsed="false">
      <c r="A2567" s="1" t="s">
        <v>4392</v>
      </c>
      <c r="B2567" s="1" t="s">
        <v>4393</v>
      </c>
      <c r="C2567" s="1" t="s">
        <v>3688</v>
      </c>
      <c r="D2567" s="1" t="s">
        <v>3689</v>
      </c>
      <c r="E2567" s="1" t="s">
        <v>7</v>
      </c>
    </row>
    <row r="2568" customFormat="false" ht="16" hidden="false" customHeight="false" outlineLevel="0" collapsed="false">
      <c r="A2568" s="1" t="s">
        <v>4394</v>
      </c>
      <c r="B2568" s="1" t="s">
        <v>4395</v>
      </c>
      <c r="C2568" s="1" t="s">
        <v>3688</v>
      </c>
      <c r="D2568" s="1" t="s">
        <v>3689</v>
      </c>
      <c r="E2568" s="1" t="s">
        <v>7</v>
      </c>
    </row>
    <row r="2569" customFormat="false" ht="16" hidden="false" customHeight="false" outlineLevel="0" collapsed="false">
      <c r="A2569" s="1" t="s">
        <v>4396</v>
      </c>
      <c r="B2569" s="1" t="s">
        <v>4397</v>
      </c>
      <c r="C2569" s="1" t="s">
        <v>3688</v>
      </c>
      <c r="D2569" s="1" t="s">
        <v>3689</v>
      </c>
      <c r="E2569" s="1" t="s">
        <v>7</v>
      </c>
    </row>
    <row r="2570" customFormat="false" ht="16" hidden="false" customHeight="false" outlineLevel="0" collapsed="false">
      <c r="A2570" s="1" t="s">
        <v>4398</v>
      </c>
      <c r="B2570" s="1" t="s">
        <v>4399</v>
      </c>
      <c r="C2570" s="1" t="s">
        <v>3688</v>
      </c>
      <c r="D2570" s="1" t="s">
        <v>3689</v>
      </c>
      <c r="E2570" s="1" t="s">
        <v>7</v>
      </c>
    </row>
    <row r="2571" customFormat="false" ht="16" hidden="false" customHeight="false" outlineLevel="0" collapsed="false">
      <c r="A2571" s="1" t="s">
        <v>4400</v>
      </c>
      <c r="B2571" s="1" t="s">
        <v>4401</v>
      </c>
      <c r="C2571" s="1" t="s">
        <v>3688</v>
      </c>
      <c r="D2571" s="1" t="s">
        <v>3689</v>
      </c>
      <c r="E2571" s="1" t="s">
        <v>7</v>
      </c>
    </row>
    <row r="2572" customFormat="false" ht="16" hidden="false" customHeight="false" outlineLevel="0" collapsed="false">
      <c r="A2572" s="1" t="s">
        <v>4402</v>
      </c>
      <c r="B2572" s="1" t="s">
        <v>4401</v>
      </c>
      <c r="C2572" s="1" t="s">
        <v>3688</v>
      </c>
      <c r="D2572" s="1" t="s">
        <v>3727</v>
      </c>
      <c r="E2572" s="1" t="s">
        <v>7</v>
      </c>
    </row>
    <row r="2573" customFormat="false" ht="16" hidden="false" customHeight="false" outlineLevel="0" collapsed="false">
      <c r="A2573" s="1" t="s">
        <v>4403</v>
      </c>
      <c r="B2573" s="1" t="s">
        <v>4401</v>
      </c>
      <c r="C2573" s="1" t="s">
        <v>3688</v>
      </c>
      <c r="D2573" s="1" t="s">
        <v>3729</v>
      </c>
      <c r="E2573" s="1" t="s">
        <v>7</v>
      </c>
    </row>
    <row r="2574" customFormat="false" ht="16" hidden="false" customHeight="false" outlineLevel="0" collapsed="false">
      <c r="A2574" s="1" t="s">
        <v>4404</v>
      </c>
      <c r="B2574" s="1" t="s">
        <v>4401</v>
      </c>
      <c r="C2574" s="1" t="s">
        <v>3688</v>
      </c>
      <c r="D2574" s="1" t="s">
        <v>770</v>
      </c>
      <c r="E2574" s="1" t="s">
        <v>7</v>
      </c>
    </row>
    <row r="2575" customFormat="false" ht="16" hidden="false" customHeight="false" outlineLevel="0" collapsed="false">
      <c r="A2575" s="1" t="s">
        <v>4405</v>
      </c>
      <c r="B2575" s="1" t="s">
        <v>4406</v>
      </c>
      <c r="C2575" s="1" t="s">
        <v>3688</v>
      </c>
      <c r="D2575" s="1" t="s">
        <v>3689</v>
      </c>
      <c r="E2575" s="1" t="s">
        <v>7</v>
      </c>
    </row>
    <row r="2576" customFormat="false" ht="16" hidden="false" customHeight="false" outlineLevel="0" collapsed="false">
      <c r="A2576" s="1" t="s">
        <v>4407</v>
      </c>
      <c r="B2576" s="1" t="s">
        <v>4406</v>
      </c>
      <c r="C2576" s="1" t="s">
        <v>3688</v>
      </c>
      <c r="D2576" s="1" t="s">
        <v>3727</v>
      </c>
      <c r="E2576" s="1" t="s">
        <v>7</v>
      </c>
    </row>
    <row r="2577" customFormat="false" ht="16" hidden="false" customHeight="false" outlineLevel="0" collapsed="false">
      <c r="A2577" s="1" t="s">
        <v>4408</v>
      </c>
      <c r="B2577" s="1" t="s">
        <v>4406</v>
      </c>
      <c r="C2577" s="1" t="s">
        <v>3688</v>
      </c>
      <c r="D2577" s="1" t="s">
        <v>3729</v>
      </c>
      <c r="E2577" s="1" t="s">
        <v>7</v>
      </c>
    </row>
    <row r="2578" customFormat="false" ht="16" hidden="false" customHeight="false" outlineLevel="0" collapsed="false">
      <c r="A2578" s="1" t="s">
        <v>4409</v>
      </c>
      <c r="B2578" s="1" t="s">
        <v>4406</v>
      </c>
      <c r="C2578" s="1" t="s">
        <v>3688</v>
      </c>
      <c r="D2578" s="1" t="s">
        <v>770</v>
      </c>
      <c r="E2578" s="1" t="s">
        <v>7</v>
      </c>
    </row>
    <row r="2579" customFormat="false" ht="16" hidden="false" customHeight="false" outlineLevel="0" collapsed="false">
      <c r="A2579" s="1" t="s">
        <v>4410</v>
      </c>
      <c r="B2579" s="1" t="s">
        <v>4411</v>
      </c>
      <c r="C2579" s="1" t="s">
        <v>3688</v>
      </c>
      <c r="D2579" s="1" t="s">
        <v>3689</v>
      </c>
      <c r="E2579" s="1" t="s">
        <v>7</v>
      </c>
    </row>
    <row r="2580" customFormat="false" ht="16" hidden="false" customHeight="false" outlineLevel="0" collapsed="false">
      <c r="A2580" s="1" t="s">
        <v>4412</v>
      </c>
      <c r="B2580" s="1" t="s">
        <v>2232</v>
      </c>
      <c r="C2580" s="1" t="s">
        <v>3688</v>
      </c>
      <c r="D2580" s="1" t="s">
        <v>770</v>
      </c>
      <c r="E2580" s="1" t="s">
        <v>7</v>
      </c>
    </row>
    <row r="2581" customFormat="false" ht="16" hidden="false" customHeight="false" outlineLevel="0" collapsed="false">
      <c r="A2581" s="1" t="s">
        <v>4413</v>
      </c>
      <c r="B2581" s="1" t="s">
        <v>4414</v>
      </c>
      <c r="C2581" s="1" t="s">
        <v>3688</v>
      </c>
      <c r="D2581" s="1" t="s">
        <v>3689</v>
      </c>
      <c r="E2581" s="1" t="s">
        <v>7</v>
      </c>
    </row>
    <row r="2582" customFormat="false" ht="16" hidden="false" customHeight="false" outlineLevel="0" collapsed="false">
      <c r="A2582" s="1" t="s">
        <v>4415</v>
      </c>
      <c r="B2582" s="1" t="s">
        <v>4416</v>
      </c>
      <c r="C2582" s="1" t="s">
        <v>3688</v>
      </c>
      <c r="D2582" s="1" t="s">
        <v>3689</v>
      </c>
      <c r="E2582" s="1" t="s">
        <v>7</v>
      </c>
    </row>
    <row r="2583" customFormat="false" ht="16" hidden="false" customHeight="false" outlineLevel="0" collapsed="false">
      <c r="A2583" s="1" t="s">
        <v>4417</v>
      </c>
      <c r="B2583" s="1" t="s">
        <v>4418</v>
      </c>
      <c r="C2583" s="1" t="s">
        <v>3688</v>
      </c>
      <c r="D2583" s="1" t="s">
        <v>3689</v>
      </c>
      <c r="E2583" s="1" t="s">
        <v>7</v>
      </c>
    </row>
    <row r="2584" customFormat="false" ht="16" hidden="false" customHeight="false" outlineLevel="0" collapsed="false">
      <c r="A2584" s="1" t="s">
        <v>4419</v>
      </c>
      <c r="B2584" s="1" t="s">
        <v>4420</v>
      </c>
      <c r="C2584" s="1" t="s">
        <v>3688</v>
      </c>
      <c r="D2584" s="1" t="s">
        <v>3689</v>
      </c>
      <c r="E2584" s="1" t="s">
        <v>7</v>
      </c>
    </row>
    <row r="2585" customFormat="false" ht="16" hidden="false" customHeight="false" outlineLevel="0" collapsed="false">
      <c r="A2585" s="1" t="s">
        <v>4421</v>
      </c>
      <c r="B2585" s="1" t="s">
        <v>4422</v>
      </c>
      <c r="C2585" s="1" t="s">
        <v>3688</v>
      </c>
      <c r="D2585" s="1" t="s">
        <v>3689</v>
      </c>
      <c r="E2585" s="1" t="s">
        <v>7</v>
      </c>
    </row>
    <row r="2586" customFormat="false" ht="16" hidden="false" customHeight="false" outlineLevel="0" collapsed="false">
      <c r="A2586" s="1" t="s">
        <v>4423</v>
      </c>
      <c r="B2586" s="1" t="s">
        <v>4424</v>
      </c>
      <c r="C2586" s="1" t="s">
        <v>3688</v>
      </c>
      <c r="D2586" s="1" t="s">
        <v>3689</v>
      </c>
      <c r="E2586" s="1" t="s">
        <v>7</v>
      </c>
    </row>
    <row r="2587" customFormat="false" ht="16" hidden="false" customHeight="false" outlineLevel="0" collapsed="false">
      <c r="A2587" s="1" t="s">
        <v>4425</v>
      </c>
      <c r="B2587" s="1" t="s">
        <v>4426</v>
      </c>
      <c r="C2587" s="1" t="s">
        <v>3688</v>
      </c>
      <c r="D2587" s="1" t="s">
        <v>3689</v>
      </c>
      <c r="E2587" s="1" t="s">
        <v>7</v>
      </c>
    </row>
    <row r="2588" customFormat="false" ht="16" hidden="false" customHeight="false" outlineLevel="0" collapsed="false">
      <c r="A2588" s="1" t="s">
        <v>4427</v>
      </c>
      <c r="B2588" s="1" t="s">
        <v>2240</v>
      </c>
      <c r="C2588" s="1" t="s">
        <v>3688</v>
      </c>
      <c r="D2588" s="1" t="s">
        <v>770</v>
      </c>
      <c r="E2588" s="1" t="s">
        <v>7</v>
      </c>
    </row>
    <row r="2589" customFormat="false" ht="16" hidden="false" customHeight="false" outlineLevel="0" collapsed="false">
      <c r="A2589" s="1" t="s">
        <v>4428</v>
      </c>
      <c r="B2589" s="1" t="s">
        <v>2253</v>
      </c>
      <c r="C2589" s="1" t="s">
        <v>3688</v>
      </c>
      <c r="D2589" s="1" t="s">
        <v>3689</v>
      </c>
      <c r="E2589" s="1" t="s">
        <v>7</v>
      </c>
    </row>
    <row r="2590" customFormat="false" ht="16" hidden="false" customHeight="false" outlineLevel="0" collapsed="false">
      <c r="A2590" s="1" t="s">
        <v>4429</v>
      </c>
      <c r="B2590" s="1" t="s">
        <v>4430</v>
      </c>
      <c r="C2590" s="1" t="s">
        <v>3688</v>
      </c>
      <c r="D2590" s="1" t="s">
        <v>3689</v>
      </c>
      <c r="E2590" s="1" t="s">
        <v>7</v>
      </c>
    </row>
    <row r="2591" customFormat="false" ht="16" hidden="false" customHeight="false" outlineLevel="0" collapsed="false">
      <c r="A2591" s="1" t="s">
        <v>4431</v>
      </c>
      <c r="B2591" s="1" t="s">
        <v>4432</v>
      </c>
      <c r="C2591" s="1" t="s">
        <v>3688</v>
      </c>
      <c r="D2591" s="1" t="s">
        <v>3689</v>
      </c>
      <c r="E2591" s="1" t="s">
        <v>7</v>
      </c>
    </row>
    <row r="2592" customFormat="false" ht="16" hidden="false" customHeight="false" outlineLevel="0" collapsed="false">
      <c r="A2592" s="1" t="s">
        <v>4433</v>
      </c>
      <c r="B2592" s="1" t="s">
        <v>4434</v>
      </c>
      <c r="C2592" s="1" t="s">
        <v>3688</v>
      </c>
      <c r="D2592" s="1" t="s">
        <v>3689</v>
      </c>
      <c r="E2592" s="1" t="s">
        <v>7</v>
      </c>
    </row>
    <row r="2593" customFormat="false" ht="16" hidden="false" customHeight="false" outlineLevel="0" collapsed="false">
      <c r="A2593" s="1" t="s">
        <v>4435</v>
      </c>
      <c r="B2593" s="1" t="s">
        <v>2273</v>
      </c>
      <c r="C2593" s="1" t="s">
        <v>3688</v>
      </c>
      <c r="D2593" s="1" t="s">
        <v>3689</v>
      </c>
      <c r="E2593" s="1" t="s">
        <v>7</v>
      </c>
    </row>
    <row r="2594" customFormat="false" ht="16" hidden="false" customHeight="false" outlineLevel="0" collapsed="false">
      <c r="A2594" s="1" t="s">
        <v>4436</v>
      </c>
      <c r="B2594" s="1" t="s">
        <v>2283</v>
      </c>
      <c r="C2594" s="1" t="s">
        <v>3688</v>
      </c>
      <c r="D2594" s="1" t="s">
        <v>3689</v>
      </c>
      <c r="E2594" s="1" t="s">
        <v>7</v>
      </c>
    </row>
    <row r="2595" customFormat="false" ht="16" hidden="false" customHeight="false" outlineLevel="0" collapsed="false">
      <c r="A2595" s="1" t="s">
        <v>4437</v>
      </c>
      <c r="B2595" s="1" t="s">
        <v>4438</v>
      </c>
      <c r="C2595" s="1" t="s">
        <v>3688</v>
      </c>
      <c r="D2595" s="1" t="s">
        <v>3689</v>
      </c>
      <c r="E2595" s="1" t="s">
        <v>7</v>
      </c>
    </row>
    <row r="2596" customFormat="false" ht="16" hidden="false" customHeight="false" outlineLevel="0" collapsed="false">
      <c r="A2596" s="1" t="s">
        <v>4439</v>
      </c>
      <c r="B2596" s="1" t="s">
        <v>4440</v>
      </c>
      <c r="C2596" s="1" t="s">
        <v>3688</v>
      </c>
      <c r="D2596" s="1" t="s">
        <v>3689</v>
      </c>
      <c r="E2596" s="1" t="s">
        <v>7</v>
      </c>
    </row>
    <row r="2597" customFormat="false" ht="16" hidden="false" customHeight="false" outlineLevel="0" collapsed="false">
      <c r="A2597" s="1" t="s">
        <v>4441</v>
      </c>
      <c r="B2597" s="1" t="s">
        <v>4442</v>
      </c>
      <c r="C2597" s="1" t="s">
        <v>3688</v>
      </c>
      <c r="D2597" s="1" t="s">
        <v>3689</v>
      </c>
      <c r="E2597" s="1" t="s">
        <v>7</v>
      </c>
    </row>
    <row r="2598" customFormat="false" ht="16" hidden="false" customHeight="false" outlineLevel="0" collapsed="false">
      <c r="A2598" s="1" t="s">
        <v>4443</v>
      </c>
      <c r="B2598" s="1" t="s">
        <v>2299</v>
      </c>
      <c r="C2598" s="1" t="s">
        <v>3688</v>
      </c>
      <c r="D2598" s="1" t="s">
        <v>3689</v>
      </c>
      <c r="E2598" s="1" t="s">
        <v>7</v>
      </c>
    </row>
    <row r="2599" customFormat="false" ht="16" hidden="false" customHeight="false" outlineLevel="0" collapsed="false">
      <c r="A2599" s="1" t="s">
        <v>4444</v>
      </c>
      <c r="B2599" s="1" t="s">
        <v>2299</v>
      </c>
      <c r="C2599" s="1" t="s">
        <v>3688</v>
      </c>
      <c r="D2599" s="1" t="s">
        <v>770</v>
      </c>
      <c r="E2599" s="1" t="s">
        <v>7</v>
      </c>
    </row>
    <row r="2600" customFormat="false" ht="16" hidden="false" customHeight="false" outlineLevel="0" collapsed="false">
      <c r="A2600" s="1" t="s">
        <v>4445</v>
      </c>
      <c r="B2600" s="1" t="s">
        <v>4446</v>
      </c>
      <c r="C2600" s="1" t="s">
        <v>3688</v>
      </c>
      <c r="D2600" s="1" t="s">
        <v>3689</v>
      </c>
      <c r="E2600" s="1" t="s">
        <v>7</v>
      </c>
    </row>
    <row r="2601" customFormat="false" ht="16" hidden="false" customHeight="false" outlineLevel="0" collapsed="false">
      <c r="A2601" s="1" t="s">
        <v>4447</v>
      </c>
      <c r="B2601" s="1" t="s">
        <v>4448</v>
      </c>
      <c r="C2601" s="1" t="s">
        <v>3688</v>
      </c>
      <c r="D2601" s="1" t="s">
        <v>3689</v>
      </c>
      <c r="E2601" s="1" t="s">
        <v>7</v>
      </c>
    </row>
    <row r="2602" customFormat="false" ht="16" hidden="false" customHeight="false" outlineLevel="0" collapsed="false">
      <c r="A2602" s="1" t="s">
        <v>4449</v>
      </c>
      <c r="B2602" s="1" t="s">
        <v>4450</v>
      </c>
      <c r="C2602" s="1" t="s">
        <v>3688</v>
      </c>
      <c r="D2602" s="1" t="s">
        <v>3689</v>
      </c>
      <c r="E2602" s="1" t="s">
        <v>7</v>
      </c>
    </row>
    <row r="2603" customFormat="false" ht="16" hidden="false" customHeight="false" outlineLevel="0" collapsed="false">
      <c r="A2603" s="1" t="s">
        <v>4451</v>
      </c>
      <c r="B2603" s="1" t="s">
        <v>27</v>
      </c>
      <c r="C2603" s="1" t="s">
        <v>3688</v>
      </c>
      <c r="D2603" s="1" t="s">
        <v>3689</v>
      </c>
      <c r="E2603" s="1" t="s">
        <v>7</v>
      </c>
    </row>
    <row r="2604" customFormat="false" ht="16" hidden="false" customHeight="false" outlineLevel="0" collapsed="false">
      <c r="A2604" s="1" t="s">
        <v>4452</v>
      </c>
      <c r="B2604" s="1" t="s">
        <v>27</v>
      </c>
      <c r="C2604" s="1" t="s">
        <v>3688</v>
      </c>
      <c r="D2604" s="1" t="s">
        <v>3727</v>
      </c>
      <c r="E2604" s="1" t="s">
        <v>7</v>
      </c>
    </row>
    <row r="2605" customFormat="false" ht="16" hidden="false" customHeight="false" outlineLevel="0" collapsed="false">
      <c r="A2605" s="1" t="s">
        <v>4453</v>
      </c>
      <c r="B2605" s="1" t="s">
        <v>27</v>
      </c>
      <c r="C2605" s="1" t="s">
        <v>3688</v>
      </c>
      <c r="D2605" s="1" t="s">
        <v>3729</v>
      </c>
      <c r="E2605" s="1" t="s">
        <v>7</v>
      </c>
    </row>
    <row r="2606" customFormat="false" ht="16" hidden="false" customHeight="false" outlineLevel="0" collapsed="false">
      <c r="A2606" s="1" t="s">
        <v>4454</v>
      </c>
      <c r="B2606" s="1" t="s">
        <v>27</v>
      </c>
      <c r="C2606" s="1" t="s">
        <v>3688</v>
      </c>
      <c r="D2606" s="1" t="s">
        <v>770</v>
      </c>
      <c r="E2606" s="1" t="s">
        <v>7</v>
      </c>
    </row>
    <row r="2607" customFormat="false" ht="16" hidden="false" customHeight="false" outlineLevel="0" collapsed="false">
      <c r="A2607" s="1" t="s">
        <v>4455</v>
      </c>
      <c r="B2607" s="1" t="s">
        <v>4456</v>
      </c>
      <c r="C2607" s="1" t="s">
        <v>3688</v>
      </c>
      <c r="D2607" s="1" t="s">
        <v>3689</v>
      </c>
      <c r="E2607" s="1" t="s">
        <v>7</v>
      </c>
    </row>
    <row r="2608" customFormat="false" ht="16" hidden="false" customHeight="false" outlineLevel="0" collapsed="false">
      <c r="A2608" s="1" t="s">
        <v>4457</v>
      </c>
      <c r="B2608" s="1" t="s">
        <v>4458</v>
      </c>
      <c r="C2608" s="1" t="s">
        <v>3688</v>
      </c>
      <c r="D2608" s="1" t="s">
        <v>3689</v>
      </c>
      <c r="E2608" s="1" t="s">
        <v>7</v>
      </c>
    </row>
    <row r="2609" customFormat="false" ht="16" hidden="false" customHeight="false" outlineLevel="0" collapsed="false">
      <c r="A2609" s="1" t="s">
        <v>4459</v>
      </c>
      <c r="B2609" s="1" t="s">
        <v>4460</v>
      </c>
      <c r="C2609" s="1" t="s">
        <v>3688</v>
      </c>
      <c r="D2609" s="1" t="s">
        <v>3689</v>
      </c>
      <c r="E2609" s="1" t="s">
        <v>7</v>
      </c>
    </row>
    <row r="2610" customFormat="false" ht="16" hidden="false" customHeight="false" outlineLevel="0" collapsed="false">
      <c r="A2610" s="1" t="s">
        <v>4461</v>
      </c>
      <c r="B2610" s="1" t="s">
        <v>4462</v>
      </c>
      <c r="C2610" s="1" t="s">
        <v>3688</v>
      </c>
      <c r="D2610" s="1" t="s">
        <v>3689</v>
      </c>
      <c r="E2610" s="1" t="s">
        <v>7</v>
      </c>
    </row>
    <row r="2611" customFormat="false" ht="16" hidden="false" customHeight="false" outlineLevel="0" collapsed="false">
      <c r="A2611" s="1" t="s">
        <v>4463</v>
      </c>
      <c r="B2611" s="1" t="s">
        <v>4464</v>
      </c>
      <c r="C2611" s="1" t="s">
        <v>3688</v>
      </c>
      <c r="D2611" s="1" t="s">
        <v>3689</v>
      </c>
      <c r="E2611" s="1" t="s">
        <v>7</v>
      </c>
    </row>
    <row r="2612" customFormat="false" ht="16" hidden="false" customHeight="false" outlineLevel="0" collapsed="false">
      <c r="A2612" s="1" t="s">
        <v>4465</v>
      </c>
      <c r="B2612" s="1" t="s">
        <v>4466</v>
      </c>
      <c r="C2612" s="1" t="s">
        <v>3688</v>
      </c>
      <c r="D2612" s="1" t="s">
        <v>3689</v>
      </c>
      <c r="E2612" s="1" t="s">
        <v>7</v>
      </c>
    </row>
    <row r="2613" customFormat="false" ht="16" hidden="false" customHeight="false" outlineLevel="0" collapsed="false">
      <c r="A2613" s="1" t="s">
        <v>4467</v>
      </c>
      <c r="B2613" s="1" t="s">
        <v>19</v>
      </c>
      <c r="C2613" s="1" t="s">
        <v>3688</v>
      </c>
      <c r="D2613" s="1" t="s">
        <v>3689</v>
      </c>
      <c r="E2613" s="1" t="s">
        <v>7</v>
      </c>
    </row>
    <row r="2614" customFormat="false" ht="16" hidden="false" customHeight="false" outlineLevel="0" collapsed="false">
      <c r="A2614" s="1" t="s">
        <v>4468</v>
      </c>
      <c r="B2614" s="1" t="s">
        <v>19</v>
      </c>
      <c r="C2614" s="1" t="s">
        <v>3688</v>
      </c>
      <c r="D2614" s="1" t="s">
        <v>3727</v>
      </c>
      <c r="E2614" s="1" t="s">
        <v>7</v>
      </c>
    </row>
    <row r="2615" customFormat="false" ht="16" hidden="false" customHeight="false" outlineLevel="0" collapsed="false">
      <c r="A2615" s="1" t="s">
        <v>4469</v>
      </c>
      <c r="B2615" s="1" t="s">
        <v>19</v>
      </c>
      <c r="C2615" s="1" t="s">
        <v>3688</v>
      </c>
      <c r="D2615" s="1" t="s">
        <v>3729</v>
      </c>
      <c r="E2615" s="1" t="s">
        <v>7</v>
      </c>
    </row>
    <row r="2616" customFormat="false" ht="16" hidden="false" customHeight="false" outlineLevel="0" collapsed="false">
      <c r="A2616" s="1" t="s">
        <v>4470</v>
      </c>
      <c r="B2616" s="1" t="s">
        <v>19</v>
      </c>
      <c r="C2616" s="1" t="s">
        <v>3688</v>
      </c>
      <c r="D2616" s="1" t="s">
        <v>770</v>
      </c>
      <c r="E2616" s="1" t="s">
        <v>7</v>
      </c>
    </row>
    <row r="2617" customFormat="false" ht="16" hidden="false" customHeight="false" outlineLevel="0" collapsed="false">
      <c r="A2617" s="1" t="s">
        <v>4471</v>
      </c>
      <c r="B2617" s="1" t="s">
        <v>4472</v>
      </c>
      <c r="C2617" s="1" t="s">
        <v>3688</v>
      </c>
      <c r="D2617" s="1" t="s">
        <v>3689</v>
      </c>
      <c r="E2617" s="1" t="s">
        <v>7</v>
      </c>
    </row>
    <row r="2618" customFormat="false" ht="16" hidden="false" customHeight="false" outlineLevel="0" collapsed="false">
      <c r="A2618" s="1" t="s">
        <v>4473</v>
      </c>
      <c r="B2618" s="1" t="s">
        <v>4474</v>
      </c>
      <c r="C2618" s="1" t="s">
        <v>3688</v>
      </c>
      <c r="D2618" s="1" t="s">
        <v>3689</v>
      </c>
      <c r="E2618" s="1" t="s">
        <v>7</v>
      </c>
    </row>
    <row r="2619" customFormat="false" ht="16" hidden="false" customHeight="false" outlineLevel="0" collapsed="false">
      <c r="A2619" s="1" t="s">
        <v>4475</v>
      </c>
      <c r="B2619" s="1" t="s">
        <v>4476</v>
      </c>
      <c r="C2619" s="1" t="s">
        <v>3688</v>
      </c>
      <c r="D2619" s="1" t="s">
        <v>3689</v>
      </c>
      <c r="E2619" s="1" t="s">
        <v>7</v>
      </c>
    </row>
    <row r="2620" customFormat="false" ht="16" hidden="false" customHeight="false" outlineLevel="0" collapsed="false">
      <c r="A2620" s="1" t="s">
        <v>4477</v>
      </c>
      <c r="B2620" s="1" t="s">
        <v>4478</v>
      </c>
      <c r="C2620" s="1" t="s">
        <v>3688</v>
      </c>
      <c r="D2620" s="1" t="s">
        <v>3689</v>
      </c>
      <c r="E2620" s="1" t="s">
        <v>7</v>
      </c>
    </row>
    <row r="2621" customFormat="false" ht="16" hidden="false" customHeight="false" outlineLevel="0" collapsed="false">
      <c r="A2621" s="1" t="s">
        <v>4479</v>
      </c>
      <c r="B2621" s="1" t="s">
        <v>4480</v>
      </c>
      <c r="C2621" s="1" t="s">
        <v>3688</v>
      </c>
      <c r="D2621" s="1" t="s">
        <v>3689</v>
      </c>
      <c r="E2621" s="1" t="s">
        <v>7</v>
      </c>
    </row>
    <row r="2622" customFormat="false" ht="16" hidden="false" customHeight="false" outlineLevel="0" collapsed="false">
      <c r="A2622" s="1" t="s">
        <v>4481</v>
      </c>
      <c r="B2622" s="1" t="s">
        <v>4482</v>
      </c>
      <c r="C2622" s="1" t="s">
        <v>3688</v>
      </c>
      <c r="D2622" s="1" t="s">
        <v>3689</v>
      </c>
      <c r="E2622" s="1" t="s">
        <v>7</v>
      </c>
    </row>
    <row r="2623" customFormat="false" ht="16" hidden="false" customHeight="false" outlineLevel="0" collapsed="false">
      <c r="A2623" s="1" t="s">
        <v>4483</v>
      </c>
      <c r="B2623" s="1" t="s">
        <v>4484</v>
      </c>
      <c r="C2623" s="1" t="s">
        <v>3688</v>
      </c>
      <c r="D2623" s="1" t="s">
        <v>3689</v>
      </c>
      <c r="E2623" s="1" t="s">
        <v>7</v>
      </c>
    </row>
    <row r="2624" customFormat="false" ht="16" hidden="false" customHeight="false" outlineLevel="0" collapsed="false">
      <c r="A2624" s="1" t="s">
        <v>4485</v>
      </c>
      <c r="B2624" s="1" t="s">
        <v>4486</v>
      </c>
      <c r="C2624" s="1" t="s">
        <v>3688</v>
      </c>
      <c r="D2624" s="1" t="s">
        <v>3689</v>
      </c>
      <c r="E2624" s="1" t="s">
        <v>7</v>
      </c>
    </row>
    <row r="2625" customFormat="false" ht="16" hidden="false" customHeight="false" outlineLevel="0" collapsed="false">
      <c r="A2625" s="1" t="s">
        <v>4487</v>
      </c>
      <c r="B2625" s="1" t="s">
        <v>4488</v>
      </c>
      <c r="C2625" s="1" t="s">
        <v>3688</v>
      </c>
      <c r="D2625" s="1" t="s">
        <v>3689</v>
      </c>
      <c r="E2625" s="1" t="s">
        <v>7</v>
      </c>
    </row>
    <row r="2626" customFormat="false" ht="16" hidden="false" customHeight="false" outlineLevel="0" collapsed="false">
      <c r="A2626" s="1" t="s">
        <v>4489</v>
      </c>
      <c r="B2626" s="1" t="s">
        <v>4490</v>
      </c>
      <c r="C2626" s="1" t="s">
        <v>3688</v>
      </c>
      <c r="D2626" s="1" t="s">
        <v>3689</v>
      </c>
      <c r="E2626" s="1" t="s">
        <v>7</v>
      </c>
    </row>
    <row r="2627" customFormat="false" ht="16" hidden="false" customHeight="false" outlineLevel="0" collapsed="false">
      <c r="A2627" s="1" t="s">
        <v>4491</v>
      </c>
      <c r="B2627" s="1" t="s">
        <v>4492</v>
      </c>
      <c r="C2627" s="1" t="s">
        <v>3688</v>
      </c>
      <c r="D2627" s="1" t="s">
        <v>3689</v>
      </c>
      <c r="E2627" s="1" t="s">
        <v>7</v>
      </c>
    </row>
    <row r="2628" customFormat="false" ht="16" hidden="false" customHeight="false" outlineLevel="0" collapsed="false">
      <c r="A2628" s="1" t="s">
        <v>4493</v>
      </c>
      <c r="B2628" s="1" t="s">
        <v>4494</v>
      </c>
      <c r="C2628" s="1" t="s">
        <v>3688</v>
      </c>
      <c r="D2628" s="1" t="s">
        <v>3689</v>
      </c>
      <c r="E2628" s="1" t="s">
        <v>7</v>
      </c>
    </row>
    <row r="2629" customFormat="false" ht="16" hidden="false" customHeight="false" outlineLevel="0" collapsed="false">
      <c r="A2629" s="1" t="s">
        <v>4495</v>
      </c>
      <c r="B2629" s="1" t="s">
        <v>4496</v>
      </c>
      <c r="C2629" s="1" t="s">
        <v>3688</v>
      </c>
      <c r="D2629" s="1" t="s">
        <v>3689</v>
      </c>
      <c r="E2629" s="1" t="s">
        <v>7</v>
      </c>
    </row>
    <row r="2630" customFormat="false" ht="16" hidden="false" customHeight="false" outlineLevel="0" collapsed="false">
      <c r="A2630" s="1" t="s">
        <v>4497</v>
      </c>
      <c r="B2630" s="1" t="s">
        <v>4498</v>
      </c>
      <c r="C2630" s="1" t="s">
        <v>3688</v>
      </c>
      <c r="D2630" s="1" t="s">
        <v>3689</v>
      </c>
      <c r="E2630" s="1" t="s">
        <v>7</v>
      </c>
    </row>
    <row r="2631" customFormat="false" ht="16" hidden="false" customHeight="false" outlineLevel="0" collapsed="false">
      <c r="A2631" s="1" t="s">
        <v>4499</v>
      </c>
      <c r="B2631" s="1" t="s">
        <v>4500</v>
      </c>
      <c r="C2631" s="1" t="s">
        <v>3688</v>
      </c>
      <c r="D2631" s="1" t="s">
        <v>3689</v>
      </c>
      <c r="E2631" s="1" t="s">
        <v>7</v>
      </c>
    </row>
    <row r="2632" customFormat="false" ht="16" hidden="false" customHeight="false" outlineLevel="0" collapsed="false">
      <c r="A2632" s="1" t="s">
        <v>4501</v>
      </c>
      <c r="B2632" s="1" t="s">
        <v>2418</v>
      </c>
      <c r="C2632" s="1" t="s">
        <v>3688</v>
      </c>
      <c r="D2632" s="1" t="s">
        <v>3689</v>
      </c>
      <c r="E2632" s="1" t="s">
        <v>7</v>
      </c>
    </row>
    <row r="2633" customFormat="false" ht="16" hidden="false" customHeight="false" outlineLevel="0" collapsed="false">
      <c r="A2633" s="1" t="s">
        <v>4502</v>
      </c>
      <c r="B2633" s="1" t="s">
        <v>4503</v>
      </c>
      <c r="C2633" s="1" t="s">
        <v>3688</v>
      </c>
      <c r="D2633" s="1" t="s">
        <v>3689</v>
      </c>
      <c r="E2633" s="1" t="s">
        <v>7</v>
      </c>
    </row>
    <row r="2634" customFormat="false" ht="16" hidden="false" customHeight="false" outlineLevel="0" collapsed="false">
      <c r="A2634" s="1" t="s">
        <v>4504</v>
      </c>
      <c r="B2634" s="1" t="s">
        <v>4505</v>
      </c>
      <c r="C2634" s="1" t="s">
        <v>3688</v>
      </c>
      <c r="D2634" s="1" t="s">
        <v>3689</v>
      </c>
      <c r="E2634" s="1" t="s">
        <v>7</v>
      </c>
    </row>
    <row r="2635" customFormat="false" ht="16" hidden="false" customHeight="false" outlineLevel="0" collapsed="false">
      <c r="A2635" s="1" t="s">
        <v>4506</v>
      </c>
      <c r="B2635" s="1" t="s">
        <v>4507</v>
      </c>
      <c r="C2635" s="1" t="s">
        <v>3688</v>
      </c>
      <c r="D2635" s="1" t="s">
        <v>3689</v>
      </c>
      <c r="E2635" s="1" t="s">
        <v>7</v>
      </c>
    </row>
    <row r="2636" customFormat="false" ht="16" hidden="false" customHeight="false" outlineLevel="0" collapsed="false">
      <c r="A2636" s="1" t="s">
        <v>4508</v>
      </c>
      <c r="B2636" s="1" t="s">
        <v>4509</v>
      </c>
      <c r="C2636" s="1" t="s">
        <v>3688</v>
      </c>
      <c r="D2636" s="1" t="s">
        <v>3689</v>
      </c>
      <c r="E2636" s="1" t="s">
        <v>7</v>
      </c>
    </row>
    <row r="2637" customFormat="false" ht="16" hidden="false" customHeight="false" outlineLevel="0" collapsed="false">
      <c r="A2637" s="1" t="s">
        <v>4510</v>
      </c>
      <c r="B2637" s="1" t="s">
        <v>4511</v>
      </c>
      <c r="C2637" s="1" t="s">
        <v>3688</v>
      </c>
      <c r="D2637" s="1" t="s">
        <v>3689</v>
      </c>
      <c r="E2637" s="1" t="s">
        <v>7</v>
      </c>
    </row>
    <row r="2638" customFormat="false" ht="16" hidden="false" customHeight="false" outlineLevel="0" collapsed="false">
      <c r="A2638" s="1" t="s">
        <v>4512</v>
      </c>
      <c r="B2638" s="1" t="s">
        <v>2444</v>
      </c>
      <c r="C2638" s="1" t="s">
        <v>3688</v>
      </c>
      <c r="D2638" s="1" t="s">
        <v>3689</v>
      </c>
      <c r="E2638" s="1" t="s">
        <v>7</v>
      </c>
    </row>
    <row r="2639" customFormat="false" ht="16" hidden="false" customHeight="false" outlineLevel="0" collapsed="false">
      <c r="A2639" s="1" t="s">
        <v>4513</v>
      </c>
      <c r="B2639" s="1" t="s">
        <v>4514</v>
      </c>
      <c r="C2639" s="1" t="s">
        <v>3688</v>
      </c>
      <c r="D2639" s="1" t="s">
        <v>3689</v>
      </c>
      <c r="E2639" s="1" t="s">
        <v>7</v>
      </c>
    </row>
    <row r="2640" customFormat="false" ht="16" hidden="false" customHeight="false" outlineLevel="0" collapsed="false">
      <c r="A2640" s="1" t="s">
        <v>4515</v>
      </c>
      <c r="B2640" s="1" t="s">
        <v>4516</v>
      </c>
      <c r="C2640" s="1" t="s">
        <v>3688</v>
      </c>
      <c r="D2640" s="1" t="s">
        <v>3689</v>
      </c>
      <c r="E2640" s="1" t="s">
        <v>7</v>
      </c>
    </row>
    <row r="2641" customFormat="false" ht="16" hidden="false" customHeight="false" outlineLevel="0" collapsed="false">
      <c r="A2641" s="1" t="s">
        <v>4517</v>
      </c>
      <c r="B2641" s="1" t="s">
        <v>4518</v>
      </c>
      <c r="C2641" s="1" t="s">
        <v>3688</v>
      </c>
      <c r="D2641" s="1" t="s">
        <v>3689</v>
      </c>
      <c r="E2641" s="1" t="s">
        <v>7</v>
      </c>
    </row>
    <row r="2642" customFormat="false" ht="16" hidden="false" customHeight="false" outlineLevel="0" collapsed="false">
      <c r="A2642" s="1" t="s">
        <v>4519</v>
      </c>
      <c r="B2642" s="1" t="s">
        <v>4520</v>
      </c>
      <c r="C2642" s="1" t="s">
        <v>3688</v>
      </c>
      <c r="D2642" s="1" t="s">
        <v>3689</v>
      </c>
      <c r="E2642" s="1" t="s">
        <v>7</v>
      </c>
    </row>
    <row r="2643" customFormat="false" ht="16" hidden="false" customHeight="false" outlineLevel="0" collapsed="false">
      <c r="A2643" s="1" t="s">
        <v>4521</v>
      </c>
      <c r="B2643" s="1" t="s">
        <v>4522</v>
      </c>
      <c r="C2643" s="1" t="s">
        <v>3688</v>
      </c>
      <c r="D2643" s="1" t="s">
        <v>3689</v>
      </c>
      <c r="E2643" s="1" t="s">
        <v>7</v>
      </c>
    </row>
    <row r="2644" customFormat="false" ht="16" hidden="false" customHeight="false" outlineLevel="0" collapsed="false">
      <c r="A2644" s="1" t="s">
        <v>4523</v>
      </c>
      <c r="B2644" s="1" t="s">
        <v>4524</v>
      </c>
      <c r="C2644" s="1" t="s">
        <v>3688</v>
      </c>
      <c r="D2644" s="1" t="s">
        <v>3689</v>
      </c>
      <c r="E2644" s="1" t="s">
        <v>7</v>
      </c>
    </row>
    <row r="2645" customFormat="false" ht="16" hidden="false" customHeight="false" outlineLevel="0" collapsed="false">
      <c r="A2645" s="1" t="s">
        <v>4525</v>
      </c>
      <c r="B2645" s="1" t="s">
        <v>4526</v>
      </c>
      <c r="C2645" s="1" t="s">
        <v>3688</v>
      </c>
      <c r="D2645" s="1" t="s">
        <v>3689</v>
      </c>
      <c r="E2645" s="1" t="s">
        <v>7</v>
      </c>
    </row>
    <row r="2646" customFormat="false" ht="16" hidden="false" customHeight="false" outlineLevel="0" collapsed="false">
      <c r="A2646" s="1" t="s">
        <v>4527</v>
      </c>
      <c r="B2646" s="1" t="s">
        <v>4528</v>
      </c>
      <c r="C2646" s="1" t="s">
        <v>3688</v>
      </c>
      <c r="D2646" s="1" t="s">
        <v>3689</v>
      </c>
      <c r="E2646" s="1" t="s">
        <v>7</v>
      </c>
    </row>
    <row r="2647" customFormat="false" ht="16" hidden="false" customHeight="false" outlineLevel="0" collapsed="false">
      <c r="A2647" s="1" t="s">
        <v>4529</v>
      </c>
      <c r="B2647" s="1" t="s">
        <v>4530</v>
      </c>
      <c r="C2647" s="1" t="s">
        <v>3688</v>
      </c>
      <c r="D2647" s="1" t="s">
        <v>3689</v>
      </c>
      <c r="E2647" s="1" t="s">
        <v>7</v>
      </c>
    </row>
    <row r="2648" customFormat="false" ht="16" hidden="false" customHeight="false" outlineLevel="0" collapsed="false">
      <c r="A2648" s="1" t="s">
        <v>4531</v>
      </c>
      <c r="B2648" s="1" t="s">
        <v>4532</v>
      </c>
      <c r="C2648" s="1" t="s">
        <v>3688</v>
      </c>
      <c r="D2648" s="1" t="s">
        <v>3689</v>
      </c>
      <c r="E2648" s="1" t="s">
        <v>7</v>
      </c>
    </row>
    <row r="2649" customFormat="false" ht="16" hidden="false" customHeight="false" outlineLevel="0" collapsed="false">
      <c r="A2649" s="1" t="s">
        <v>4533</v>
      </c>
      <c r="B2649" s="1" t="s">
        <v>4534</v>
      </c>
      <c r="C2649" s="1" t="s">
        <v>3688</v>
      </c>
      <c r="D2649" s="1" t="s">
        <v>3689</v>
      </c>
      <c r="E2649" s="1" t="s">
        <v>7</v>
      </c>
    </row>
    <row r="2650" customFormat="false" ht="16" hidden="false" customHeight="false" outlineLevel="0" collapsed="false">
      <c r="A2650" s="1" t="s">
        <v>4535</v>
      </c>
      <c r="B2650" s="1" t="s">
        <v>4536</v>
      </c>
      <c r="C2650" s="1" t="s">
        <v>3688</v>
      </c>
      <c r="D2650" s="1" t="s">
        <v>3689</v>
      </c>
      <c r="E2650" s="1" t="s">
        <v>7</v>
      </c>
    </row>
    <row r="2651" customFormat="false" ht="16" hidden="false" customHeight="false" outlineLevel="0" collapsed="false">
      <c r="A2651" s="1" t="s">
        <v>4537</v>
      </c>
      <c r="B2651" s="1" t="s">
        <v>4538</v>
      </c>
      <c r="C2651" s="1" t="s">
        <v>3688</v>
      </c>
      <c r="D2651" s="1" t="s">
        <v>3689</v>
      </c>
      <c r="E2651" s="1" t="s">
        <v>7</v>
      </c>
    </row>
    <row r="2652" customFormat="false" ht="16" hidden="false" customHeight="false" outlineLevel="0" collapsed="false">
      <c r="A2652" s="1" t="s">
        <v>4539</v>
      </c>
      <c r="B2652" s="1" t="s">
        <v>4540</v>
      </c>
      <c r="C2652" s="1" t="s">
        <v>3688</v>
      </c>
      <c r="D2652" s="1" t="s">
        <v>3689</v>
      </c>
      <c r="E2652" s="1" t="s">
        <v>7</v>
      </c>
    </row>
    <row r="2653" customFormat="false" ht="16" hidden="false" customHeight="false" outlineLevel="0" collapsed="false">
      <c r="A2653" s="1" t="s">
        <v>4541</v>
      </c>
      <c r="B2653" s="1" t="s">
        <v>4542</v>
      </c>
      <c r="C2653" s="1" t="s">
        <v>3688</v>
      </c>
      <c r="D2653" s="1" t="s">
        <v>3689</v>
      </c>
      <c r="E2653" s="1" t="s">
        <v>7</v>
      </c>
    </row>
    <row r="2654" customFormat="false" ht="16" hidden="false" customHeight="false" outlineLevel="0" collapsed="false">
      <c r="A2654" s="1" t="s">
        <v>4543</v>
      </c>
      <c r="B2654" s="1" t="s">
        <v>4544</v>
      </c>
      <c r="C2654" s="1" t="s">
        <v>3688</v>
      </c>
      <c r="D2654" s="1" t="s">
        <v>3689</v>
      </c>
      <c r="E2654" s="1" t="s">
        <v>7</v>
      </c>
    </row>
    <row r="2655" customFormat="false" ht="16" hidden="false" customHeight="false" outlineLevel="0" collapsed="false">
      <c r="A2655" s="1" t="s">
        <v>4545</v>
      </c>
      <c r="B2655" s="1" t="s">
        <v>4546</v>
      </c>
      <c r="C2655" s="1" t="s">
        <v>3688</v>
      </c>
      <c r="D2655" s="1" t="s">
        <v>3689</v>
      </c>
      <c r="E2655" s="1" t="s">
        <v>7</v>
      </c>
    </row>
    <row r="2656" customFormat="false" ht="16" hidden="false" customHeight="false" outlineLevel="0" collapsed="false">
      <c r="A2656" s="1" t="s">
        <v>4547</v>
      </c>
      <c r="B2656" s="1" t="s">
        <v>4548</v>
      </c>
      <c r="C2656" s="1" t="s">
        <v>3688</v>
      </c>
      <c r="D2656" s="1" t="s">
        <v>3689</v>
      </c>
      <c r="E2656" s="1" t="s">
        <v>7</v>
      </c>
    </row>
    <row r="2657" customFormat="false" ht="16" hidden="false" customHeight="false" outlineLevel="0" collapsed="false">
      <c r="A2657" s="1" t="s">
        <v>4549</v>
      </c>
      <c r="B2657" s="1" t="s">
        <v>4550</v>
      </c>
      <c r="C2657" s="1" t="s">
        <v>3688</v>
      </c>
      <c r="D2657" s="1" t="s">
        <v>3689</v>
      </c>
      <c r="E2657" s="1" t="s">
        <v>7</v>
      </c>
    </row>
    <row r="2658" customFormat="false" ht="16" hidden="false" customHeight="false" outlineLevel="0" collapsed="false">
      <c r="A2658" s="1" t="s">
        <v>4551</v>
      </c>
      <c r="B2658" s="1" t="s">
        <v>4552</v>
      </c>
      <c r="C2658" s="1" t="s">
        <v>3688</v>
      </c>
      <c r="D2658" s="1" t="s">
        <v>3689</v>
      </c>
      <c r="E2658" s="1" t="s">
        <v>7</v>
      </c>
    </row>
    <row r="2659" customFormat="false" ht="16" hidden="false" customHeight="false" outlineLevel="0" collapsed="false">
      <c r="A2659" s="1" t="s">
        <v>4553</v>
      </c>
      <c r="B2659" s="1" t="s">
        <v>4554</v>
      </c>
      <c r="C2659" s="1" t="s">
        <v>3688</v>
      </c>
      <c r="D2659" s="1" t="s">
        <v>3689</v>
      </c>
      <c r="E2659" s="1" t="s">
        <v>7</v>
      </c>
    </row>
    <row r="2660" customFormat="false" ht="16" hidden="false" customHeight="false" outlineLevel="0" collapsed="false">
      <c r="A2660" s="1" t="s">
        <v>4555</v>
      </c>
      <c r="B2660" s="1" t="s">
        <v>4556</v>
      </c>
      <c r="C2660" s="1" t="s">
        <v>3688</v>
      </c>
      <c r="D2660" s="1" t="s">
        <v>3689</v>
      </c>
      <c r="E2660" s="1" t="s">
        <v>7</v>
      </c>
    </row>
    <row r="2661" customFormat="false" ht="16" hidden="false" customHeight="false" outlineLevel="0" collapsed="false">
      <c r="A2661" s="1" t="s">
        <v>4557</v>
      </c>
      <c r="B2661" s="1" t="s">
        <v>4558</v>
      </c>
      <c r="C2661" s="1" t="s">
        <v>3688</v>
      </c>
      <c r="D2661" s="1" t="s">
        <v>3689</v>
      </c>
      <c r="E2661" s="1" t="s">
        <v>7</v>
      </c>
    </row>
    <row r="2662" customFormat="false" ht="16" hidden="false" customHeight="false" outlineLevel="0" collapsed="false">
      <c r="A2662" s="1" t="s">
        <v>4559</v>
      </c>
      <c r="B2662" s="1" t="s">
        <v>75</v>
      </c>
      <c r="C2662" s="1" t="s">
        <v>3688</v>
      </c>
      <c r="D2662" s="1" t="s">
        <v>3689</v>
      </c>
      <c r="E2662" s="1" t="s">
        <v>7</v>
      </c>
    </row>
    <row r="2663" customFormat="false" ht="16" hidden="false" customHeight="false" outlineLevel="0" collapsed="false">
      <c r="A2663" s="1" t="s">
        <v>4560</v>
      </c>
      <c r="B2663" s="1" t="s">
        <v>75</v>
      </c>
      <c r="C2663" s="1" t="s">
        <v>3688</v>
      </c>
      <c r="D2663" s="1" t="s">
        <v>3727</v>
      </c>
      <c r="E2663" s="1" t="s">
        <v>7</v>
      </c>
    </row>
    <row r="2664" customFormat="false" ht="16" hidden="false" customHeight="false" outlineLevel="0" collapsed="false">
      <c r="A2664" s="1" t="s">
        <v>4561</v>
      </c>
      <c r="B2664" s="1" t="s">
        <v>75</v>
      </c>
      <c r="C2664" s="1" t="s">
        <v>3688</v>
      </c>
      <c r="D2664" s="1" t="s">
        <v>3729</v>
      </c>
      <c r="E2664" s="1" t="s">
        <v>7</v>
      </c>
    </row>
    <row r="2665" customFormat="false" ht="16" hidden="false" customHeight="false" outlineLevel="0" collapsed="false">
      <c r="A2665" s="1" t="s">
        <v>4562</v>
      </c>
      <c r="B2665" s="1" t="s">
        <v>75</v>
      </c>
      <c r="C2665" s="1" t="s">
        <v>3688</v>
      </c>
      <c r="D2665" s="1" t="s">
        <v>770</v>
      </c>
      <c r="E2665" s="1" t="s">
        <v>7</v>
      </c>
    </row>
    <row r="2666" customFormat="false" ht="16" hidden="false" customHeight="false" outlineLevel="0" collapsed="false">
      <c r="A2666" s="1" t="s">
        <v>4563</v>
      </c>
      <c r="B2666" s="1" t="s">
        <v>85</v>
      </c>
      <c r="C2666" s="1" t="s">
        <v>3688</v>
      </c>
      <c r="D2666" s="1" t="s">
        <v>3689</v>
      </c>
      <c r="E2666" s="1" t="s">
        <v>7</v>
      </c>
    </row>
    <row r="2667" customFormat="false" ht="16" hidden="false" customHeight="false" outlineLevel="0" collapsed="false">
      <c r="A2667" s="1" t="s">
        <v>4564</v>
      </c>
      <c r="B2667" s="1" t="s">
        <v>85</v>
      </c>
      <c r="C2667" s="1" t="s">
        <v>3688</v>
      </c>
      <c r="D2667" s="1" t="s">
        <v>3727</v>
      </c>
      <c r="E2667" s="1" t="s">
        <v>7</v>
      </c>
    </row>
    <row r="2668" customFormat="false" ht="16" hidden="false" customHeight="false" outlineLevel="0" collapsed="false">
      <c r="A2668" s="1" t="s">
        <v>4565</v>
      </c>
      <c r="B2668" s="1" t="s">
        <v>85</v>
      </c>
      <c r="C2668" s="1" t="s">
        <v>3688</v>
      </c>
      <c r="D2668" s="1" t="s">
        <v>3729</v>
      </c>
      <c r="E2668" s="1" t="s">
        <v>7</v>
      </c>
    </row>
    <row r="2669" customFormat="false" ht="16" hidden="false" customHeight="false" outlineLevel="0" collapsed="false">
      <c r="A2669" s="1" t="s">
        <v>4566</v>
      </c>
      <c r="B2669" s="1" t="s">
        <v>85</v>
      </c>
      <c r="C2669" s="1" t="s">
        <v>3688</v>
      </c>
      <c r="D2669" s="1" t="s">
        <v>770</v>
      </c>
      <c r="E2669" s="1" t="s">
        <v>7</v>
      </c>
    </row>
    <row r="2670" customFormat="false" ht="16" hidden="false" customHeight="false" outlineLevel="0" collapsed="false">
      <c r="A2670" s="1" t="s">
        <v>4567</v>
      </c>
      <c r="B2670" s="1" t="s">
        <v>2511</v>
      </c>
      <c r="C2670" s="1" t="s">
        <v>3688</v>
      </c>
      <c r="D2670" s="1" t="s">
        <v>3689</v>
      </c>
      <c r="E2670" s="1" t="s">
        <v>7</v>
      </c>
    </row>
    <row r="2671" customFormat="false" ht="16" hidden="false" customHeight="false" outlineLevel="0" collapsed="false">
      <c r="A2671" s="1" t="s">
        <v>4568</v>
      </c>
      <c r="B2671" s="1" t="s">
        <v>4569</v>
      </c>
      <c r="C2671" s="1" t="s">
        <v>3688</v>
      </c>
      <c r="D2671" s="1" t="s">
        <v>3689</v>
      </c>
      <c r="E2671" s="1" t="s">
        <v>7</v>
      </c>
    </row>
    <row r="2672" customFormat="false" ht="16" hidden="false" customHeight="false" outlineLevel="0" collapsed="false">
      <c r="A2672" s="1" t="s">
        <v>4570</v>
      </c>
      <c r="B2672" s="1" t="s">
        <v>73</v>
      </c>
      <c r="C2672" s="1" t="s">
        <v>3688</v>
      </c>
      <c r="D2672" s="1" t="s">
        <v>3689</v>
      </c>
      <c r="E2672" s="1" t="s">
        <v>7</v>
      </c>
    </row>
    <row r="2673" customFormat="false" ht="16" hidden="false" customHeight="false" outlineLevel="0" collapsed="false">
      <c r="A2673" s="1" t="s">
        <v>4571</v>
      </c>
      <c r="B2673" s="1" t="s">
        <v>73</v>
      </c>
      <c r="C2673" s="1" t="s">
        <v>3688</v>
      </c>
      <c r="D2673" s="1" t="s">
        <v>3727</v>
      </c>
      <c r="E2673" s="1" t="s">
        <v>7</v>
      </c>
    </row>
    <row r="2674" customFormat="false" ht="16" hidden="false" customHeight="false" outlineLevel="0" collapsed="false">
      <c r="A2674" s="1" t="s">
        <v>4572</v>
      </c>
      <c r="B2674" s="1" t="s">
        <v>73</v>
      </c>
      <c r="C2674" s="1" t="s">
        <v>3688</v>
      </c>
      <c r="D2674" s="1" t="s">
        <v>3729</v>
      </c>
      <c r="E2674" s="1" t="s">
        <v>7</v>
      </c>
    </row>
    <row r="2675" customFormat="false" ht="16" hidden="false" customHeight="false" outlineLevel="0" collapsed="false">
      <c r="A2675" s="1" t="s">
        <v>4573</v>
      </c>
      <c r="B2675" s="1" t="s">
        <v>73</v>
      </c>
      <c r="C2675" s="1" t="s">
        <v>3688</v>
      </c>
      <c r="D2675" s="1" t="s">
        <v>770</v>
      </c>
      <c r="E2675" s="1" t="s">
        <v>7</v>
      </c>
    </row>
    <row r="2676" customFormat="false" ht="16" hidden="false" customHeight="false" outlineLevel="0" collapsed="false">
      <c r="A2676" s="1" t="s">
        <v>4574</v>
      </c>
      <c r="B2676" s="1" t="s">
        <v>4575</v>
      </c>
      <c r="C2676" s="1" t="s">
        <v>3688</v>
      </c>
      <c r="D2676" s="1" t="s">
        <v>3689</v>
      </c>
      <c r="E2676" s="1" t="s">
        <v>7</v>
      </c>
    </row>
    <row r="2677" customFormat="false" ht="16" hidden="false" customHeight="false" outlineLevel="0" collapsed="false">
      <c r="A2677" s="1" t="s">
        <v>4576</v>
      </c>
      <c r="B2677" s="1" t="s">
        <v>31</v>
      </c>
      <c r="C2677" s="1" t="s">
        <v>3688</v>
      </c>
      <c r="D2677" s="1" t="s">
        <v>3689</v>
      </c>
      <c r="E2677" s="1" t="s">
        <v>7</v>
      </c>
    </row>
    <row r="2678" customFormat="false" ht="16" hidden="false" customHeight="false" outlineLevel="0" collapsed="false">
      <c r="A2678" s="1" t="s">
        <v>4577</v>
      </c>
      <c r="B2678" s="1" t="s">
        <v>31</v>
      </c>
      <c r="C2678" s="1" t="s">
        <v>3688</v>
      </c>
      <c r="D2678" s="1" t="s">
        <v>3727</v>
      </c>
      <c r="E2678" s="1" t="s">
        <v>7</v>
      </c>
    </row>
    <row r="2679" customFormat="false" ht="16" hidden="false" customHeight="false" outlineLevel="0" collapsed="false">
      <c r="A2679" s="1" t="s">
        <v>4578</v>
      </c>
      <c r="B2679" s="1" t="s">
        <v>31</v>
      </c>
      <c r="C2679" s="1" t="s">
        <v>3688</v>
      </c>
      <c r="D2679" s="1" t="s">
        <v>3729</v>
      </c>
      <c r="E2679" s="1" t="s">
        <v>7</v>
      </c>
    </row>
    <row r="2680" customFormat="false" ht="16" hidden="false" customHeight="false" outlineLevel="0" collapsed="false">
      <c r="A2680" s="1" t="s">
        <v>4579</v>
      </c>
      <c r="B2680" s="1" t="s">
        <v>31</v>
      </c>
      <c r="C2680" s="1" t="s">
        <v>3688</v>
      </c>
      <c r="D2680" s="1" t="s">
        <v>770</v>
      </c>
      <c r="E2680" s="1" t="s">
        <v>7</v>
      </c>
    </row>
    <row r="2681" customFormat="false" ht="16" hidden="false" customHeight="false" outlineLevel="0" collapsed="false">
      <c r="A2681" s="1" t="s">
        <v>4580</v>
      </c>
      <c r="B2681" s="1" t="s">
        <v>4581</v>
      </c>
      <c r="C2681" s="1" t="s">
        <v>3688</v>
      </c>
      <c r="D2681" s="1" t="s">
        <v>3689</v>
      </c>
      <c r="E2681" s="1" t="s">
        <v>7</v>
      </c>
    </row>
    <row r="2682" customFormat="false" ht="16" hidden="false" customHeight="false" outlineLevel="0" collapsed="false">
      <c r="A2682" s="1" t="s">
        <v>4582</v>
      </c>
      <c r="B2682" s="1" t="s">
        <v>23</v>
      </c>
      <c r="C2682" s="1" t="s">
        <v>3688</v>
      </c>
      <c r="D2682" s="1" t="s">
        <v>3689</v>
      </c>
      <c r="E2682" s="1" t="s">
        <v>7</v>
      </c>
    </row>
    <row r="2683" customFormat="false" ht="16" hidden="false" customHeight="false" outlineLevel="0" collapsed="false">
      <c r="A2683" s="1" t="s">
        <v>4583</v>
      </c>
      <c r="B2683" s="1" t="s">
        <v>23</v>
      </c>
      <c r="C2683" s="1" t="s">
        <v>3688</v>
      </c>
      <c r="D2683" s="1" t="s">
        <v>3727</v>
      </c>
      <c r="E2683" s="1" t="s">
        <v>7</v>
      </c>
    </row>
    <row r="2684" customFormat="false" ht="16" hidden="false" customHeight="false" outlineLevel="0" collapsed="false">
      <c r="A2684" s="1" t="s">
        <v>4584</v>
      </c>
      <c r="B2684" s="1" t="s">
        <v>23</v>
      </c>
      <c r="C2684" s="1" t="s">
        <v>3688</v>
      </c>
      <c r="D2684" s="1" t="s">
        <v>3729</v>
      </c>
      <c r="E2684" s="1" t="s">
        <v>7</v>
      </c>
    </row>
    <row r="2685" customFormat="false" ht="16" hidden="false" customHeight="false" outlineLevel="0" collapsed="false">
      <c r="A2685" s="1" t="s">
        <v>4585</v>
      </c>
      <c r="B2685" s="1" t="s">
        <v>23</v>
      </c>
      <c r="C2685" s="1" t="s">
        <v>3688</v>
      </c>
      <c r="D2685" s="1" t="s">
        <v>770</v>
      </c>
      <c r="E2685" s="1" t="s">
        <v>7</v>
      </c>
    </row>
    <row r="2686" customFormat="false" ht="16" hidden="false" customHeight="false" outlineLevel="0" collapsed="false">
      <c r="A2686" s="1" t="s">
        <v>4586</v>
      </c>
      <c r="B2686" s="1" t="s">
        <v>4587</v>
      </c>
      <c r="C2686" s="1" t="s">
        <v>3688</v>
      </c>
      <c r="D2686" s="1" t="s">
        <v>3689</v>
      </c>
      <c r="E2686" s="1" t="s">
        <v>7</v>
      </c>
    </row>
    <row r="2687" customFormat="false" ht="16" hidden="false" customHeight="false" outlineLevel="0" collapsed="false">
      <c r="A2687" s="1" t="s">
        <v>4588</v>
      </c>
      <c r="B2687" s="1" t="s">
        <v>4589</v>
      </c>
      <c r="C2687" s="1" t="s">
        <v>3688</v>
      </c>
      <c r="D2687" s="1" t="s">
        <v>3689</v>
      </c>
      <c r="E2687" s="1" t="s">
        <v>7</v>
      </c>
    </row>
    <row r="2688" customFormat="false" ht="16" hidden="false" customHeight="false" outlineLevel="0" collapsed="false">
      <c r="A2688" s="1" t="s">
        <v>4590</v>
      </c>
      <c r="B2688" s="1" t="s">
        <v>4591</v>
      </c>
      <c r="C2688" s="1" t="s">
        <v>3688</v>
      </c>
      <c r="D2688" s="1" t="s">
        <v>3689</v>
      </c>
      <c r="E2688" s="1" t="s">
        <v>7</v>
      </c>
    </row>
    <row r="2689" customFormat="false" ht="16" hidden="false" customHeight="false" outlineLevel="0" collapsed="false">
      <c r="A2689" s="1" t="s">
        <v>4592</v>
      </c>
      <c r="B2689" s="1" t="s">
        <v>4593</v>
      </c>
      <c r="C2689" s="1" t="s">
        <v>3688</v>
      </c>
      <c r="D2689" s="1" t="s">
        <v>3689</v>
      </c>
      <c r="E2689" s="1" t="s">
        <v>7</v>
      </c>
    </row>
    <row r="2690" customFormat="false" ht="16" hidden="false" customHeight="false" outlineLevel="0" collapsed="false">
      <c r="A2690" s="1" t="s">
        <v>4594</v>
      </c>
      <c r="B2690" s="1" t="s">
        <v>4595</v>
      </c>
      <c r="C2690" s="1" t="s">
        <v>3688</v>
      </c>
      <c r="D2690" s="1" t="s">
        <v>3689</v>
      </c>
      <c r="E2690" s="1" t="s">
        <v>7</v>
      </c>
    </row>
    <row r="2691" customFormat="false" ht="16" hidden="false" customHeight="false" outlineLevel="0" collapsed="false">
      <c r="A2691" s="1" t="s">
        <v>4596</v>
      </c>
      <c r="B2691" s="1" t="s">
        <v>93</v>
      </c>
      <c r="C2691" s="1" t="s">
        <v>3688</v>
      </c>
      <c r="D2691" s="1" t="s">
        <v>3689</v>
      </c>
      <c r="E2691" s="1" t="s">
        <v>7</v>
      </c>
    </row>
    <row r="2692" customFormat="false" ht="16" hidden="false" customHeight="false" outlineLevel="0" collapsed="false">
      <c r="A2692" s="1" t="s">
        <v>4597</v>
      </c>
      <c r="B2692" s="1" t="s">
        <v>93</v>
      </c>
      <c r="C2692" s="1" t="s">
        <v>3688</v>
      </c>
      <c r="D2692" s="1" t="s">
        <v>3727</v>
      </c>
      <c r="E2692" s="1" t="s">
        <v>7</v>
      </c>
    </row>
    <row r="2693" customFormat="false" ht="16" hidden="false" customHeight="false" outlineLevel="0" collapsed="false">
      <c r="A2693" s="1" t="s">
        <v>4598</v>
      </c>
      <c r="B2693" s="1" t="s">
        <v>93</v>
      </c>
      <c r="C2693" s="1" t="s">
        <v>3688</v>
      </c>
      <c r="D2693" s="1" t="s">
        <v>3729</v>
      </c>
      <c r="E2693" s="1" t="s">
        <v>7</v>
      </c>
    </row>
    <row r="2694" customFormat="false" ht="16" hidden="false" customHeight="false" outlineLevel="0" collapsed="false">
      <c r="A2694" s="1" t="s">
        <v>4599</v>
      </c>
      <c r="B2694" s="1" t="s">
        <v>93</v>
      </c>
      <c r="C2694" s="1" t="s">
        <v>3688</v>
      </c>
      <c r="D2694" s="1" t="s">
        <v>770</v>
      </c>
      <c r="E2694" s="1" t="s">
        <v>7</v>
      </c>
    </row>
    <row r="2695" customFormat="false" ht="16" hidden="false" customHeight="false" outlineLevel="0" collapsed="false">
      <c r="A2695" s="1" t="s">
        <v>4600</v>
      </c>
      <c r="B2695" s="1" t="s">
        <v>4601</v>
      </c>
      <c r="C2695" s="1" t="s">
        <v>3688</v>
      </c>
      <c r="D2695" s="1" t="s">
        <v>3689</v>
      </c>
      <c r="E2695" s="1" t="s">
        <v>7</v>
      </c>
    </row>
    <row r="2696" customFormat="false" ht="16" hidden="false" customHeight="false" outlineLevel="0" collapsed="false">
      <c r="A2696" s="1" t="s">
        <v>4602</v>
      </c>
      <c r="B2696" s="1" t="s">
        <v>2607</v>
      </c>
      <c r="C2696" s="1" t="s">
        <v>3688</v>
      </c>
      <c r="D2696" s="1" t="s">
        <v>770</v>
      </c>
      <c r="E2696" s="1" t="s">
        <v>7</v>
      </c>
    </row>
    <row r="2697" customFormat="false" ht="16" hidden="false" customHeight="false" outlineLevel="0" collapsed="false">
      <c r="A2697" s="1" t="s">
        <v>4603</v>
      </c>
      <c r="B2697" s="1" t="s">
        <v>2613</v>
      </c>
      <c r="C2697" s="1" t="s">
        <v>3688</v>
      </c>
      <c r="D2697" s="1" t="s">
        <v>3689</v>
      </c>
      <c r="E2697" s="1" t="s">
        <v>7</v>
      </c>
    </row>
    <row r="2698" customFormat="false" ht="16" hidden="false" customHeight="false" outlineLevel="0" collapsed="false">
      <c r="A2698" s="1" t="s">
        <v>4604</v>
      </c>
      <c r="B2698" s="1" t="s">
        <v>4605</v>
      </c>
      <c r="C2698" s="1" t="s">
        <v>3688</v>
      </c>
      <c r="D2698" s="1" t="s">
        <v>3689</v>
      </c>
      <c r="E2698" s="1" t="s">
        <v>7</v>
      </c>
    </row>
    <row r="2699" customFormat="false" ht="16" hidden="false" customHeight="false" outlineLevel="0" collapsed="false">
      <c r="A2699" s="1" t="s">
        <v>4606</v>
      </c>
      <c r="B2699" s="1" t="s">
        <v>4607</v>
      </c>
      <c r="C2699" s="1" t="s">
        <v>3688</v>
      </c>
      <c r="D2699" s="1" t="s">
        <v>3689</v>
      </c>
      <c r="E2699" s="1" t="s">
        <v>7</v>
      </c>
    </row>
    <row r="2700" customFormat="false" ht="16" hidden="false" customHeight="false" outlineLevel="0" collapsed="false">
      <c r="A2700" s="1" t="s">
        <v>4608</v>
      </c>
      <c r="B2700" s="1" t="s">
        <v>4609</v>
      </c>
      <c r="C2700" s="1" t="s">
        <v>3688</v>
      </c>
      <c r="D2700" s="1" t="s">
        <v>3689</v>
      </c>
      <c r="E2700" s="1" t="s">
        <v>7</v>
      </c>
    </row>
    <row r="2701" customFormat="false" ht="16" hidden="false" customHeight="false" outlineLevel="0" collapsed="false">
      <c r="A2701" s="1" t="s">
        <v>4610</v>
      </c>
      <c r="B2701" s="1" t="s">
        <v>29</v>
      </c>
      <c r="C2701" s="1" t="s">
        <v>3688</v>
      </c>
      <c r="D2701" s="1" t="s">
        <v>3689</v>
      </c>
      <c r="E2701" s="1" t="s">
        <v>7</v>
      </c>
    </row>
    <row r="2702" customFormat="false" ht="16" hidden="false" customHeight="false" outlineLevel="0" collapsed="false">
      <c r="A2702" s="1" t="s">
        <v>4611</v>
      </c>
      <c r="B2702" s="1" t="s">
        <v>29</v>
      </c>
      <c r="C2702" s="1" t="s">
        <v>3688</v>
      </c>
      <c r="D2702" s="1" t="s">
        <v>3727</v>
      </c>
      <c r="E2702" s="1" t="s">
        <v>7</v>
      </c>
    </row>
    <row r="2703" customFormat="false" ht="16" hidden="false" customHeight="false" outlineLevel="0" collapsed="false">
      <c r="A2703" s="1" t="s">
        <v>4612</v>
      </c>
      <c r="B2703" s="1" t="s">
        <v>29</v>
      </c>
      <c r="C2703" s="1" t="s">
        <v>3688</v>
      </c>
      <c r="D2703" s="1" t="s">
        <v>3729</v>
      </c>
      <c r="E2703" s="1" t="s">
        <v>7</v>
      </c>
    </row>
    <row r="2704" customFormat="false" ht="16" hidden="false" customHeight="false" outlineLevel="0" collapsed="false">
      <c r="A2704" s="1" t="s">
        <v>4613</v>
      </c>
      <c r="B2704" s="1" t="s">
        <v>29</v>
      </c>
      <c r="C2704" s="1" t="s">
        <v>3688</v>
      </c>
      <c r="D2704" s="1" t="s">
        <v>770</v>
      </c>
      <c r="E2704" s="1" t="s">
        <v>7</v>
      </c>
    </row>
    <row r="2705" customFormat="false" ht="16" hidden="false" customHeight="false" outlineLevel="0" collapsed="false">
      <c r="A2705" s="1" t="s">
        <v>4614</v>
      </c>
      <c r="B2705" s="1" t="s">
        <v>2635</v>
      </c>
      <c r="C2705" s="1" t="s">
        <v>3688</v>
      </c>
      <c r="D2705" s="1" t="s">
        <v>3689</v>
      </c>
      <c r="E2705" s="1" t="s">
        <v>7</v>
      </c>
    </row>
    <row r="2706" customFormat="false" ht="16" hidden="false" customHeight="false" outlineLevel="0" collapsed="false">
      <c r="A2706" s="1" t="s">
        <v>4615</v>
      </c>
      <c r="B2706" s="1" t="s">
        <v>4616</v>
      </c>
      <c r="C2706" s="1" t="s">
        <v>3688</v>
      </c>
      <c r="D2706" s="1" t="s">
        <v>3689</v>
      </c>
      <c r="E2706" s="1" t="s">
        <v>7</v>
      </c>
    </row>
    <row r="2707" customFormat="false" ht="16" hidden="false" customHeight="false" outlineLevel="0" collapsed="false">
      <c r="A2707" s="1" t="s">
        <v>4617</v>
      </c>
      <c r="B2707" s="1" t="s">
        <v>2641</v>
      </c>
      <c r="C2707" s="1" t="s">
        <v>3688</v>
      </c>
      <c r="D2707" s="1" t="s">
        <v>3689</v>
      </c>
      <c r="E2707" s="1" t="s">
        <v>7</v>
      </c>
    </row>
    <row r="2708" customFormat="false" ht="16" hidden="false" customHeight="false" outlineLevel="0" collapsed="false">
      <c r="A2708" s="1" t="s">
        <v>4618</v>
      </c>
      <c r="B2708" s="1" t="s">
        <v>4619</v>
      </c>
      <c r="C2708" s="1" t="s">
        <v>3688</v>
      </c>
      <c r="D2708" s="1" t="s">
        <v>3689</v>
      </c>
      <c r="E2708" s="1" t="s">
        <v>7</v>
      </c>
    </row>
    <row r="2709" customFormat="false" ht="16" hidden="false" customHeight="false" outlineLevel="0" collapsed="false">
      <c r="A2709" s="1" t="s">
        <v>4620</v>
      </c>
      <c r="B2709" s="1" t="s">
        <v>4621</v>
      </c>
      <c r="C2709" s="1" t="s">
        <v>3688</v>
      </c>
      <c r="D2709" s="1" t="s">
        <v>3689</v>
      </c>
      <c r="E2709" s="1" t="s">
        <v>7</v>
      </c>
    </row>
    <row r="2710" customFormat="false" ht="16" hidden="false" customHeight="false" outlineLevel="0" collapsed="false">
      <c r="A2710" s="1" t="s">
        <v>4622</v>
      </c>
      <c r="B2710" s="1" t="s">
        <v>4623</v>
      </c>
      <c r="C2710" s="1" t="s">
        <v>3688</v>
      </c>
      <c r="D2710" s="1" t="s">
        <v>3689</v>
      </c>
      <c r="E2710" s="1" t="s">
        <v>7</v>
      </c>
    </row>
    <row r="2711" customFormat="false" ht="16" hidden="false" customHeight="false" outlineLevel="0" collapsed="false">
      <c r="A2711" s="1" t="s">
        <v>4624</v>
      </c>
      <c r="B2711" s="1" t="s">
        <v>4625</v>
      </c>
      <c r="C2711" s="1" t="s">
        <v>3688</v>
      </c>
      <c r="D2711" s="1" t="s">
        <v>3689</v>
      </c>
      <c r="E2711" s="1" t="s">
        <v>7</v>
      </c>
    </row>
    <row r="2712" customFormat="false" ht="16" hidden="false" customHeight="false" outlineLevel="0" collapsed="false">
      <c r="A2712" s="1" t="s">
        <v>4626</v>
      </c>
      <c r="B2712" s="1" t="s">
        <v>4627</v>
      </c>
      <c r="C2712" s="1" t="s">
        <v>3688</v>
      </c>
      <c r="D2712" s="1" t="s">
        <v>3689</v>
      </c>
      <c r="E2712" s="1" t="s">
        <v>7</v>
      </c>
    </row>
    <row r="2713" customFormat="false" ht="16" hidden="false" customHeight="false" outlineLevel="0" collapsed="false">
      <c r="A2713" s="1" t="s">
        <v>4628</v>
      </c>
      <c r="B2713" s="1" t="s">
        <v>2649</v>
      </c>
      <c r="C2713" s="1" t="s">
        <v>3688</v>
      </c>
      <c r="D2713" s="1" t="s">
        <v>3689</v>
      </c>
      <c r="E2713" s="1" t="s">
        <v>7</v>
      </c>
    </row>
    <row r="2714" customFormat="false" ht="16" hidden="false" customHeight="false" outlineLevel="0" collapsed="false">
      <c r="A2714" s="1" t="s">
        <v>4629</v>
      </c>
      <c r="B2714" s="1" t="s">
        <v>4630</v>
      </c>
      <c r="C2714" s="1" t="s">
        <v>3688</v>
      </c>
      <c r="D2714" s="1" t="s">
        <v>3689</v>
      </c>
      <c r="E2714" s="1" t="s">
        <v>7</v>
      </c>
    </row>
    <row r="2715" customFormat="false" ht="16" hidden="false" customHeight="false" outlineLevel="0" collapsed="false">
      <c r="A2715" s="1" t="s">
        <v>4631</v>
      </c>
      <c r="B2715" s="1" t="s">
        <v>4632</v>
      </c>
      <c r="C2715" s="1" t="s">
        <v>3688</v>
      </c>
      <c r="D2715" s="1" t="s">
        <v>3689</v>
      </c>
      <c r="E2715" s="1" t="s">
        <v>7</v>
      </c>
    </row>
    <row r="2716" customFormat="false" ht="16" hidden="false" customHeight="false" outlineLevel="0" collapsed="false">
      <c r="A2716" s="1" t="s">
        <v>4633</v>
      </c>
      <c r="B2716" s="1" t="s">
        <v>4634</v>
      </c>
      <c r="C2716" s="1" t="s">
        <v>3688</v>
      </c>
      <c r="D2716" s="1" t="s">
        <v>3689</v>
      </c>
      <c r="E2716" s="1" t="s">
        <v>7</v>
      </c>
    </row>
    <row r="2717" customFormat="false" ht="16" hidden="false" customHeight="false" outlineLevel="0" collapsed="false">
      <c r="A2717" s="1" t="s">
        <v>4635</v>
      </c>
      <c r="B2717" s="1" t="s">
        <v>4636</v>
      </c>
      <c r="C2717" s="1" t="s">
        <v>3688</v>
      </c>
      <c r="D2717" s="1" t="s">
        <v>3689</v>
      </c>
      <c r="E2717" s="1" t="s">
        <v>7</v>
      </c>
    </row>
    <row r="2718" customFormat="false" ht="16" hidden="false" customHeight="false" outlineLevel="0" collapsed="false">
      <c r="A2718" s="1" t="s">
        <v>4637</v>
      </c>
      <c r="B2718" s="1" t="s">
        <v>4638</v>
      </c>
      <c r="C2718" s="1" t="s">
        <v>3688</v>
      </c>
      <c r="D2718" s="1" t="s">
        <v>3689</v>
      </c>
      <c r="E2718" s="1" t="s">
        <v>7</v>
      </c>
    </row>
    <row r="2719" customFormat="false" ht="16" hidden="false" customHeight="false" outlineLevel="0" collapsed="false">
      <c r="A2719" s="1" t="s">
        <v>4639</v>
      </c>
      <c r="B2719" s="1" t="s">
        <v>171</v>
      </c>
      <c r="C2719" s="1" t="s">
        <v>3688</v>
      </c>
      <c r="D2719" s="1" t="s">
        <v>3689</v>
      </c>
      <c r="E2719" s="1" t="s">
        <v>7</v>
      </c>
    </row>
    <row r="2720" customFormat="false" ht="16" hidden="false" customHeight="false" outlineLevel="0" collapsed="false">
      <c r="A2720" s="1" t="s">
        <v>4640</v>
      </c>
      <c r="B2720" s="1" t="s">
        <v>171</v>
      </c>
      <c r="C2720" s="1" t="s">
        <v>3688</v>
      </c>
      <c r="D2720" s="1" t="s">
        <v>3727</v>
      </c>
      <c r="E2720" s="1" t="s">
        <v>7</v>
      </c>
    </row>
    <row r="2721" customFormat="false" ht="16" hidden="false" customHeight="false" outlineLevel="0" collapsed="false">
      <c r="A2721" s="1" t="s">
        <v>4641</v>
      </c>
      <c r="B2721" s="1" t="s">
        <v>171</v>
      </c>
      <c r="C2721" s="1" t="s">
        <v>3688</v>
      </c>
      <c r="D2721" s="1" t="s">
        <v>3729</v>
      </c>
      <c r="E2721" s="1" t="s">
        <v>7</v>
      </c>
    </row>
    <row r="2722" customFormat="false" ht="16" hidden="false" customHeight="false" outlineLevel="0" collapsed="false">
      <c r="A2722" s="1" t="s">
        <v>4642</v>
      </c>
      <c r="B2722" s="1" t="s">
        <v>171</v>
      </c>
      <c r="C2722" s="1" t="s">
        <v>3688</v>
      </c>
      <c r="D2722" s="1" t="s">
        <v>770</v>
      </c>
      <c r="E2722" s="1" t="s">
        <v>7</v>
      </c>
    </row>
    <row r="2723" customFormat="false" ht="16" hidden="false" customHeight="false" outlineLevel="0" collapsed="false">
      <c r="A2723" s="1" t="s">
        <v>4643</v>
      </c>
      <c r="B2723" s="1" t="s">
        <v>4644</v>
      </c>
      <c r="C2723" s="1" t="s">
        <v>3688</v>
      </c>
      <c r="D2723" s="1" t="s">
        <v>3689</v>
      </c>
      <c r="E2723" s="1" t="s">
        <v>7</v>
      </c>
    </row>
    <row r="2724" customFormat="false" ht="16" hidden="false" customHeight="false" outlineLevel="0" collapsed="false">
      <c r="A2724" s="1" t="s">
        <v>4645</v>
      </c>
      <c r="B2724" s="1" t="s">
        <v>4646</v>
      </c>
      <c r="C2724" s="1" t="s">
        <v>3688</v>
      </c>
      <c r="D2724" s="1" t="s">
        <v>3689</v>
      </c>
      <c r="E2724" s="1" t="s">
        <v>7</v>
      </c>
    </row>
    <row r="2725" customFormat="false" ht="16" hidden="false" customHeight="false" outlineLevel="0" collapsed="false">
      <c r="A2725" s="1" t="s">
        <v>4647</v>
      </c>
      <c r="B2725" s="1" t="s">
        <v>4648</v>
      </c>
      <c r="C2725" s="1" t="s">
        <v>3688</v>
      </c>
      <c r="D2725" s="1" t="s">
        <v>3689</v>
      </c>
      <c r="E2725" s="1" t="s">
        <v>7</v>
      </c>
    </row>
    <row r="2726" customFormat="false" ht="16" hidden="false" customHeight="false" outlineLevel="0" collapsed="false">
      <c r="A2726" s="1" t="s">
        <v>4649</v>
      </c>
      <c r="B2726" s="1" t="s">
        <v>4650</v>
      </c>
      <c r="C2726" s="1" t="s">
        <v>3688</v>
      </c>
      <c r="D2726" s="1" t="s">
        <v>3689</v>
      </c>
      <c r="E2726" s="1" t="s">
        <v>7</v>
      </c>
    </row>
    <row r="2727" customFormat="false" ht="16" hidden="false" customHeight="false" outlineLevel="0" collapsed="false">
      <c r="A2727" s="1" t="s">
        <v>4651</v>
      </c>
      <c r="B2727" s="1" t="s">
        <v>4652</v>
      </c>
      <c r="C2727" s="1" t="s">
        <v>3688</v>
      </c>
      <c r="D2727" s="1" t="s">
        <v>3689</v>
      </c>
      <c r="E2727" s="1" t="s">
        <v>7</v>
      </c>
    </row>
    <row r="2728" customFormat="false" ht="16" hidden="false" customHeight="false" outlineLevel="0" collapsed="false">
      <c r="A2728" s="1" t="s">
        <v>4653</v>
      </c>
      <c r="B2728" s="1" t="s">
        <v>4654</v>
      </c>
      <c r="C2728" s="1" t="s">
        <v>3688</v>
      </c>
      <c r="D2728" s="1" t="s">
        <v>3689</v>
      </c>
      <c r="E2728" s="1" t="s">
        <v>7</v>
      </c>
    </row>
    <row r="2729" customFormat="false" ht="16" hidden="false" customHeight="false" outlineLevel="0" collapsed="false">
      <c r="A2729" s="1" t="s">
        <v>4655</v>
      </c>
      <c r="B2729" s="1" t="s">
        <v>4656</v>
      </c>
      <c r="C2729" s="1" t="s">
        <v>3688</v>
      </c>
      <c r="D2729" s="1" t="s">
        <v>3689</v>
      </c>
      <c r="E2729" s="1" t="s">
        <v>7</v>
      </c>
    </row>
    <row r="2730" customFormat="false" ht="16" hidden="false" customHeight="false" outlineLevel="0" collapsed="false">
      <c r="A2730" s="1" t="s">
        <v>4657</v>
      </c>
      <c r="B2730" s="1" t="s">
        <v>2677</v>
      </c>
      <c r="C2730" s="1" t="s">
        <v>3688</v>
      </c>
      <c r="D2730" s="1" t="s">
        <v>3689</v>
      </c>
      <c r="E2730" s="1" t="s">
        <v>7</v>
      </c>
    </row>
    <row r="2731" customFormat="false" ht="16" hidden="false" customHeight="false" outlineLevel="0" collapsed="false">
      <c r="A2731" s="1" t="s">
        <v>4658</v>
      </c>
      <c r="B2731" s="1" t="s">
        <v>4659</v>
      </c>
      <c r="C2731" s="1" t="s">
        <v>3688</v>
      </c>
      <c r="D2731" s="1" t="s">
        <v>3689</v>
      </c>
      <c r="E2731" s="1" t="s">
        <v>7</v>
      </c>
    </row>
    <row r="2732" customFormat="false" ht="16" hidden="false" customHeight="false" outlineLevel="0" collapsed="false">
      <c r="A2732" s="1" t="s">
        <v>4660</v>
      </c>
      <c r="B2732" s="1" t="s">
        <v>4661</v>
      </c>
      <c r="C2732" s="1" t="s">
        <v>3688</v>
      </c>
      <c r="D2732" s="1" t="s">
        <v>3689</v>
      </c>
      <c r="E2732" s="1" t="s">
        <v>7</v>
      </c>
    </row>
    <row r="2733" customFormat="false" ht="16" hidden="false" customHeight="false" outlineLevel="0" collapsed="false">
      <c r="A2733" s="1" t="s">
        <v>4662</v>
      </c>
      <c r="B2733" s="1" t="s">
        <v>111</v>
      </c>
      <c r="C2733" s="1" t="s">
        <v>3688</v>
      </c>
      <c r="D2733" s="1" t="s">
        <v>3689</v>
      </c>
      <c r="E2733" s="1" t="s">
        <v>7</v>
      </c>
    </row>
    <row r="2734" customFormat="false" ht="16" hidden="false" customHeight="false" outlineLevel="0" collapsed="false">
      <c r="A2734" s="1" t="s">
        <v>4663</v>
      </c>
      <c r="B2734" s="1" t="s">
        <v>111</v>
      </c>
      <c r="C2734" s="1" t="s">
        <v>3688</v>
      </c>
      <c r="D2734" s="1" t="s">
        <v>3727</v>
      </c>
      <c r="E2734" s="1" t="s">
        <v>7</v>
      </c>
    </row>
    <row r="2735" customFormat="false" ht="16" hidden="false" customHeight="false" outlineLevel="0" collapsed="false">
      <c r="A2735" s="1" t="s">
        <v>4664</v>
      </c>
      <c r="B2735" s="1" t="s">
        <v>111</v>
      </c>
      <c r="C2735" s="1" t="s">
        <v>3688</v>
      </c>
      <c r="D2735" s="1" t="s">
        <v>3729</v>
      </c>
      <c r="E2735" s="1" t="s">
        <v>7</v>
      </c>
    </row>
    <row r="2736" customFormat="false" ht="16" hidden="false" customHeight="false" outlineLevel="0" collapsed="false">
      <c r="A2736" s="1" t="s">
        <v>4665</v>
      </c>
      <c r="B2736" s="1" t="s">
        <v>111</v>
      </c>
      <c r="C2736" s="1" t="s">
        <v>3688</v>
      </c>
      <c r="D2736" s="1" t="s">
        <v>770</v>
      </c>
      <c r="E2736" s="1" t="s">
        <v>7</v>
      </c>
    </row>
    <row r="2737" customFormat="false" ht="16" hidden="false" customHeight="false" outlineLevel="0" collapsed="false">
      <c r="A2737" s="1" t="s">
        <v>4666</v>
      </c>
      <c r="B2737" s="1" t="s">
        <v>77</v>
      </c>
      <c r="C2737" s="1" t="s">
        <v>3688</v>
      </c>
      <c r="D2737" s="1" t="s">
        <v>3689</v>
      </c>
      <c r="E2737" s="1" t="s">
        <v>7</v>
      </c>
    </row>
    <row r="2738" customFormat="false" ht="16" hidden="false" customHeight="false" outlineLevel="0" collapsed="false">
      <c r="A2738" s="1" t="s">
        <v>4667</v>
      </c>
      <c r="B2738" s="1" t="s">
        <v>77</v>
      </c>
      <c r="C2738" s="1" t="s">
        <v>3688</v>
      </c>
      <c r="D2738" s="1" t="s">
        <v>3727</v>
      </c>
      <c r="E2738" s="1" t="s">
        <v>7</v>
      </c>
    </row>
    <row r="2739" customFormat="false" ht="16" hidden="false" customHeight="false" outlineLevel="0" collapsed="false">
      <c r="A2739" s="1" t="s">
        <v>4668</v>
      </c>
      <c r="B2739" s="1" t="s">
        <v>77</v>
      </c>
      <c r="C2739" s="1" t="s">
        <v>3688</v>
      </c>
      <c r="D2739" s="1" t="s">
        <v>3729</v>
      </c>
      <c r="E2739" s="1" t="s">
        <v>7</v>
      </c>
    </row>
    <row r="2740" customFormat="false" ht="16" hidden="false" customHeight="false" outlineLevel="0" collapsed="false">
      <c r="A2740" s="1" t="s">
        <v>4669</v>
      </c>
      <c r="B2740" s="1" t="s">
        <v>77</v>
      </c>
      <c r="C2740" s="1" t="s">
        <v>3688</v>
      </c>
      <c r="D2740" s="1" t="s">
        <v>770</v>
      </c>
      <c r="E2740" s="1" t="s">
        <v>7</v>
      </c>
    </row>
    <row r="2741" customFormat="false" ht="16" hidden="false" customHeight="false" outlineLevel="0" collapsed="false">
      <c r="A2741" s="1" t="s">
        <v>4670</v>
      </c>
      <c r="B2741" s="1" t="s">
        <v>4671</v>
      </c>
      <c r="C2741" s="1" t="s">
        <v>3688</v>
      </c>
      <c r="D2741" s="1" t="s">
        <v>3689</v>
      </c>
      <c r="E2741" s="1" t="s">
        <v>7</v>
      </c>
    </row>
    <row r="2742" customFormat="false" ht="16" hidden="false" customHeight="false" outlineLevel="0" collapsed="false">
      <c r="A2742" s="1" t="s">
        <v>4672</v>
      </c>
      <c r="B2742" s="1" t="s">
        <v>4673</v>
      </c>
      <c r="C2742" s="1" t="s">
        <v>3688</v>
      </c>
      <c r="D2742" s="1" t="s">
        <v>3689</v>
      </c>
      <c r="E2742" s="1" t="s">
        <v>7</v>
      </c>
    </row>
    <row r="2743" customFormat="false" ht="16" hidden="false" customHeight="false" outlineLevel="0" collapsed="false">
      <c r="A2743" s="1" t="s">
        <v>4674</v>
      </c>
      <c r="B2743" s="1" t="s">
        <v>4675</v>
      </c>
      <c r="C2743" s="1" t="s">
        <v>3688</v>
      </c>
      <c r="D2743" s="1" t="s">
        <v>3689</v>
      </c>
      <c r="E2743" s="1" t="s">
        <v>7</v>
      </c>
    </row>
    <row r="2744" customFormat="false" ht="16" hidden="false" customHeight="false" outlineLevel="0" collapsed="false">
      <c r="A2744" s="1" t="s">
        <v>4676</v>
      </c>
      <c r="B2744" s="1" t="s">
        <v>4677</v>
      </c>
      <c r="C2744" s="1" t="s">
        <v>3688</v>
      </c>
      <c r="D2744" s="1" t="s">
        <v>3689</v>
      </c>
      <c r="E2744" s="1" t="s">
        <v>7</v>
      </c>
    </row>
    <row r="2745" customFormat="false" ht="16" hidden="false" customHeight="false" outlineLevel="0" collapsed="false">
      <c r="A2745" s="1" t="s">
        <v>4678</v>
      </c>
      <c r="B2745" s="1" t="s">
        <v>4679</v>
      </c>
      <c r="C2745" s="1" t="s">
        <v>3688</v>
      </c>
      <c r="D2745" s="1" t="s">
        <v>3689</v>
      </c>
      <c r="E2745" s="1" t="s">
        <v>7</v>
      </c>
    </row>
    <row r="2746" customFormat="false" ht="16" hidden="false" customHeight="false" outlineLevel="0" collapsed="false">
      <c r="A2746" s="1" t="s">
        <v>4680</v>
      </c>
      <c r="B2746" s="1" t="s">
        <v>4681</v>
      </c>
      <c r="C2746" s="1" t="s">
        <v>3688</v>
      </c>
      <c r="D2746" s="1" t="s">
        <v>3689</v>
      </c>
      <c r="E2746" s="1" t="s">
        <v>7</v>
      </c>
    </row>
    <row r="2747" customFormat="false" ht="16" hidden="false" customHeight="false" outlineLevel="0" collapsed="false">
      <c r="A2747" s="1" t="s">
        <v>4682</v>
      </c>
      <c r="B2747" s="1" t="s">
        <v>4683</v>
      </c>
      <c r="C2747" s="1" t="s">
        <v>3688</v>
      </c>
      <c r="D2747" s="1" t="s">
        <v>3689</v>
      </c>
      <c r="E2747" s="1" t="s">
        <v>7</v>
      </c>
    </row>
    <row r="2748" customFormat="false" ht="16" hidden="false" customHeight="false" outlineLevel="0" collapsed="false">
      <c r="A2748" s="1" t="s">
        <v>4684</v>
      </c>
      <c r="B2748" s="1" t="s">
        <v>4685</v>
      </c>
      <c r="C2748" s="1" t="s">
        <v>3688</v>
      </c>
      <c r="D2748" s="1" t="s">
        <v>3689</v>
      </c>
      <c r="E2748" s="1" t="s">
        <v>7</v>
      </c>
    </row>
    <row r="2749" customFormat="false" ht="16" hidden="false" customHeight="false" outlineLevel="0" collapsed="false">
      <c r="A2749" s="1" t="s">
        <v>4686</v>
      </c>
      <c r="B2749" s="1" t="s">
        <v>4687</v>
      </c>
      <c r="C2749" s="1" t="s">
        <v>3688</v>
      </c>
      <c r="D2749" s="1" t="s">
        <v>3689</v>
      </c>
      <c r="E2749" s="1" t="s">
        <v>7</v>
      </c>
    </row>
    <row r="2750" customFormat="false" ht="16" hidden="false" customHeight="false" outlineLevel="0" collapsed="false">
      <c r="A2750" s="1" t="s">
        <v>4688</v>
      </c>
      <c r="B2750" s="1" t="s">
        <v>4689</v>
      </c>
      <c r="C2750" s="1" t="s">
        <v>3688</v>
      </c>
      <c r="D2750" s="1" t="s">
        <v>3689</v>
      </c>
      <c r="E2750" s="1" t="s">
        <v>7</v>
      </c>
    </row>
    <row r="2751" customFormat="false" ht="16" hidden="false" customHeight="false" outlineLevel="0" collapsed="false">
      <c r="A2751" s="1" t="s">
        <v>4690</v>
      </c>
      <c r="B2751" s="1" t="s">
        <v>4691</v>
      </c>
      <c r="C2751" s="1" t="s">
        <v>3688</v>
      </c>
      <c r="D2751" s="1" t="s">
        <v>3689</v>
      </c>
      <c r="E2751" s="1" t="s">
        <v>7</v>
      </c>
    </row>
    <row r="2752" customFormat="false" ht="16" hidden="false" customHeight="false" outlineLevel="0" collapsed="false">
      <c r="A2752" s="1" t="s">
        <v>4692</v>
      </c>
      <c r="B2752" s="1" t="s">
        <v>4693</v>
      </c>
      <c r="C2752" s="1" t="s">
        <v>3688</v>
      </c>
      <c r="D2752" s="1" t="s">
        <v>3689</v>
      </c>
      <c r="E2752" s="1" t="s">
        <v>7</v>
      </c>
    </row>
    <row r="2753" customFormat="false" ht="16" hidden="false" customHeight="false" outlineLevel="0" collapsed="false">
      <c r="A2753" s="1" t="s">
        <v>4694</v>
      </c>
      <c r="B2753" s="1" t="s">
        <v>4695</v>
      </c>
      <c r="C2753" s="1" t="s">
        <v>3688</v>
      </c>
      <c r="D2753" s="1" t="s">
        <v>3689</v>
      </c>
      <c r="E2753" s="1" t="s">
        <v>7</v>
      </c>
    </row>
    <row r="2754" customFormat="false" ht="16" hidden="false" customHeight="false" outlineLevel="0" collapsed="false">
      <c r="A2754" s="1" t="s">
        <v>4696</v>
      </c>
      <c r="B2754" s="1" t="s">
        <v>2738</v>
      </c>
      <c r="C2754" s="1" t="s">
        <v>3688</v>
      </c>
      <c r="D2754" s="1" t="s">
        <v>3689</v>
      </c>
      <c r="E2754" s="1" t="s">
        <v>7</v>
      </c>
    </row>
    <row r="2755" customFormat="false" ht="16" hidden="false" customHeight="false" outlineLevel="0" collapsed="false">
      <c r="A2755" s="1" t="s">
        <v>4697</v>
      </c>
      <c r="B2755" s="1" t="s">
        <v>4698</v>
      </c>
      <c r="C2755" s="1" t="s">
        <v>3688</v>
      </c>
      <c r="D2755" s="1" t="s">
        <v>3689</v>
      </c>
      <c r="E2755" s="1" t="s">
        <v>7</v>
      </c>
    </row>
    <row r="2756" customFormat="false" ht="16" hidden="false" customHeight="false" outlineLevel="0" collapsed="false">
      <c r="A2756" s="1" t="s">
        <v>4699</v>
      </c>
      <c r="B2756" s="1" t="s">
        <v>4700</v>
      </c>
      <c r="C2756" s="1" t="s">
        <v>3688</v>
      </c>
      <c r="D2756" s="1" t="s">
        <v>3689</v>
      </c>
      <c r="E2756" s="1" t="s">
        <v>7</v>
      </c>
    </row>
    <row r="2757" customFormat="false" ht="16" hidden="false" customHeight="false" outlineLevel="0" collapsed="false">
      <c r="A2757" s="1" t="s">
        <v>4701</v>
      </c>
      <c r="B2757" s="1" t="s">
        <v>2740</v>
      </c>
      <c r="C2757" s="1" t="s">
        <v>3688</v>
      </c>
      <c r="D2757" s="1" t="s">
        <v>3689</v>
      </c>
      <c r="E2757" s="1" t="s">
        <v>7</v>
      </c>
    </row>
    <row r="2758" customFormat="false" ht="16" hidden="false" customHeight="false" outlineLevel="0" collapsed="false">
      <c r="A2758" s="1" t="s">
        <v>4702</v>
      </c>
      <c r="B2758" s="1" t="s">
        <v>4703</v>
      </c>
      <c r="C2758" s="1" t="s">
        <v>3688</v>
      </c>
      <c r="D2758" s="1" t="s">
        <v>3689</v>
      </c>
      <c r="E2758" s="1" t="s">
        <v>7</v>
      </c>
    </row>
    <row r="2759" customFormat="false" ht="16" hidden="false" customHeight="false" outlineLevel="0" collapsed="false">
      <c r="A2759" s="1" t="s">
        <v>4704</v>
      </c>
      <c r="B2759" s="1" t="s">
        <v>4705</v>
      </c>
      <c r="C2759" s="1" t="s">
        <v>3688</v>
      </c>
      <c r="D2759" s="1" t="s">
        <v>3689</v>
      </c>
      <c r="E2759" s="1" t="s">
        <v>7</v>
      </c>
    </row>
    <row r="2760" customFormat="false" ht="16" hidden="false" customHeight="false" outlineLevel="0" collapsed="false">
      <c r="A2760" s="1" t="s">
        <v>4706</v>
      </c>
      <c r="B2760" s="1" t="s">
        <v>4707</v>
      </c>
      <c r="C2760" s="1" t="s">
        <v>3688</v>
      </c>
      <c r="D2760" s="1" t="s">
        <v>3689</v>
      </c>
      <c r="E2760" s="1" t="s">
        <v>7</v>
      </c>
    </row>
    <row r="2761" customFormat="false" ht="16" hidden="false" customHeight="false" outlineLevel="0" collapsed="false">
      <c r="A2761" s="1" t="s">
        <v>4708</v>
      </c>
      <c r="B2761" s="1" t="s">
        <v>4709</v>
      </c>
      <c r="C2761" s="1" t="s">
        <v>3688</v>
      </c>
      <c r="D2761" s="1" t="s">
        <v>3689</v>
      </c>
      <c r="E2761" s="1" t="s">
        <v>7</v>
      </c>
    </row>
    <row r="2762" customFormat="false" ht="16" hidden="false" customHeight="false" outlineLevel="0" collapsed="false">
      <c r="A2762" s="1" t="s">
        <v>4710</v>
      </c>
      <c r="B2762" s="1" t="s">
        <v>2750</v>
      </c>
      <c r="C2762" s="1" t="s">
        <v>3688</v>
      </c>
      <c r="D2762" s="1" t="s">
        <v>3689</v>
      </c>
      <c r="E2762" s="1" t="s">
        <v>7</v>
      </c>
    </row>
    <row r="2763" customFormat="false" ht="16" hidden="false" customHeight="false" outlineLevel="0" collapsed="false">
      <c r="A2763" s="1" t="s">
        <v>4711</v>
      </c>
      <c r="B2763" s="1" t="s">
        <v>2750</v>
      </c>
      <c r="C2763" s="1" t="s">
        <v>3688</v>
      </c>
      <c r="D2763" s="1" t="s">
        <v>3727</v>
      </c>
      <c r="E2763" s="1" t="s">
        <v>7</v>
      </c>
    </row>
    <row r="2764" customFormat="false" ht="16" hidden="false" customHeight="false" outlineLevel="0" collapsed="false">
      <c r="A2764" s="1" t="s">
        <v>4712</v>
      </c>
      <c r="B2764" s="1" t="s">
        <v>2750</v>
      </c>
      <c r="C2764" s="1" t="s">
        <v>3688</v>
      </c>
      <c r="D2764" s="1" t="s">
        <v>3729</v>
      </c>
      <c r="E2764" s="1" t="s">
        <v>7</v>
      </c>
    </row>
    <row r="2765" customFormat="false" ht="16" hidden="false" customHeight="false" outlineLevel="0" collapsed="false">
      <c r="A2765" s="1" t="s">
        <v>4713</v>
      </c>
      <c r="B2765" s="1" t="s">
        <v>2750</v>
      </c>
      <c r="C2765" s="1" t="s">
        <v>3688</v>
      </c>
      <c r="D2765" s="1" t="s">
        <v>770</v>
      </c>
      <c r="E2765" s="1" t="s">
        <v>7</v>
      </c>
    </row>
    <row r="2766" customFormat="false" ht="16" hidden="false" customHeight="false" outlineLevel="0" collapsed="false">
      <c r="A2766" s="1" t="s">
        <v>4714</v>
      </c>
      <c r="B2766" s="1" t="s">
        <v>4715</v>
      </c>
      <c r="C2766" s="1" t="s">
        <v>3688</v>
      </c>
      <c r="D2766" s="1" t="s">
        <v>3689</v>
      </c>
      <c r="E2766" s="1" t="s">
        <v>7</v>
      </c>
    </row>
    <row r="2767" customFormat="false" ht="16" hidden="false" customHeight="false" outlineLevel="0" collapsed="false">
      <c r="A2767" s="1" t="s">
        <v>4716</v>
      </c>
      <c r="B2767" s="1" t="s">
        <v>79</v>
      </c>
      <c r="C2767" s="1" t="s">
        <v>3688</v>
      </c>
      <c r="D2767" s="1" t="s">
        <v>3689</v>
      </c>
      <c r="E2767" s="1" t="s">
        <v>7</v>
      </c>
    </row>
    <row r="2768" customFormat="false" ht="16" hidden="false" customHeight="false" outlineLevel="0" collapsed="false">
      <c r="A2768" s="1" t="s">
        <v>4717</v>
      </c>
      <c r="B2768" s="1" t="s">
        <v>79</v>
      </c>
      <c r="C2768" s="1" t="s">
        <v>3688</v>
      </c>
      <c r="D2768" s="1" t="s">
        <v>3727</v>
      </c>
      <c r="E2768" s="1" t="s">
        <v>7</v>
      </c>
    </row>
    <row r="2769" customFormat="false" ht="16" hidden="false" customHeight="false" outlineLevel="0" collapsed="false">
      <c r="A2769" s="1" t="s">
        <v>4718</v>
      </c>
      <c r="B2769" s="1" t="s">
        <v>79</v>
      </c>
      <c r="C2769" s="1" t="s">
        <v>3688</v>
      </c>
      <c r="D2769" s="1" t="s">
        <v>3729</v>
      </c>
      <c r="E2769" s="1" t="s">
        <v>7</v>
      </c>
    </row>
    <row r="2770" customFormat="false" ht="16" hidden="false" customHeight="false" outlineLevel="0" collapsed="false">
      <c r="A2770" s="1" t="s">
        <v>4719</v>
      </c>
      <c r="B2770" s="1" t="s">
        <v>79</v>
      </c>
      <c r="C2770" s="1" t="s">
        <v>3688</v>
      </c>
      <c r="D2770" s="1" t="s">
        <v>770</v>
      </c>
      <c r="E2770" s="1" t="s">
        <v>7</v>
      </c>
    </row>
    <row r="2771" customFormat="false" ht="16" hidden="false" customHeight="false" outlineLevel="0" collapsed="false">
      <c r="A2771" s="1" t="s">
        <v>4720</v>
      </c>
      <c r="B2771" s="1" t="s">
        <v>4721</v>
      </c>
      <c r="C2771" s="1" t="s">
        <v>3688</v>
      </c>
      <c r="D2771" s="1" t="s">
        <v>3689</v>
      </c>
      <c r="E2771" s="1" t="s">
        <v>7</v>
      </c>
    </row>
    <row r="2772" customFormat="false" ht="16" hidden="false" customHeight="false" outlineLevel="0" collapsed="false">
      <c r="A2772" s="1" t="s">
        <v>4722</v>
      </c>
      <c r="B2772" s="1" t="s">
        <v>2847</v>
      </c>
      <c r="C2772" s="1" t="s">
        <v>3688</v>
      </c>
      <c r="D2772" s="1" t="s">
        <v>3689</v>
      </c>
      <c r="E2772" s="1" t="s">
        <v>7</v>
      </c>
    </row>
    <row r="2773" customFormat="false" ht="16" hidden="false" customHeight="false" outlineLevel="0" collapsed="false">
      <c r="A2773" s="1" t="s">
        <v>4723</v>
      </c>
      <c r="B2773" s="1" t="s">
        <v>61</v>
      </c>
      <c r="C2773" s="1" t="s">
        <v>3688</v>
      </c>
      <c r="D2773" s="1" t="s">
        <v>3689</v>
      </c>
      <c r="E2773" s="1" t="s">
        <v>7</v>
      </c>
    </row>
    <row r="2774" customFormat="false" ht="16" hidden="false" customHeight="false" outlineLevel="0" collapsed="false">
      <c r="A2774" s="1" t="s">
        <v>4724</v>
      </c>
      <c r="B2774" s="1" t="s">
        <v>61</v>
      </c>
      <c r="C2774" s="1" t="s">
        <v>3688</v>
      </c>
      <c r="D2774" s="1" t="s">
        <v>3727</v>
      </c>
      <c r="E2774" s="1" t="s">
        <v>7</v>
      </c>
    </row>
    <row r="2775" customFormat="false" ht="16" hidden="false" customHeight="false" outlineLevel="0" collapsed="false">
      <c r="A2775" s="1" t="s">
        <v>4725</v>
      </c>
      <c r="B2775" s="1" t="s">
        <v>61</v>
      </c>
      <c r="C2775" s="1" t="s">
        <v>3688</v>
      </c>
      <c r="D2775" s="1" t="s">
        <v>3729</v>
      </c>
      <c r="E2775" s="1" t="s">
        <v>7</v>
      </c>
    </row>
    <row r="2776" customFormat="false" ht="16" hidden="false" customHeight="false" outlineLevel="0" collapsed="false">
      <c r="A2776" s="1" t="s">
        <v>4726</v>
      </c>
      <c r="B2776" s="1" t="s">
        <v>61</v>
      </c>
      <c r="C2776" s="1" t="s">
        <v>3688</v>
      </c>
      <c r="D2776" s="1" t="s">
        <v>770</v>
      </c>
      <c r="E2776" s="1" t="s">
        <v>7</v>
      </c>
    </row>
    <row r="2777" customFormat="false" ht="16" hidden="false" customHeight="false" outlineLevel="0" collapsed="false">
      <c r="A2777" s="1" t="s">
        <v>4727</v>
      </c>
      <c r="B2777" s="1" t="s">
        <v>4728</v>
      </c>
      <c r="C2777" s="1" t="s">
        <v>3688</v>
      </c>
      <c r="D2777" s="1" t="s">
        <v>3689</v>
      </c>
      <c r="E2777" s="1" t="s">
        <v>7</v>
      </c>
    </row>
    <row r="2778" customFormat="false" ht="16" hidden="false" customHeight="false" outlineLevel="0" collapsed="false">
      <c r="A2778" s="1" t="s">
        <v>4729</v>
      </c>
      <c r="B2778" s="1" t="s">
        <v>4730</v>
      </c>
      <c r="C2778" s="1" t="s">
        <v>3688</v>
      </c>
      <c r="D2778" s="1" t="s">
        <v>3689</v>
      </c>
      <c r="E2778" s="1" t="s">
        <v>7</v>
      </c>
    </row>
    <row r="2779" customFormat="false" ht="16" hidden="false" customHeight="false" outlineLevel="0" collapsed="false">
      <c r="A2779" s="1" t="s">
        <v>4731</v>
      </c>
      <c r="B2779" s="1" t="s">
        <v>4732</v>
      </c>
      <c r="C2779" s="1" t="s">
        <v>3688</v>
      </c>
      <c r="D2779" s="1" t="s">
        <v>3689</v>
      </c>
      <c r="E2779" s="1" t="s">
        <v>7</v>
      </c>
    </row>
    <row r="2780" customFormat="false" ht="16" hidden="false" customHeight="false" outlineLevel="0" collapsed="false">
      <c r="A2780" s="1" t="s">
        <v>4733</v>
      </c>
      <c r="B2780" s="1" t="s">
        <v>4734</v>
      </c>
      <c r="C2780" s="1" t="s">
        <v>3688</v>
      </c>
      <c r="D2780" s="1" t="s">
        <v>3689</v>
      </c>
      <c r="E2780" s="1" t="s">
        <v>7</v>
      </c>
    </row>
    <row r="2781" customFormat="false" ht="16" hidden="false" customHeight="false" outlineLevel="0" collapsed="false">
      <c r="A2781" s="1" t="s">
        <v>4735</v>
      </c>
      <c r="B2781" s="1" t="s">
        <v>4736</v>
      </c>
      <c r="C2781" s="1" t="s">
        <v>4737</v>
      </c>
      <c r="D2781" s="1" t="s">
        <v>770</v>
      </c>
      <c r="E2781" s="1" t="s">
        <v>7</v>
      </c>
    </row>
    <row r="2782" customFormat="false" ht="16" hidden="false" customHeight="false" outlineLevel="0" collapsed="false">
      <c r="A2782" s="1" t="s">
        <v>4738</v>
      </c>
      <c r="B2782" s="1" t="s">
        <v>763</v>
      </c>
      <c r="C2782" s="1" t="s">
        <v>4737</v>
      </c>
      <c r="D2782" s="1" t="s">
        <v>4739</v>
      </c>
      <c r="E2782" s="1" t="s">
        <v>7</v>
      </c>
    </row>
    <row r="2783" customFormat="false" ht="16" hidden="false" customHeight="false" outlineLevel="0" collapsed="false">
      <c r="A2783" s="1" t="s">
        <v>4740</v>
      </c>
      <c r="B2783" s="1" t="s">
        <v>763</v>
      </c>
      <c r="C2783" s="1" t="s">
        <v>4737</v>
      </c>
      <c r="D2783" s="1" t="s">
        <v>4741</v>
      </c>
      <c r="E2783" s="1" t="s">
        <v>7</v>
      </c>
    </row>
    <row r="2784" customFormat="false" ht="16" hidden="false" customHeight="false" outlineLevel="0" collapsed="false">
      <c r="A2784" s="1" t="s">
        <v>4742</v>
      </c>
      <c r="B2784" s="1" t="s">
        <v>763</v>
      </c>
      <c r="C2784" s="1" t="s">
        <v>4737</v>
      </c>
      <c r="D2784" s="1" t="s">
        <v>4743</v>
      </c>
      <c r="E2784" s="1" t="s">
        <v>7</v>
      </c>
    </row>
    <row r="2785" customFormat="false" ht="16" hidden="false" customHeight="false" outlineLevel="0" collapsed="false">
      <c r="A2785" s="1" t="s">
        <v>4744</v>
      </c>
      <c r="B2785" s="1" t="s">
        <v>763</v>
      </c>
      <c r="C2785" s="1" t="s">
        <v>4737</v>
      </c>
      <c r="D2785" s="1" t="s">
        <v>4745</v>
      </c>
      <c r="E2785" s="1" t="s">
        <v>7</v>
      </c>
    </row>
    <row r="2786" customFormat="false" ht="16" hidden="false" customHeight="false" outlineLevel="0" collapsed="false">
      <c r="A2786" s="1" t="s">
        <v>4746</v>
      </c>
      <c r="B2786" s="1" t="s">
        <v>763</v>
      </c>
      <c r="C2786" s="1" t="s">
        <v>4737</v>
      </c>
      <c r="D2786" s="1" t="s">
        <v>770</v>
      </c>
      <c r="E2786" s="1" t="s">
        <v>7</v>
      </c>
    </row>
    <row r="2787" customFormat="false" ht="16" hidden="false" customHeight="false" outlineLevel="0" collapsed="false">
      <c r="A2787" s="1" t="s">
        <v>4747</v>
      </c>
      <c r="B2787" s="1" t="s">
        <v>773</v>
      </c>
      <c r="C2787" s="1" t="s">
        <v>4737</v>
      </c>
      <c r="D2787" s="1" t="s">
        <v>4739</v>
      </c>
      <c r="E2787" s="1" t="s">
        <v>7</v>
      </c>
    </row>
    <row r="2788" customFormat="false" ht="16" hidden="false" customHeight="false" outlineLevel="0" collapsed="false">
      <c r="A2788" s="1" t="s">
        <v>4748</v>
      </c>
      <c r="B2788" s="1" t="s">
        <v>773</v>
      </c>
      <c r="C2788" s="1" t="s">
        <v>4737</v>
      </c>
      <c r="D2788" s="1" t="s">
        <v>4741</v>
      </c>
      <c r="E2788" s="1" t="s">
        <v>7</v>
      </c>
    </row>
    <row r="2789" customFormat="false" ht="16" hidden="false" customHeight="false" outlineLevel="0" collapsed="false">
      <c r="A2789" s="1" t="s">
        <v>4749</v>
      </c>
      <c r="B2789" s="1" t="s">
        <v>773</v>
      </c>
      <c r="C2789" s="1" t="s">
        <v>4737</v>
      </c>
      <c r="D2789" s="1" t="s">
        <v>4743</v>
      </c>
      <c r="E2789" s="1" t="s">
        <v>7</v>
      </c>
    </row>
    <row r="2790" customFormat="false" ht="16" hidden="false" customHeight="false" outlineLevel="0" collapsed="false">
      <c r="A2790" s="1" t="s">
        <v>4750</v>
      </c>
      <c r="B2790" s="1" t="s">
        <v>773</v>
      </c>
      <c r="C2790" s="1" t="s">
        <v>4737</v>
      </c>
      <c r="D2790" s="1" t="s">
        <v>4745</v>
      </c>
      <c r="E2790" s="1" t="s">
        <v>7</v>
      </c>
    </row>
    <row r="2791" customFormat="false" ht="16" hidden="false" customHeight="false" outlineLevel="0" collapsed="false">
      <c r="A2791" s="1" t="s">
        <v>4751</v>
      </c>
      <c r="B2791" s="1" t="s">
        <v>773</v>
      </c>
      <c r="C2791" s="1" t="s">
        <v>4737</v>
      </c>
      <c r="D2791" s="1" t="s">
        <v>770</v>
      </c>
      <c r="E2791" s="1" t="s">
        <v>7</v>
      </c>
    </row>
    <row r="2792" customFormat="false" ht="16" hidden="false" customHeight="false" outlineLevel="0" collapsed="false">
      <c r="A2792" s="1" t="s">
        <v>4752</v>
      </c>
      <c r="B2792" s="1" t="s">
        <v>779</v>
      </c>
      <c r="C2792" s="1" t="s">
        <v>4737</v>
      </c>
      <c r="D2792" s="1" t="s">
        <v>4739</v>
      </c>
      <c r="E2792" s="1" t="s">
        <v>7</v>
      </c>
    </row>
    <row r="2793" customFormat="false" ht="16" hidden="false" customHeight="false" outlineLevel="0" collapsed="false">
      <c r="A2793" s="1" t="s">
        <v>4753</v>
      </c>
      <c r="B2793" s="1" t="s">
        <v>779</v>
      </c>
      <c r="C2793" s="1" t="s">
        <v>4737</v>
      </c>
      <c r="D2793" s="1" t="s">
        <v>4741</v>
      </c>
      <c r="E2793" s="1" t="s">
        <v>7</v>
      </c>
    </row>
    <row r="2794" customFormat="false" ht="16" hidden="false" customHeight="false" outlineLevel="0" collapsed="false">
      <c r="A2794" s="1" t="s">
        <v>4754</v>
      </c>
      <c r="B2794" s="1" t="s">
        <v>779</v>
      </c>
      <c r="C2794" s="1" t="s">
        <v>4737</v>
      </c>
      <c r="D2794" s="1" t="s">
        <v>4743</v>
      </c>
      <c r="E2794" s="1" t="s">
        <v>7</v>
      </c>
    </row>
    <row r="2795" customFormat="false" ht="16" hidden="false" customHeight="false" outlineLevel="0" collapsed="false">
      <c r="A2795" s="1" t="s">
        <v>4755</v>
      </c>
      <c r="B2795" s="1" t="s">
        <v>779</v>
      </c>
      <c r="C2795" s="1" t="s">
        <v>4737</v>
      </c>
      <c r="D2795" s="1" t="s">
        <v>4745</v>
      </c>
      <c r="E2795" s="1" t="s">
        <v>7</v>
      </c>
    </row>
    <row r="2796" customFormat="false" ht="16" hidden="false" customHeight="false" outlineLevel="0" collapsed="false">
      <c r="A2796" s="1" t="s">
        <v>4756</v>
      </c>
      <c r="B2796" s="1" t="s">
        <v>779</v>
      </c>
      <c r="C2796" s="1" t="s">
        <v>4737</v>
      </c>
      <c r="D2796" s="1" t="s">
        <v>770</v>
      </c>
      <c r="E2796" s="1" t="s">
        <v>7</v>
      </c>
    </row>
    <row r="2797" customFormat="false" ht="16" hidden="false" customHeight="false" outlineLevel="0" collapsed="false">
      <c r="A2797" s="1" t="s">
        <v>4757</v>
      </c>
      <c r="B2797" s="1" t="s">
        <v>789</v>
      </c>
      <c r="C2797" s="1" t="s">
        <v>4737</v>
      </c>
      <c r="D2797" s="1" t="s">
        <v>4739</v>
      </c>
      <c r="E2797" s="1" t="s">
        <v>7</v>
      </c>
    </row>
    <row r="2798" customFormat="false" ht="16" hidden="false" customHeight="false" outlineLevel="0" collapsed="false">
      <c r="A2798" s="1" t="s">
        <v>4758</v>
      </c>
      <c r="B2798" s="1" t="s">
        <v>789</v>
      </c>
      <c r="C2798" s="1" t="s">
        <v>4737</v>
      </c>
      <c r="D2798" s="1" t="s">
        <v>4745</v>
      </c>
      <c r="E2798" s="1" t="s">
        <v>7</v>
      </c>
    </row>
    <row r="2799" customFormat="false" ht="16" hidden="false" customHeight="false" outlineLevel="0" collapsed="false">
      <c r="A2799" s="1" t="s">
        <v>4759</v>
      </c>
      <c r="B2799" s="1" t="s">
        <v>791</v>
      </c>
      <c r="C2799" s="1" t="s">
        <v>4737</v>
      </c>
      <c r="D2799" s="1" t="s">
        <v>4739</v>
      </c>
      <c r="E2799" s="1" t="s">
        <v>7</v>
      </c>
    </row>
    <row r="2800" customFormat="false" ht="16" hidden="false" customHeight="false" outlineLevel="0" collapsed="false">
      <c r="A2800" s="1" t="s">
        <v>4760</v>
      </c>
      <c r="B2800" s="1" t="s">
        <v>791</v>
      </c>
      <c r="C2800" s="1" t="s">
        <v>4737</v>
      </c>
      <c r="D2800" s="1" t="s">
        <v>4745</v>
      </c>
      <c r="E2800" s="1" t="s">
        <v>7</v>
      </c>
    </row>
    <row r="2801" customFormat="false" ht="16" hidden="false" customHeight="false" outlineLevel="0" collapsed="false">
      <c r="A2801" s="1" t="s">
        <v>4761</v>
      </c>
      <c r="B2801" s="1" t="s">
        <v>793</v>
      </c>
      <c r="C2801" s="1" t="s">
        <v>4737</v>
      </c>
      <c r="D2801" s="1" t="s">
        <v>4739</v>
      </c>
      <c r="E2801" s="1" t="s">
        <v>7</v>
      </c>
    </row>
    <row r="2802" customFormat="false" ht="16" hidden="false" customHeight="false" outlineLevel="0" collapsed="false">
      <c r="A2802" s="1" t="s">
        <v>4762</v>
      </c>
      <c r="B2802" s="1" t="s">
        <v>793</v>
      </c>
      <c r="C2802" s="1" t="s">
        <v>4737</v>
      </c>
      <c r="D2802" s="1" t="s">
        <v>4745</v>
      </c>
      <c r="E2802" s="1" t="s">
        <v>7</v>
      </c>
    </row>
    <row r="2803" customFormat="false" ht="16" hidden="false" customHeight="false" outlineLevel="0" collapsed="false">
      <c r="A2803" s="1" t="s">
        <v>4763</v>
      </c>
      <c r="B2803" s="1" t="s">
        <v>4764</v>
      </c>
      <c r="C2803" s="1" t="s">
        <v>4737</v>
      </c>
      <c r="D2803" s="1" t="s">
        <v>770</v>
      </c>
      <c r="E2803" s="1" t="s">
        <v>7</v>
      </c>
    </row>
    <row r="2804" customFormat="false" ht="16" hidden="false" customHeight="false" outlineLevel="0" collapsed="false">
      <c r="A2804" s="1" t="s">
        <v>4765</v>
      </c>
      <c r="B2804" s="1" t="s">
        <v>795</v>
      </c>
      <c r="C2804" s="1" t="s">
        <v>4737</v>
      </c>
      <c r="D2804" s="1" t="s">
        <v>4739</v>
      </c>
      <c r="E2804" s="1" t="s">
        <v>7</v>
      </c>
    </row>
    <row r="2805" customFormat="false" ht="16" hidden="false" customHeight="false" outlineLevel="0" collapsed="false">
      <c r="A2805" s="1" t="s">
        <v>4766</v>
      </c>
      <c r="B2805" s="1" t="s">
        <v>795</v>
      </c>
      <c r="C2805" s="1" t="s">
        <v>4737</v>
      </c>
      <c r="D2805" s="1" t="s">
        <v>4741</v>
      </c>
      <c r="E2805" s="1" t="s">
        <v>7</v>
      </c>
    </row>
    <row r="2806" customFormat="false" ht="16" hidden="false" customHeight="false" outlineLevel="0" collapsed="false">
      <c r="A2806" s="1" t="s">
        <v>4767</v>
      </c>
      <c r="B2806" s="1" t="s">
        <v>795</v>
      </c>
      <c r="C2806" s="1" t="s">
        <v>4737</v>
      </c>
      <c r="D2806" s="1" t="s">
        <v>4743</v>
      </c>
      <c r="E2806" s="1" t="s">
        <v>7</v>
      </c>
    </row>
    <row r="2807" customFormat="false" ht="16" hidden="false" customHeight="false" outlineLevel="0" collapsed="false">
      <c r="A2807" s="1" t="s">
        <v>4768</v>
      </c>
      <c r="B2807" s="1" t="s">
        <v>795</v>
      </c>
      <c r="C2807" s="1" t="s">
        <v>4737</v>
      </c>
      <c r="D2807" s="1" t="s">
        <v>4745</v>
      </c>
      <c r="E2807" s="1" t="s">
        <v>7</v>
      </c>
    </row>
    <row r="2808" customFormat="false" ht="16" hidden="false" customHeight="false" outlineLevel="0" collapsed="false">
      <c r="A2808" s="1" t="s">
        <v>4769</v>
      </c>
      <c r="B2808" s="1" t="s">
        <v>795</v>
      </c>
      <c r="C2808" s="1" t="s">
        <v>4737</v>
      </c>
      <c r="D2808" s="1" t="s">
        <v>770</v>
      </c>
      <c r="E2808" s="1" t="s">
        <v>7</v>
      </c>
    </row>
    <row r="2809" customFormat="false" ht="16" hidden="false" customHeight="false" outlineLevel="0" collapsed="false">
      <c r="A2809" s="1" t="s">
        <v>4770</v>
      </c>
      <c r="B2809" s="1" t="s">
        <v>807</v>
      </c>
      <c r="C2809" s="1" t="s">
        <v>4737</v>
      </c>
      <c r="D2809" s="1" t="s">
        <v>4739</v>
      </c>
      <c r="E2809" s="1" t="s">
        <v>7</v>
      </c>
    </row>
    <row r="2810" customFormat="false" ht="16" hidden="false" customHeight="false" outlineLevel="0" collapsed="false">
      <c r="A2810" s="1" t="s">
        <v>4771</v>
      </c>
      <c r="B2810" s="1" t="s">
        <v>807</v>
      </c>
      <c r="C2810" s="1" t="s">
        <v>4737</v>
      </c>
      <c r="D2810" s="1" t="s">
        <v>4741</v>
      </c>
      <c r="E2810" s="1" t="s">
        <v>7</v>
      </c>
    </row>
    <row r="2811" customFormat="false" ht="16" hidden="false" customHeight="false" outlineLevel="0" collapsed="false">
      <c r="A2811" s="1" t="s">
        <v>4772</v>
      </c>
      <c r="B2811" s="1" t="s">
        <v>807</v>
      </c>
      <c r="C2811" s="1" t="s">
        <v>4737</v>
      </c>
      <c r="D2811" s="1" t="s">
        <v>4743</v>
      </c>
      <c r="E2811" s="1" t="s">
        <v>7</v>
      </c>
    </row>
    <row r="2812" customFormat="false" ht="16" hidden="false" customHeight="false" outlineLevel="0" collapsed="false">
      <c r="A2812" s="1" t="s">
        <v>4773</v>
      </c>
      <c r="B2812" s="1" t="s">
        <v>807</v>
      </c>
      <c r="C2812" s="1" t="s">
        <v>4737</v>
      </c>
      <c r="D2812" s="1" t="s">
        <v>4745</v>
      </c>
      <c r="E2812" s="1" t="s">
        <v>7</v>
      </c>
    </row>
    <row r="2813" customFormat="false" ht="16" hidden="false" customHeight="false" outlineLevel="0" collapsed="false">
      <c r="A2813" s="1" t="s">
        <v>4774</v>
      </c>
      <c r="B2813" s="1" t="s">
        <v>807</v>
      </c>
      <c r="C2813" s="1" t="s">
        <v>4737</v>
      </c>
      <c r="D2813" s="1" t="s">
        <v>770</v>
      </c>
      <c r="E2813" s="1" t="s">
        <v>7</v>
      </c>
    </row>
    <row r="2814" customFormat="false" ht="16" hidden="false" customHeight="false" outlineLevel="0" collapsed="false">
      <c r="A2814" s="1" t="s">
        <v>4775</v>
      </c>
      <c r="B2814" s="1" t="s">
        <v>813</v>
      </c>
      <c r="C2814" s="1" t="s">
        <v>4737</v>
      </c>
      <c r="D2814" s="1" t="s">
        <v>4739</v>
      </c>
      <c r="E2814" s="1" t="s">
        <v>7</v>
      </c>
    </row>
    <row r="2815" customFormat="false" ht="16" hidden="false" customHeight="false" outlineLevel="0" collapsed="false">
      <c r="A2815" s="1" t="s">
        <v>4776</v>
      </c>
      <c r="B2815" s="1" t="s">
        <v>813</v>
      </c>
      <c r="C2815" s="1" t="s">
        <v>4737</v>
      </c>
      <c r="D2815" s="1" t="s">
        <v>4741</v>
      </c>
      <c r="E2815" s="1" t="s">
        <v>7</v>
      </c>
    </row>
    <row r="2816" customFormat="false" ht="16" hidden="false" customHeight="false" outlineLevel="0" collapsed="false">
      <c r="A2816" s="1" t="s">
        <v>4777</v>
      </c>
      <c r="B2816" s="1" t="s">
        <v>813</v>
      </c>
      <c r="C2816" s="1" t="s">
        <v>4737</v>
      </c>
      <c r="D2816" s="1" t="s">
        <v>4743</v>
      </c>
      <c r="E2816" s="1" t="s">
        <v>7</v>
      </c>
    </row>
    <row r="2817" customFormat="false" ht="16" hidden="false" customHeight="false" outlineLevel="0" collapsed="false">
      <c r="A2817" s="1" t="s">
        <v>4778</v>
      </c>
      <c r="B2817" s="1" t="s">
        <v>813</v>
      </c>
      <c r="C2817" s="1" t="s">
        <v>4737</v>
      </c>
      <c r="D2817" s="1" t="s">
        <v>4745</v>
      </c>
      <c r="E2817" s="1" t="s">
        <v>7</v>
      </c>
    </row>
    <row r="2818" customFormat="false" ht="16" hidden="false" customHeight="false" outlineLevel="0" collapsed="false">
      <c r="A2818" s="1" t="s">
        <v>4779</v>
      </c>
      <c r="B2818" s="1" t="s">
        <v>813</v>
      </c>
      <c r="C2818" s="1" t="s">
        <v>4737</v>
      </c>
      <c r="D2818" s="1" t="s">
        <v>770</v>
      </c>
      <c r="E2818" s="1" t="s">
        <v>7</v>
      </c>
    </row>
    <row r="2819" customFormat="false" ht="16" hidden="false" customHeight="false" outlineLevel="0" collapsed="false">
      <c r="A2819" s="1" t="s">
        <v>4780</v>
      </c>
      <c r="B2819" s="1" t="s">
        <v>825</v>
      </c>
      <c r="C2819" s="1" t="s">
        <v>4737</v>
      </c>
      <c r="D2819" s="1" t="s">
        <v>4739</v>
      </c>
      <c r="E2819" s="1" t="s">
        <v>7</v>
      </c>
    </row>
    <row r="2820" customFormat="false" ht="16" hidden="false" customHeight="false" outlineLevel="0" collapsed="false">
      <c r="A2820" s="1" t="s">
        <v>4781</v>
      </c>
      <c r="B2820" s="1" t="s">
        <v>825</v>
      </c>
      <c r="C2820" s="1" t="s">
        <v>4737</v>
      </c>
      <c r="D2820" s="1" t="s">
        <v>4741</v>
      </c>
      <c r="E2820" s="1" t="s">
        <v>7</v>
      </c>
    </row>
    <row r="2821" customFormat="false" ht="16" hidden="false" customHeight="false" outlineLevel="0" collapsed="false">
      <c r="A2821" s="1" t="s">
        <v>4782</v>
      </c>
      <c r="B2821" s="1" t="s">
        <v>825</v>
      </c>
      <c r="C2821" s="1" t="s">
        <v>4737</v>
      </c>
      <c r="D2821" s="1" t="s">
        <v>4743</v>
      </c>
      <c r="E2821" s="1" t="s">
        <v>7</v>
      </c>
    </row>
    <row r="2822" customFormat="false" ht="16" hidden="false" customHeight="false" outlineLevel="0" collapsed="false">
      <c r="A2822" s="1" t="s">
        <v>4783</v>
      </c>
      <c r="B2822" s="1" t="s">
        <v>825</v>
      </c>
      <c r="C2822" s="1" t="s">
        <v>4737</v>
      </c>
      <c r="D2822" s="1" t="s">
        <v>4745</v>
      </c>
      <c r="E2822" s="1" t="s">
        <v>7</v>
      </c>
    </row>
    <row r="2823" customFormat="false" ht="16" hidden="false" customHeight="false" outlineLevel="0" collapsed="false">
      <c r="A2823" s="1" t="s">
        <v>4784</v>
      </c>
      <c r="B2823" s="1" t="s">
        <v>825</v>
      </c>
      <c r="C2823" s="1" t="s">
        <v>4737</v>
      </c>
      <c r="D2823" s="1" t="s">
        <v>770</v>
      </c>
      <c r="E2823" s="1" t="s">
        <v>7</v>
      </c>
    </row>
    <row r="2824" customFormat="false" ht="16" hidden="false" customHeight="false" outlineLevel="0" collapsed="false">
      <c r="A2824" s="1" t="s">
        <v>4785</v>
      </c>
      <c r="B2824" s="1" t="s">
        <v>4786</v>
      </c>
      <c r="C2824" s="1" t="s">
        <v>4737</v>
      </c>
      <c r="D2824" s="1" t="s">
        <v>770</v>
      </c>
      <c r="E2824" s="1" t="s">
        <v>7</v>
      </c>
    </row>
    <row r="2825" customFormat="false" ht="16" hidden="false" customHeight="false" outlineLevel="0" collapsed="false">
      <c r="A2825" s="1" t="s">
        <v>4787</v>
      </c>
      <c r="B2825" s="1" t="s">
        <v>831</v>
      </c>
      <c r="C2825" s="1" t="s">
        <v>4737</v>
      </c>
      <c r="D2825" s="1" t="s">
        <v>4739</v>
      </c>
      <c r="E2825" s="1" t="s">
        <v>7</v>
      </c>
    </row>
    <row r="2826" customFormat="false" ht="16" hidden="false" customHeight="false" outlineLevel="0" collapsed="false">
      <c r="A2826" s="1" t="s">
        <v>4788</v>
      </c>
      <c r="B2826" s="1" t="s">
        <v>831</v>
      </c>
      <c r="C2826" s="1" t="s">
        <v>4737</v>
      </c>
      <c r="D2826" s="1" t="s">
        <v>4741</v>
      </c>
      <c r="E2826" s="1" t="s">
        <v>7</v>
      </c>
    </row>
    <row r="2827" customFormat="false" ht="16" hidden="false" customHeight="false" outlineLevel="0" collapsed="false">
      <c r="A2827" s="1" t="s">
        <v>4789</v>
      </c>
      <c r="B2827" s="1" t="s">
        <v>831</v>
      </c>
      <c r="C2827" s="1" t="s">
        <v>4737</v>
      </c>
      <c r="D2827" s="1" t="s">
        <v>4743</v>
      </c>
      <c r="E2827" s="1" t="s">
        <v>7</v>
      </c>
    </row>
    <row r="2828" customFormat="false" ht="16" hidden="false" customHeight="false" outlineLevel="0" collapsed="false">
      <c r="A2828" s="1" t="s">
        <v>4790</v>
      </c>
      <c r="B2828" s="1" t="s">
        <v>831</v>
      </c>
      <c r="C2828" s="1" t="s">
        <v>4737</v>
      </c>
      <c r="D2828" s="1" t="s">
        <v>4745</v>
      </c>
      <c r="E2828" s="1" t="s">
        <v>7</v>
      </c>
    </row>
    <row r="2829" customFormat="false" ht="16" hidden="false" customHeight="false" outlineLevel="0" collapsed="false">
      <c r="A2829" s="1" t="s">
        <v>4791</v>
      </c>
      <c r="B2829" s="1" t="s">
        <v>831</v>
      </c>
      <c r="C2829" s="1" t="s">
        <v>4737</v>
      </c>
      <c r="D2829" s="1" t="s">
        <v>770</v>
      </c>
      <c r="E2829" s="1" t="s">
        <v>7</v>
      </c>
    </row>
    <row r="2830" customFormat="false" ht="16" hidden="false" customHeight="false" outlineLevel="0" collapsed="false">
      <c r="A2830" s="1" t="s">
        <v>4792</v>
      </c>
      <c r="B2830" s="1" t="s">
        <v>4793</v>
      </c>
      <c r="C2830" s="1" t="s">
        <v>4737</v>
      </c>
      <c r="D2830" s="1" t="s">
        <v>4739</v>
      </c>
      <c r="E2830" s="1" t="s">
        <v>7</v>
      </c>
    </row>
    <row r="2831" customFormat="false" ht="16" hidden="false" customHeight="false" outlineLevel="0" collapsed="false">
      <c r="A2831" s="1" t="s">
        <v>4794</v>
      </c>
      <c r="B2831" s="1" t="s">
        <v>4793</v>
      </c>
      <c r="C2831" s="1" t="s">
        <v>4737</v>
      </c>
      <c r="D2831" s="1" t="s">
        <v>4741</v>
      </c>
      <c r="E2831" s="1" t="s">
        <v>7</v>
      </c>
    </row>
    <row r="2832" customFormat="false" ht="16" hidden="false" customHeight="false" outlineLevel="0" collapsed="false">
      <c r="A2832" s="1" t="s">
        <v>4795</v>
      </c>
      <c r="B2832" s="1" t="s">
        <v>4793</v>
      </c>
      <c r="C2832" s="1" t="s">
        <v>4737</v>
      </c>
      <c r="D2832" s="1" t="s">
        <v>4743</v>
      </c>
      <c r="E2832" s="1" t="s">
        <v>7</v>
      </c>
    </row>
    <row r="2833" customFormat="false" ht="16" hidden="false" customHeight="false" outlineLevel="0" collapsed="false">
      <c r="A2833" s="1" t="s">
        <v>4796</v>
      </c>
      <c r="B2833" s="1" t="s">
        <v>4793</v>
      </c>
      <c r="C2833" s="1" t="s">
        <v>4737</v>
      </c>
      <c r="D2833" s="1" t="s">
        <v>4745</v>
      </c>
      <c r="E2833" s="1" t="s">
        <v>7</v>
      </c>
    </row>
    <row r="2834" customFormat="false" ht="16" hidden="false" customHeight="false" outlineLevel="0" collapsed="false">
      <c r="A2834" s="1" t="s">
        <v>4797</v>
      </c>
      <c r="B2834" s="1" t="s">
        <v>4793</v>
      </c>
      <c r="C2834" s="1" t="s">
        <v>4737</v>
      </c>
      <c r="D2834" s="1" t="s">
        <v>770</v>
      </c>
      <c r="E2834" s="1" t="s">
        <v>7</v>
      </c>
    </row>
    <row r="2835" customFormat="false" ht="16" hidden="false" customHeight="false" outlineLevel="0" collapsed="false">
      <c r="A2835" s="1" t="s">
        <v>4798</v>
      </c>
      <c r="B2835" s="1" t="s">
        <v>837</v>
      </c>
      <c r="C2835" s="1" t="s">
        <v>4737</v>
      </c>
      <c r="D2835" s="1" t="s">
        <v>4739</v>
      </c>
      <c r="E2835" s="1" t="s">
        <v>7</v>
      </c>
    </row>
    <row r="2836" customFormat="false" ht="16" hidden="false" customHeight="false" outlineLevel="0" collapsed="false">
      <c r="A2836" s="1" t="s">
        <v>4799</v>
      </c>
      <c r="B2836" s="1" t="s">
        <v>837</v>
      </c>
      <c r="C2836" s="1" t="s">
        <v>4737</v>
      </c>
      <c r="D2836" s="1" t="s">
        <v>4741</v>
      </c>
      <c r="E2836" s="1" t="s">
        <v>7</v>
      </c>
    </row>
    <row r="2837" customFormat="false" ht="16" hidden="false" customHeight="false" outlineLevel="0" collapsed="false">
      <c r="A2837" s="1" t="s">
        <v>4800</v>
      </c>
      <c r="B2837" s="1" t="s">
        <v>837</v>
      </c>
      <c r="C2837" s="1" t="s">
        <v>4737</v>
      </c>
      <c r="D2837" s="1" t="s">
        <v>4743</v>
      </c>
      <c r="E2837" s="1" t="s">
        <v>7</v>
      </c>
    </row>
    <row r="2838" customFormat="false" ht="16" hidden="false" customHeight="false" outlineLevel="0" collapsed="false">
      <c r="A2838" s="1" t="s">
        <v>4801</v>
      </c>
      <c r="B2838" s="1" t="s">
        <v>837</v>
      </c>
      <c r="C2838" s="1" t="s">
        <v>4737</v>
      </c>
      <c r="D2838" s="1" t="s">
        <v>4745</v>
      </c>
      <c r="E2838" s="1" t="s">
        <v>7</v>
      </c>
    </row>
    <row r="2839" customFormat="false" ht="16" hidden="false" customHeight="false" outlineLevel="0" collapsed="false">
      <c r="A2839" s="1" t="s">
        <v>4802</v>
      </c>
      <c r="B2839" s="1" t="s">
        <v>837</v>
      </c>
      <c r="C2839" s="1" t="s">
        <v>4737</v>
      </c>
      <c r="D2839" s="1" t="s">
        <v>770</v>
      </c>
      <c r="E2839" s="1" t="s">
        <v>7</v>
      </c>
    </row>
    <row r="2840" customFormat="false" ht="16" hidden="false" customHeight="false" outlineLevel="0" collapsed="false">
      <c r="A2840" s="1" t="s">
        <v>4803</v>
      </c>
      <c r="B2840" s="1" t="s">
        <v>4804</v>
      </c>
      <c r="C2840" s="1" t="s">
        <v>4737</v>
      </c>
      <c r="D2840" s="1" t="s">
        <v>4739</v>
      </c>
      <c r="E2840" s="1" t="s">
        <v>7</v>
      </c>
    </row>
    <row r="2841" customFormat="false" ht="16" hidden="false" customHeight="false" outlineLevel="0" collapsed="false">
      <c r="A2841" s="1" t="s">
        <v>4805</v>
      </c>
      <c r="B2841" s="1" t="s">
        <v>4804</v>
      </c>
      <c r="C2841" s="1" t="s">
        <v>4737</v>
      </c>
      <c r="D2841" s="1" t="s">
        <v>4741</v>
      </c>
      <c r="E2841" s="1" t="s">
        <v>7</v>
      </c>
    </row>
    <row r="2842" customFormat="false" ht="16" hidden="false" customHeight="false" outlineLevel="0" collapsed="false">
      <c r="A2842" s="1" t="s">
        <v>4806</v>
      </c>
      <c r="B2842" s="1" t="s">
        <v>4804</v>
      </c>
      <c r="C2842" s="1" t="s">
        <v>4737</v>
      </c>
      <c r="D2842" s="1" t="s">
        <v>4743</v>
      </c>
      <c r="E2842" s="1" t="s">
        <v>7</v>
      </c>
    </row>
    <row r="2843" customFormat="false" ht="16" hidden="false" customHeight="false" outlineLevel="0" collapsed="false">
      <c r="A2843" s="1" t="s">
        <v>4807</v>
      </c>
      <c r="B2843" s="1" t="s">
        <v>4804</v>
      </c>
      <c r="C2843" s="1" t="s">
        <v>4737</v>
      </c>
      <c r="D2843" s="1" t="s">
        <v>4745</v>
      </c>
      <c r="E2843" s="1" t="s">
        <v>7</v>
      </c>
    </row>
    <row r="2844" customFormat="false" ht="16" hidden="false" customHeight="false" outlineLevel="0" collapsed="false">
      <c r="A2844" s="1" t="s">
        <v>4808</v>
      </c>
      <c r="B2844" s="1" t="s">
        <v>4804</v>
      </c>
      <c r="C2844" s="1" t="s">
        <v>4737</v>
      </c>
      <c r="D2844" s="1" t="s">
        <v>770</v>
      </c>
      <c r="E2844" s="1" t="s">
        <v>7</v>
      </c>
    </row>
    <row r="2845" customFormat="false" ht="16" hidden="false" customHeight="false" outlineLevel="0" collapsed="false">
      <c r="A2845" s="1" t="s">
        <v>4809</v>
      </c>
      <c r="B2845" s="1" t="s">
        <v>843</v>
      </c>
      <c r="C2845" s="1" t="s">
        <v>4737</v>
      </c>
      <c r="D2845" s="1" t="s">
        <v>4739</v>
      </c>
      <c r="E2845" s="1" t="s">
        <v>7</v>
      </c>
    </row>
    <row r="2846" customFormat="false" ht="16" hidden="false" customHeight="false" outlineLevel="0" collapsed="false">
      <c r="A2846" s="1" t="s">
        <v>4810</v>
      </c>
      <c r="B2846" s="1" t="s">
        <v>843</v>
      </c>
      <c r="C2846" s="1" t="s">
        <v>4737</v>
      </c>
      <c r="D2846" s="1" t="s">
        <v>4741</v>
      </c>
      <c r="E2846" s="1" t="s">
        <v>7</v>
      </c>
    </row>
    <row r="2847" customFormat="false" ht="16" hidden="false" customHeight="false" outlineLevel="0" collapsed="false">
      <c r="A2847" s="1" t="s">
        <v>4811</v>
      </c>
      <c r="B2847" s="1" t="s">
        <v>843</v>
      </c>
      <c r="C2847" s="1" t="s">
        <v>4737</v>
      </c>
      <c r="D2847" s="1" t="s">
        <v>4743</v>
      </c>
      <c r="E2847" s="1" t="s">
        <v>7</v>
      </c>
    </row>
    <row r="2848" customFormat="false" ht="16" hidden="false" customHeight="false" outlineLevel="0" collapsed="false">
      <c r="A2848" s="1" t="s">
        <v>4812</v>
      </c>
      <c r="B2848" s="1" t="s">
        <v>843</v>
      </c>
      <c r="C2848" s="1" t="s">
        <v>4737</v>
      </c>
      <c r="D2848" s="1" t="s">
        <v>4745</v>
      </c>
      <c r="E2848" s="1" t="s">
        <v>7</v>
      </c>
    </row>
    <row r="2849" customFormat="false" ht="16" hidden="false" customHeight="false" outlineLevel="0" collapsed="false">
      <c r="A2849" s="1" t="s">
        <v>4813</v>
      </c>
      <c r="B2849" s="1" t="s">
        <v>843</v>
      </c>
      <c r="C2849" s="1" t="s">
        <v>4737</v>
      </c>
      <c r="D2849" s="1" t="s">
        <v>770</v>
      </c>
      <c r="E2849" s="1" t="s">
        <v>7</v>
      </c>
    </row>
    <row r="2850" customFormat="false" ht="16" hidden="false" customHeight="false" outlineLevel="0" collapsed="false">
      <c r="A2850" s="1" t="s">
        <v>4814</v>
      </c>
      <c r="B2850" s="1" t="s">
        <v>849</v>
      </c>
      <c r="C2850" s="1" t="s">
        <v>4737</v>
      </c>
      <c r="D2850" s="1" t="s">
        <v>4739</v>
      </c>
      <c r="E2850" s="1" t="s">
        <v>7</v>
      </c>
    </row>
    <row r="2851" customFormat="false" ht="16" hidden="false" customHeight="false" outlineLevel="0" collapsed="false">
      <c r="A2851" s="1" t="s">
        <v>4815</v>
      </c>
      <c r="B2851" s="1" t="s">
        <v>849</v>
      </c>
      <c r="C2851" s="1" t="s">
        <v>4737</v>
      </c>
      <c r="D2851" s="1" t="s">
        <v>4741</v>
      </c>
      <c r="E2851" s="1" t="s">
        <v>7</v>
      </c>
    </row>
    <row r="2852" customFormat="false" ht="16" hidden="false" customHeight="false" outlineLevel="0" collapsed="false">
      <c r="A2852" s="1" t="s">
        <v>4816</v>
      </c>
      <c r="B2852" s="1" t="s">
        <v>849</v>
      </c>
      <c r="C2852" s="1" t="s">
        <v>4737</v>
      </c>
      <c r="D2852" s="1" t="s">
        <v>4743</v>
      </c>
      <c r="E2852" s="1" t="s">
        <v>7</v>
      </c>
    </row>
    <row r="2853" customFormat="false" ht="16" hidden="false" customHeight="false" outlineLevel="0" collapsed="false">
      <c r="A2853" s="1" t="s">
        <v>4817</v>
      </c>
      <c r="B2853" s="1" t="s">
        <v>849</v>
      </c>
      <c r="C2853" s="1" t="s">
        <v>4737</v>
      </c>
      <c r="D2853" s="1" t="s">
        <v>4745</v>
      </c>
      <c r="E2853" s="1" t="s">
        <v>7</v>
      </c>
    </row>
    <row r="2854" customFormat="false" ht="16" hidden="false" customHeight="false" outlineLevel="0" collapsed="false">
      <c r="A2854" s="1" t="s">
        <v>4818</v>
      </c>
      <c r="B2854" s="1" t="s">
        <v>849</v>
      </c>
      <c r="C2854" s="1" t="s">
        <v>4737</v>
      </c>
      <c r="D2854" s="1" t="s">
        <v>770</v>
      </c>
      <c r="E2854" s="1" t="s">
        <v>7</v>
      </c>
    </row>
    <row r="2855" customFormat="false" ht="16" hidden="false" customHeight="false" outlineLevel="0" collapsed="false">
      <c r="A2855" s="1" t="s">
        <v>4819</v>
      </c>
      <c r="B2855" s="1" t="s">
        <v>853</v>
      </c>
      <c r="C2855" s="1" t="s">
        <v>4737</v>
      </c>
      <c r="D2855" s="1" t="s">
        <v>4739</v>
      </c>
      <c r="E2855" s="1" t="s">
        <v>7</v>
      </c>
    </row>
    <row r="2856" customFormat="false" ht="16" hidden="false" customHeight="false" outlineLevel="0" collapsed="false">
      <c r="A2856" s="1" t="s">
        <v>4820</v>
      </c>
      <c r="B2856" s="1" t="s">
        <v>853</v>
      </c>
      <c r="C2856" s="1" t="s">
        <v>4737</v>
      </c>
      <c r="D2856" s="1" t="s">
        <v>4741</v>
      </c>
      <c r="E2856" s="1" t="s">
        <v>7</v>
      </c>
    </row>
    <row r="2857" customFormat="false" ht="16" hidden="false" customHeight="false" outlineLevel="0" collapsed="false">
      <c r="A2857" s="1" t="s">
        <v>4821</v>
      </c>
      <c r="B2857" s="1" t="s">
        <v>853</v>
      </c>
      <c r="C2857" s="1" t="s">
        <v>4737</v>
      </c>
      <c r="D2857" s="1" t="s">
        <v>4743</v>
      </c>
      <c r="E2857" s="1" t="s">
        <v>7</v>
      </c>
    </row>
    <row r="2858" customFormat="false" ht="16" hidden="false" customHeight="false" outlineLevel="0" collapsed="false">
      <c r="A2858" s="1" t="s">
        <v>4822</v>
      </c>
      <c r="B2858" s="1" t="s">
        <v>853</v>
      </c>
      <c r="C2858" s="1" t="s">
        <v>4737</v>
      </c>
      <c r="D2858" s="1" t="s">
        <v>4745</v>
      </c>
      <c r="E2858" s="1" t="s">
        <v>7</v>
      </c>
    </row>
    <row r="2859" customFormat="false" ht="16" hidden="false" customHeight="false" outlineLevel="0" collapsed="false">
      <c r="A2859" s="1" t="s">
        <v>4823</v>
      </c>
      <c r="B2859" s="1" t="s">
        <v>853</v>
      </c>
      <c r="C2859" s="1" t="s">
        <v>4737</v>
      </c>
      <c r="D2859" s="1" t="s">
        <v>770</v>
      </c>
      <c r="E2859" s="1" t="s">
        <v>7</v>
      </c>
    </row>
    <row r="2860" customFormat="false" ht="16" hidden="false" customHeight="false" outlineLevel="0" collapsed="false">
      <c r="A2860" s="1" t="s">
        <v>4824</v>
      </c>
      <c r="B2860" s="1" t="s">
        <v>861</v>
      </c>
      <c r="C2860" s="1" t="s">
        <v>4737</v>
      </c>
      <c r="D2860" s="1" t="s">
        <v>4739</v>
      </c>
      <c r="E2860" s="1" t="s">
        <v>7</v>
      </c>
    </row>
    <row r="2861" customFormat="false" ht="16" hidden="false" customHeight="false" outlineLevel="0" collapsed="false">
      <c r="A2861" s="1" t="s">
        <v>4825</v>
      </c>
      <c r="B2861" s="1" t="s">
        <v>861</v>
      </c>
      <c r="C2861" s="1" t="s">
        <v>4737</v>
      </c>
      <c r="D2861" s="1" t="s">
        <v>4741</v>
      </c>
      <c r="E2861" s="1" t="s">
        <v>7</v>
      </c>
    </row>
    <row r="2862" customFormat="false" ht="16" hidden="false" customHeight="false" outlineLevel="0" collapsed="false">
      <c r="A2862" s="1" t="s">
        <v>4826</v>
      </c>
      <c r="B2862" s="1" t="s">
        <v>861</v>
      </c>
      <c r="C2862" s="1" t="s">
        <v>4737</v>
      </c>
      <c r="D2862" s="1" t="s">
        <v>4743</v>
      </c>
      <c r="E2862" s="1" t="s">
        <v>7</v>
      </c>
    </row>
    <row r="2863" customFormat="false" ht="16" hidden="false" customHeight="false" outlineLevel="0" collapsed="false">
      <c r="A2863" s="1" t="s">
        <v>4827</v>
      </c>
      <c r="B2863" s="1" t="s">
        <v>861</v>
      </c>
      <c r="C2863" s="1" t="s">
        <v>4737</v>
      </c>
      <c r="D2863" s="1" t="s">
        <v>4745</v>
      </c>
      <c r="E2863" s="1" t="s">
        <v>7</v>
      </c>
    </row>
    <row r="2864" customFormat="false" ht="16" hidden="false" customHeight="false" outlineLevel="0" collapsed="false">
      <c r="A2864" s="1" t="s">
        <v>4828</v>
      </c>
      <c r="B2864" s="1" t="s">
        <v>861</v>
      </c>
      <c r="C2864" s="1" t="s">
        <v>4737</v>
      </c>
      <c r="D2864" s="1" t="s">
        <v>770</v>
      </c>
      <c r="E2864" s="1" t="s">
        <v>7</v>
      </c>
    </row>
    <row r="2865" customFormat="false" ht="16" hidden="false" customHeight="false" outlineLevel="0" collapsed="false">
      <c r="A2865" s="1" t="s">
        <v>4829</v>
      </c>
      <c r="B2865" s="1" t="s">
        <v>873</v>
      </c>
      <c r="C2865" s="1" t="s">
        <v>4737</v>
      </c>
      <c r="D2865" s="1" t="s">
        <v>4739</v>
      </c>
      <c r="E2865" s="1" t="s">
        <v>7</v>
      </c>
    </row>
    <row r="2866" customFormat="false" ht="16" hidden="false" customHeight="false" outlineLevel="0" collapsed="false">
      <c r="A2866" s="1" t="s">
        <v>4830</v>
      </c>
      <c r="B2866" s="1" t="s">
        <v>873</v>
      </c>
      <c r="C2866" s="1" t="s">
        <v>4737</v>
      </c>
      <c r="D2866" s="1" t="s">
        <v>4741</v>
      </c>
      <c r="E2866" s="1" t="s">
        <v>7</v>
      </c>
    </row>
    <row r="2867" customFormat="false" ht="16" hidden="false" customHeight="false" outlineLevel="0" collapsed="false">
      <c r="A2867" s="1" t="s">
        <v>4831</v>
      </c>
      <c r="B2867" s="1" t="s">
        <v>873</v>
      </c>
      <c r="C2867" s="1" t="s">
        <v>4737</v>
      </c>
      <c r="D2867" s="1" t="s">
        <v>4743</v>
      </c>
      <c r="E2867" s="1" t="s">
        <v>7</v>
      </c>
    </row>
    <row r="2868" customFormat="false" ht="16" hidden="false" customHeight="false" outlineLevel="0" collapsed="false">
      <c r="A2868" s="1" t="s">
        <v>4832</v>
      </c>
      <c r="B2868" s="1" t="s">
        <v>873</v>
      </c>
      <c r="C2868" s="1" t="s">
        <v>4737</v>
      </c>
      <c r="D2868" s="1" t="s">
        <v>4745</v>
      </c>
      <c r="E2868" s="1" t="s">
        <v>7</v>
      </c>
    </row>
    <row r="2869" customFormat="false" ht="16" hidden="false" customHeight="false" outlineLevel="0" collapsed="false">
      <c r="A2869" s="1" t="s">
        <v>4833</v>
      </c>
      <c r="B2869" s="1" t="s">
        <v>873</v>
      </c>
      <c r="C2869" s="1" t="s">
        <v>4737</v>
      </c>
      <c r="D2869" s="1" t="s">
        <v>770</v>
      </c>
      <c r="E2869" s="1" t="s">
        <v>7</v>
      </c>
    </row>
    <row r="2870" customFormat="false" ht="16" hidden="false" customHeight="false" outlineLevel="0" collapsed="false">
      <c r="A2870" s="1" t="s">
        <v>4834</v>
      </c>
      <c r="B2870" s="1" t="s">
        <v>879</v>
      </c>
      <c r="C2870" s="1" t="s">
        <v>4737</v>
      </c>
      <c r="D2870" s="1" t="s">
        <v>4739</v>
      </c>
      <c r="E2870" s="1" t="s">
        <v>7</v>
      </c>
    </row>
    <row r="2871" customFormat="false" ht="16" hidden="false" customHeight="false" outlineLevel="0" collapsed="false">
      <c r="A2871" s="1" t="s">
        <v>4835</v>
      </c>
      <c r="B2871" s="1" t="s">
        <v>879</v>
      </c>
      <c r="C2871" s="1" t="s">
        <v>4737</v>
      </c>
      <c r="D2871" s="1" t="s">
        <v>4741</v>
      </c>
      <c r="E2871" s="1" t="s">
        <v>7</v>
      </c>
    </row>
    <row r="2872" customFormat="false" ht="16" hidden="false" customHeight="false" outlineLevel="0" collapsed="false">
      <c r="A2872" s="1" t="s">
        <v>4836</v>
      </c>
      <c r="B2872" s="1" t="s">
        <v>879</v>
      </c>
      <c r="C2872" s="1" t="s">
        <v>4737</v>
      </c>
      <c r="D2872" s="1" t="s">
        <v>4743</v>
      </c>
      <c r="E2872" s="1" t="s">
        <v>7</v>
      </c>
    </row>
    <row r="2873" customFormat="false" ht="16" hidden="false" customHeight="false" outlineLevel="0" collapsed="false">
      <c r="A2873" s="1" t="s">
        <v>4837</v>
      </c>
      <c r="B2873" s="1" t="s">
        <v>879</v>
      </c>
      <c r="C2873" s="1" t="s">
        <v>4737</v>
      </c>
      <c r="D2873" s="1" t="s">
        <v>4745</v>
      </c>
      <c r="E2873" s="1" t="s">
        <v>7</v>
      </c>
    </row>
    <row r="2874" customFormat="false" ht="16" hidden="false" customHeight="false" outlineLevel="0" collapsed="false">
      <c r="A2874" s="1" t="s">
        <v>4838</v>
      </c>
      <c r="B2874" s="1" t="s">
        <v>879</v>
      </c>
      <c r="C2874" s="1" t="s">
        <v>4737</v>
      </c>
      <c r="D2874" s="1" t="s">
        <v>770</v>
      </c>
      <c r="E2874" s="1" t="s">
        <v>7</v>
      </c>
    </row>
    <row r="2875" customFormat="false" ht="16" hidden="false" customHeight="false" outlineLevel="0" collapsed="false">
      <c r="A2875" s="1" t="s">
        <v>4839</v>
      </c>
      <c r="B2875" s="1" t="s">
        <v>4840</v>
      </c>
      <c r="C2875" s="1" t="s">
        <v>4737</v>
      </c>
      <c r="D2875" s="1" t="s">
        <v>4739</v>
      </c>
      <c r="E2875" s="1" t="s">
        <v>7</v>
      </c>
    </row>
    <row r="2876" customFormat="false" ht="16" hidden="false" customHeight="false" outlineLevel="0" collapsed="false">
      <c r="A2876" s="1" t="s">
        <v>4841</v>
      </c>
      <c r="B2876" s="1" t="s">
        <v>4840</v>
      </c>
      <c r="C2876" s="1" t="s">
        <v>4737</v>
      </c>
      <c r="D2876" s="1" t="s">
        <v>4741</v>
      </c>
      <c r="E2876" s="1" t="s">
        <v>7</v>
      </c>
    </row>
    <row r="2877" customFormat="false" ht="16" hidden="false" customHeight="false" outlineLevel="0" collapsed="false">
      <c r="A2877" s="1" t="s">
        <v>4842</v>
      </c>
      <c r="B2877" s="1" t="s">
        <v>4840</v>
      </c>
      <c r="C2877" s="1" t="s">
        <v>4737</v>
      </c>
      <c r="D2877" s="1" t="s">
        <v>4743</v>
      </c>
      <c r="E2877" s="1" t="s">
        <v>7</v>
      </c>
    </row>
    <row r="2878" customFormat="false" ht="16" hidden="false" customHeight="false" outlineLevel="0" collapsed="false">
      <c r="A2878" s="1" t="s">
        <v>4843</v>
      </c>
      <c r="B2878" s="1" t="s">
        <v>4840</v>
      </c>
      <c r="C2878" s="1" t="s">
        <v>4737</v>
      </c>
      <c r="D2878" s="1" t="s">
        <v>4745</v>
      </c>
      <c r="E2878" s="1" t="s">
        <v>7</v>
      </c>
    </row>
    <row r="2879" customFormat="false" ht="16" hidden="false" customHeight="false" outlineLevel="0" collapsed="false">
      <c r="A2879" s="1" t="s">
        <v>4844</v>
      </c>
      <c r="B2879" s="1" t="s">
        <v>4840</v>
      </c>
      <c r="C2879" s="1" t="s">
        <v>4737</v>
      </c>
      <c r="D2879" s="1" t="s">
        <v>770</v>
      </c>
      <c r="E2879" s="1" t="s">
        <v>7</v>
      </c>
    </row>
    <row r="2880" customFormat="false" ht="16" hidden="false" customHeight="false" outlineLevel="0" collapsed="false">
      <c r="A2880" s="1" t="s">
        <v>4845</v>
      </c>
      <c r="B2880" s="1" t="s">
        <v>4846</v>
      </c>
      <c r="C2880" s="1" t="s">
        <v>4737</v>
      </c>
      <c r="D2880" s="1" t="s">
        <v>4739</v>
      </c>
      <c r="E2880" s="1" t="s">
        <v>7</v>
      </c>
    </row>
    <row r="2881" customFormat="false" ht="16" hidden="false" customHeight="false" outlineLevel="0" collapsed="false">
      <c r="A2881" s="1" t="s">
        <v>4847</v>
      </c>
      <c r="B2881" s="1" t="s">
        <v>4846</v>
      </c>
      <c r="C2881" s="1" t="s">
        <v>4737</v>
      </c>
      <c r="D2881" s="1" t="s">
        <v>4741</v>
      </c>
      <c r="E2881" s="1" t="s">
        <v>7</v>
      </c>
    </row>
    <row r="2882" customFormat="false" ht="16" hidden="false" customHeight="false" outlineLevel="0" collapsed="false">
      <c r="A2882" s="1" t="s">
        <v>4848</v>
      </c>
      <c r="B2882" s="1" t="s">
        <v>4846</v>
      </c>
      <c r="C2882" s="1" t="s">
        <v>4737</v>
      </c>
      <c r="D2882" s="1" t="s">
        <v>4743</v>
      </c>
      <c r="E2882" s="1" t="s">
        <v>7</v>
      </c>
    </row>
    <row r="2883" customFormat="false" ht="16" hidden="false" customHeight="false" outlineLevel="0" collapsed="false">
      <c r="A2883" s="1" t="s">
        <v>4849</v>
      </c>
      <c r="B2883" s="1" t="s">
        <v>4846</v>
      </c>
      <c r="C2883" s="1" t="s">
        <v>4737</v>
      </c>
      <c r="D2883" s="1" t="s">
        <v>4745</v>
      </c>
      <c r="E2883" s="1" t="s">
        <v>7</v>
      </c>
    </row>
    <row r="2884" customFormat="false" ht="16" hidden="false" customHeight="false" outlineLevel="0" collapsed="false">
      <c r="A2884" s="1" t="s">
        <v>4850</v>
      </c>
      <c r="B2884" s="1" t="s">
        <v>4846</v>
      </c>
      <c r="C2884" s="1" t="s">
        <v>4737</v>
      </c>
      <c r="D2884" s="1" t="s">
        <v>770</v>
      </c>
      <c r="E2884" s="1" t="s">
        <v>7</v>
      </c>
    </row>
    <row r="2885" customFormat="false" ht="16" hidden="false" customHeight="false" outlineLevel="0" collapsed="false">
      <c r="A2885" s="1" t="s">
        <v>4851</v>
      </c>
      <c r="B2885" s="1" t="s">
        <v>4852</v>
      </c>
      <c r="C2885" s="1" t="s">
        <v>4737</v>
      </c>
      <c r="D2885" s="1" t="s">
        <v>4739</v>
      </c>
      <c r="E2885" s="1" t="s">
        <v>7</v>
      </c>
    </row>
    <row r="2886" customFormat="false" ht="16" hidden="false" customHeight="false" outlineLevel="0" collapsed="false">
      <c r="A2886" s="1" t="s">
        <v>4853</v>
      </c>
      <c r="B2886" s="1" t="s">
        <v>4852</v>
      </c>
      <c r="C2886" s="1" t="s">
        <v>4737</v>
      </c>
      <c r="D2886" s="1" t="s">
        <v>4741</v>
      </c>
      <c r="E2886" s="1" t="s">
        <v>7</v>
      </c>
    </row>
    <row r="2887" customFormat="false" ht="16" hidden="false" customHeight="false" outlineLevel="0" collapsed="false">
      <c r="A2887" s="1" t="s">
        <v>4854</v>
      </c>
      <c r="B2887" s="1" t="s">
        <v>4852</v>
      </c>
      <c r="C2887" s="1" t="s">
        <v>4737</v>
      </c>
      <c r="D2887" s="1" t="s">
        <v>4743</v>
      </c>
      <c r="E2887" s="1" t="s">
        <v>7</v>
      </c>
    </row>
    <row r="2888" customFormat="false" ht="16" hidden="false" customHeight="false" outlineLevel="0" collapsed="false">
      <c r="A2888" s="1" t="s">
        <v>4855</v>
      </c>
      <c r="B2888" s="1" t="s">
        <v>4852</v>
      </c>
      <c r="C2888" s="1" t="s">
        <v>4737</v>
      </c>
      <c r="D2888" s="1" t="s">
        <v>4745</v>
      </c>
      <c r="E2888" s="1" t="s">
        <v>7</v>
      </c>
    </row>
    <row r="2889" customFormat="false" ht="16" hidden="false" customHeight="false" outlineLevel="0" collapsed="false">
      <c r="A2889" s="1" t="s">
        <v>4856</v>
      </c>
      <c r="B2889" s="1" t="s">
        <v>4852</v>
      </c>
      <c r="C2889" s="1" t="s">
        <v>4737</v>
      </c>
      <c r="D2889" s="1" t="s">
        <v>770</v>
      </c>
      <c r="E2889" s="1" t="s">
        <v>7</v>
      </c>
    </row>
    <row r="2890" customFormat="false" ht="16" hidden="false" customHeight="false" outlineLevel="0" collapsed="false">
      <c r="A2890" s="1" t="s">
        <v>4857</v>
      </c>
      <c r="B2890" s="1" t="s">
        <v>899</v>
      </c>
      <c r="C2890" s="1" t="s">
        <v>4737</v>
      </c>
      <c r="D2890" s="1" t="s">
        <v>4739</v>
      </c>
      <c r="E2890" s="1" t="s">
        <v>7</v>
      </c>
    </row>
    <row r="2891" customFormat="false" ht="16" hidden="false" customHeight="false" outlineLevel="0" collapsed="false">
      <c r="A2891" s="1" t="s">
        <v>4858</v>
      </c>
      <c r="B2891" s="1" t="s">
        <v>899</v>
      </c>
      <c r="C2891" s="1" t="s">
        <v>4737</v>
      </c>
      <c r="D2891" s="1" t="s">
        <v>4741</v>
      </c>
      <c r="E2891" s="1" t="s">
        <v>7</v>
      </c>
    </row>
    <row r="2892" customFormat="false" ht="16" hidden="false" customHeight="false" outlineLevel="0" collapsed="false">
      <c r="A2892" s="1" t="s">
        <v>4859</v>
      </c>
      <c r="B2892" s="1" t="s">
        <v>899</v>
      </c>
      <c r="C2892" s="1" t="s">
        <v>4737</v>
      </c>
      <c r="D2892" s="1" t="s">
        <v>4743</v>
      </c>
      <c r="E2892" s="1" t="s">
        <v>7</v>
      </c>
    </row>
    <row r="2893" customFormat="false" ht="16" hidden="false" customHeight="false" outlineLevel="0" collapsed="false">
      <c r="A2893" s="1" t="s">
        <v>4860</v>
      </c>
      <c r="B2893" s="1" t="s">
        <v>899</v>
      </c>
      <c r="C2893" s="1" t="s">
        <v>4737</v>
      </c>
      <c r="D2893" s="1" t="s">
        <v>4745</v>
      </c>
      <c r="E2893" s="1" t="s">
        <v>7</v>
      </c>
    </row>
    <row r="2894" customFormat="false" ht="16" hidden="false" customHeight="false" outlineLevel="0" collapsed="false">
      <c r="A2894" s="1" t="s">
        <v>4861</v>
      </c>
      <c r="B2894" s="1" t="s">
        <v>899</v>
      </c>
      <c r="C2894" s="1" t="s">
        <v>4737</v>
      </c>
      <c r="D2894" s="1" t="s">
        <v>770</v>
      </c>
      <c r="E2894" s="1" t="s">
        <v>7</v>
      </c>
    </row>
    <row r="2895" customFormat="false" ht="16" hidden="false" customHeight="false" outlineLevel="0" collapsed="false">
      <c r="A2895" s="1" t="s">
        <v>4862</v>
      </c>
      <c r="B2895" s="1" t="s">
        <v>905</v>
      </c>
      <c r="C2895" s="1" t="s">
        <v>4737</v>
      </c>
      <c r="D2895" s="1" t="s">
        <v>4739</v>
      </c>
      <c r="E2895" s="1" t="s">
        <v>906</v>
      </c>
    </row>
    <row r="2896" customFormat="false" ht="16" hidden="false" customHeight="false" outlineLevel="0" collapsed="false">
      <c r="A2896" s="1" t="s">
        <v>4863</v>
      </c>
      <c r="B2896" s="1" t="s">
        <v>905</v>
      </c>
      <c r="C2896" s="1" t="s">
        <v>4737</v>
      </c>
      <c r="D2896" s="1" t="s">
        <v>4741</v>
      </c>
      <c r="E2896" s="1" t="s">
        <v>906</v>
      </c>
    </row>
    <row r="2897" customFormat="false" ht="16" hidden="false" customHeight="false" outlineLevel="0" collapsed="false">
      <c r="A2897" s="1" t="s">
        <v>4864</v>
      </c>
      <c r="B2897" s="1" t="s">
        <v>905</v>
      </c>
      <c r="C2897" s="1" t="s">
        <v>4737</v>
      </c>
      <c r="D2897" s="1" t="s">
        <v>4743</v>
      </c>
      <c r="E2897" s="1" t="s">
        <v>906</v>
      </c>
    </row>
    <row r="2898" customFormat="false" ht="16" hidden="false" customHeight="false" outlineLevel="0" collapsed="false">
      <c r="A2898" s="1" t="s">
        <v>4865</v>
      </c>
      <c r="B2898" s="1" t="s">
        <v>905</v>
      </c>
      <c r="C2898" s="1" t="s">
        <v>4737</v>
      </c>
      <c r="D2898" s="1" t="s">
        <v>4745</v>
      </c>
      <c r="E2898" s="1" t="s">
        <v>906</v>
      </c>
    </row>
    <row r="2899" customFormat="false" ht="16" hidden="false" customHeight="false" outlineLevel="0" collapsed="false">
      <c r="A2899" s="1" t="s">
        <v>4866</v>
      </c>
      <c r="B2899" s="1" t="s">
        <v>905</v>
      </c>
      <c r="C2899" s="1" t="s">
        <v>4737</v>
      </c>
      <c r="D2899" s="1" t="s">
        <v>770</v>
      </c>
      <c r="E2899" s="1" t="s">
        <v>906</v>
      </c>
    </row>
    <row r="2900" customFormat="false" ht="16" hidden="false" customHeight="false" outlineLevel="0" collapsed="false">
      <c r="A2900" s="1" t="s">
        <v>4867</v>
      </c>
      <c r="B2900" s="1" t="s">
        <v>4868</v>
      </c>
      <c r="C2900" s="1" t="s">
        <v>4737</v>
      </c>
      <c r="D2900" s="1" t="s">
        <v>770</v>
      </c>
      <c r="E2900" s="1" t="s">
        <v>7</v>
      </c>
    </row>
    <row r="2901" customFormat="false" ht="16" hidden="false" customHeight="false" outlineLevel="0" collapsed="false">
      <c r="A2901" s="1" t="s">
        <v>4869</v>
      </c>
      <c r="B2901" s="1" t="s">
        <v>926</v>
      </c>
      <c r="C2901" s="1" t="s">
        <v>4737</v>
      </c>
      <c r="D2901" s="1" t="s">
        <v>4739</v>
      </c>
      <c r="E2901" s="1" t="s">
        <v>7</v>
      </c>
    </row>
    <row r="2902" customFormat="false" ht="16" hidden="false" customHeight="false" outlineLevel="0" collapsed="false">
      <c r="A2902" s="1" t="s">
        <v>4870</v>
      </c>
      <c r="B2902" s="1" t="s">
        <v>926</v>
      </c>
      <c r="C2902" s="1" t="s">
        <v>4737</v>
      </c>
      <c r="D2902" s="1" t="s">
        <v>4741</v>
      </c>
      <c r="E2902" s="1" t="s">
        <v>7</v>
      </c>
    </row>
    <row r="2903" customFormat="false" ht="16" hidden="false" customHeight="false" outlineLevel="0" collapsed="false">
      <c r="A2903" s="1" t="s">
        <v>4871</v>
      </c>
      <c r="B2903" s="1" t="s">
        <v>926</v>
      </c>
      <c r="C2903" s="1" t="s">
        <v>4737</v>
      </c>
      <c r="D2903" s="1" t="s">
        <v>4743</v>
      </c>
      <c r="E2903" s="1" t="s">
        <v>7</v>
      </c>
    </row>
    <row r="2904" customFormat="false" ht="16" hidden="false" customHeight="false" outlineLevel="0" collapsed="false">
      <c r="A2904" s="1" t="s">
        <v>4872</v>
      </c>
      <c r="B2904" s="1" t="s">
        <v>926</v>
      </c>
      <c r="C2904" s="1" t="s">
        <v>4737</v>
      </c>
      <c r="D2904" s="1" t="s">
        <v>4745</v>
      </c>
      <c r="E2904" s="1" t="s">
        <v>7</v>
      </c>
    </row>
    <row r="2905" customFormat="false" ht="16" hidden="false" customHeight="false" outlineLevel="0" collapsed="false">
      <c r="A2905" s="1" t="s">
        <v>4873</v>
      </c>
      <c r="B2905" s="1" t="s">
        <v>926</v>
      </c>
      <c r="C2905" s="1" t="s">
        <v>4737</v>
      </c>
      <c r="D2905" s="1" t="s">
        <v>770</v>
      </c>
      <c r="E2905" s="1" t="s">
        <v>7</v>
      </c>
    </row>
    <row r="2906" customFormat="false" ht="16" hidden="false" customHeight="false" outlineLevel="0" collapsed="false">
      <c r="A2906" s="1" t="s">
        <v>4874</v>
      </c>
      <c r="B2906" s="1" t="s">
        <v>4875</v>
      </c>
      <c r="C2906" s="1" t="s">
        <v>4737</v>
      </c>
      <c r="D2906" s="1" t="s">
        <v>770</v>
      </c>
      <c r="E2906" s="1" t="s">
        <v>7</v>
      </c>
    </row>
    <row r="2907" customFormat="false" ht="16" hidden="false" customHeight="false" outlineLevel="0" collapsed="false">
      <c r="A2907" s="1" t="s">
        <v>4876</v>
      </c>
      <c r="B2907" s="1" t="s">
        <v>932</v>
      </c>
      <c r="C2907" s="1" t="s">
        <v>4737</v>
      </c>
      <c r="D2907" s="1" t="s">
        <v>4739</v>
      </c>
      <c r="E2907" s="1" t="s">
        <v>906</v>
      </c>
    </row>
    <row r="2908" customFormat="false" ht="16" hidden="false" customHeight="false" outlineLevel="0" collapsed="false">
      <c r="A2908" s="1" t="s">
        <v>4877</v>
      </c>
      <c r="B2908" s="1" t="s">
        <v>932</v>
      </c>
      <c r="C2908" s="1" t="s">
        <v>4737</v>
      </c>
      <c r="D2908" s="1" t="s">
        <v>4741</v>
      </c>
      <c r="E2908" s="1" t="s">
        <v>906</v>
      </c>
    </row>
    <row r="2909" customFormat="false" ht="16" hidden="false" customHeight="false" outlineLevel="0" collapsed="false">
      <c r="A2909" s="1" t="s">
        <v>4878</v>
      </c>
      <c r="B2909" s="1" t="s">
        <v>932</v>
      </c>
      <c r="C2909" s="1" t="s">
        <v>4737</v>
      </c>
      <c r="D2909" s="1" t="s">
        <v>4743</v>
      </c>
      <c r="E2909" s="1" t="s">
        <v>906</v>
      </c>
    </row>
    <row r="2910" customFormat="false" ht="16" hidden="false" customHeight="false" outlineLevel="0" collapsed="false">
      <c r="A2910" s="1" t="s">
        <v>4879</v>
      </c>
      <c r="B2910" s="1" t="s">
        <v>932</v>
      </c>
      <c r="C2910" s="1" t="s">
        <v>4737</v>
      </c>
      <c r="D2910" s="1" t="s">
        <v>4745</v>
      </c>
      <c r="E2910" s="1" t="s">
        <v>906</v>
      </c>
    </row>
    <row r="2911" customFormat="false" ht="16" hidden="false" customHeight="false" outlineLevel="0" collapsed="false">
      <c r="A2911" s="1" t="s">
        <v>4880</v>
      </c>
      <c r="B2911" s="1" t="s">
        <v>932</v>
      </c>
      <c r="C2911" s="1" t="s">
        <v>4737</v>
      </c>
      <c r="D2911" s="1" t="s">
        <v>770</v>
      </c>
      <c r="E2911" s="1" t="s">
        <v>906</v>
      </c>
    </row>
    <row r="2912" customFormat="false" ht="16" hidden="false" customHeight="false" outlineLevel="0" collapsed="false">
      <c r="A2912" s="1" t="s">
        <v>4881</v>
      </c>
      <c r="B2912" s="1" t="s">
        <v>4882</v>
      </c>
      <c r="C2912" s="1" t="s">
        <v>4737</v>
      </c>
      <c r="D2912" s="1" t="s">
        <v>770</v>
      </c>
      <c r="E2912" s="1" t="s">
        <v>7</v>
      </c>
    </row>
    <row r="2913" customFormat="false" ht="16" hidden="false" customHeight="false" outlineLevel="0" collapsed="false">
      <c r="A2913" s="1" t="s">
        <v>4883</v>
      </c>
      <c r="B2913" s="1" t="s">
        <v>4884</v>
      </c>
      <c r="C2913" s="1" t="s">
        <v>4737</v>
      </c>
      <c r="D2913" s="1" t="s">
        <v>4739</v>
      </c>
      <c r="E2913" s="1" t="s">
        <v>7</v>
      </c>
    </row>
    <row r="2914" customFormat="false" ht="16" hidden="false" customHeight="false" outlineLevel="0" collapsed="false">
      <c r="A2914" s="1" t="s">
        <v>4885</v>
      </c>
      <c r="B2914" s="1" t="s">
        <v>4884</v>
      </c>
      <c r="C2914" s="1" t="s">
        <v>4737</v>
      </c>
      <c r="D2914" s="1" t="s">
        <v>4741</v>
      </c>
      <c r="E2914" s="1" t="s">
        <v>7</v>
      </c>
    </row>
    <row r="2915" customFormat="false" ht="16" hidden="false" customHeight="false" outlineLevel="0" collapsed="false">
      <c r="A2915" s="1" t="s">
        <v>4886</v>
      </c>
      <c r="B2915" s="1" t="s">
        <v>4884</v>
      </c>
      <c r="C2915" s="1" t="s">
        <v>4737</v>
      </c>
      <c r="D2915" s="1" t="s">
        <v>4743</v>
      </c>
      <c r="E2915" s="1" t="s">
        <v>7</v>
      </c>
    </row>
    <row r="2916" customFormat="false" ht="16" hidden="false" customHeight="false" outlineLevel="0" collapsed="false">
      <c r="A2916" s="1" t="s">
        <v>4887</v>
      </c>
      <c r="B2916" s="1" t="s">
        <v>4884</v>
      </c>
      <c r="C2916" s="1" t="s">
        <v>4737</v>
      </c>
      <c r="D2916" s="1" t="s">
        <v>4745</v>
      </c>
      <c r="E2916" s="1" t="s">
        <v>7</v>
      </c>
    </row>
    <row r="2917" customFormat="false" ht="16" hidden="false" customHeight="false" outlineLevel="0" collapsed="false">
      <c r="A2917" s="1" t="s">
        <v>4888</v>
      </c>
      <c r="B2917" s="1" t="s">
        <v>4884</v>
      </c>
      <c r="C2917" s="1" t="s">
        <v>4737</v>
      </c>
      <c r="D2917" s="1" t="s">
        <v>770</v>
      </c>
      <c r="E2917" s="1" t="s">
        <v>7</v>
      </c>
    </row>
    <row r="2918" customFormat="false" ht="16" hidden="false" customHeight="false" outlineLevel="0" collapsed="false">
      <c r="A2918" s="1" t="s">
        <v>4889</v>
      </c>
      <c r="B2918" s="1" t="s">
        <v>950</v>
      </c>
      <c r="C2918" s="1" t="s">
        <v>4737</v>
      </c>
      <c r="D2918" s="1" t="s">
        <v>4739</v>
      </c>
      <c r="E2918" s="1" t="s">
        <v>7</v>
      </c>
    </row>
    <row r="2919" customFormat="false" ht="16" hidden="false" customHeight="false" outlineLevel="0" collapsed="false">
      <c r="A2919" s="1" t="s">
        <v>4890</v>
      </c>
      <c r="B2919" s="1" t="s">
        <v>950</v>
      </c>
      <c r="C2919" s="1" t="s">
        <v>4737</v>
      </c>
      <c r="D2919" s="1" t="s">
        <v>4741</v>
      </c>
      <c r="E2919" s="1" t="s">
        <v>7</v>
      </c>
    </row>
    <row r="2920" customFormat="false" ht="16" hidden="false" customHeight="false" outlineLevel="0" collapsed="false">
      <c r="A2920" s="1" t="s">
        <v>4891</v>
      </c>
      <c r="B2920" s="1" t="s">
        <v>950</v>
      </c>
      <c r="C2920" s="1" t="s">
        <v>4737</v>
      </c>
      <c r="D2920" s="1" t="s">
        <v>4743</v>
      </c>
      <c r="E2920" s="1" t="s">
        <v>7</v>
      </c>
    </row>
    <row r="2921" customFormat="false" ht="16" hidden="false" customHeight="false" outlineLevel="0" collapsed="false">
      <c r="A2921" s="1" t="s">
        <v>4892</v>
      </c>
      <c r="B2921" s="1" t="s">
        <v>950</v>
      </c>
      <c r="C2921" s="1" t="s">
        <v>4737</v>
      </c>
      <c r="D2921" s="1" t="s">
        <v>4745</v>
      </c>
      <c r="E2921" s="1" t="s">
        <v>7</v>
      </c>
    </row>
    <row r="2922" customFormat="false" ht="16" hidden="false" customHeight="false" outlineLevel="0" collapsed="false">
      <c r="A2922" s="1" t="s">
        <v>4893</v>
      </c>
      <c r="B2922" s="1" t="s">
        <v>950</v>
      </c>
      <c r="C2922" s="1" t="s">
        <v>4737</v>
      </c>
      <c r="D2922" s="1" t="s">
        <v>770</v>
      </c>
      <c r="E2922" s="1" t="s">
        <v>7</v>
      </c>
    </row>
    <row r="2923" customFormat="false" ht="16" hidden="false" customHeight="false" outlineLevel="0" collapsed="false">
      <c r="A2923" s="1" t="s">
        <v>4894</v>
      </c>
      <c r="B2923" s="1" t="s">
        <v>956</v>
      </c>
      <c r="C2923" s="1" t="s">
        <v>4737</v>
      </c>
      <c r="D2923" s="1" t="s">
        <v>4739</v>
      </c>
      <c r="E2923" s="1" t="s">
        <v>7</v>
      </c>
    </row>
    <row r="2924" customFormat="false" ht="16" hidden="false" customHeight="false" outlineLevel="0" collapsed="false">
      <c r="A2924" s="1" t="s">
        <v>4895</v>
      </c>
      <c r="B2924" s="1" t="s">
        <v>956</v>
      </c>
      <c r="C2924" s="1" t="s">
        <v>4737</v>
      </c>
      <c r="D2924" s="1" t="s">
        <v>4741</v>
      </c>
      <c r="E2924" s="1" t="s">
        <v>7</v>
      </c>
    </row>
    <row r="2925" customFormat="false" ht="16" hidden="false" customHeight="false" outlineLevel="0" collapsed="false">
      <c r="A2925" s="1" t="s">
        <v>4896</v>
      </c>
      <c r="B2925" s="1" t="s">
        <v>956</v>
      </c>
      <c r="C2925" s="1" t="s">
        <v>4737</v>
      </c>
      <c r="D2925" s="1" t="s">
        <v>4743</v>
      </c>
      <c r="E2925" s="1" t="s">
        <v>7</v>
      </c>
    </row>
    <row r="2926" customFormat="false" ht="16" hidden="false" customHeight="false" outlineLevel="0" collapsed="false">
      <c r="A2926" s="1" t="s">
        <v>4897</v>
      </c>
      <c r="B2926" s="1" t="s">
        <v>956</v>
      </c>
      <c r="C2926" s="1" t="s">
        <v>4737</v>
      </c>
      <c r="D2926" s="1" t="s">
        <v>4745</v>
      </c>
      <c r="E2926" s="1" t="s">
        <v>7</v>
      </c>
    </row>
    <row r="2927" customFormat="false" ht="16" hidden="false" customHeight="false" outlineLevel="0" collapsed="false">
      <c r="A2927" s="1" t="s">
        <v>4898</v>
      </c>
      <c r="B2927" s="1" t="s">
        <v>956</v>
      </c>
      <c r="C2927" s="1" t="s">
        <v>4737</v>
      </c>
      <c r="D2927" s="1" t="s">
        <v>770</v>
      </c>
      <c r="E2927" s="1" t="s">
        <v>7</v>
      </c>
    </row>
    <row r="2928" customFormat="false" ht="16" hidden="false" customHeight="false" outlineLevel="0" collapsed="false">
      <c r="A2928" s="1" t="s">
        <v>4899</v>
      </c>
      <c r="B2928" s="1" t="s">
        <v>113</v>
      </c>
      <c r="C2928" s="1" t="s">
        <v>4737</v>
      </c>
      <c r="D2928" s="1" t="s">
        <v>4739</v>
      </c>
      <c r="E2928" s="1" t="s">
        <v>7</v>
      </c>
    </row>
    <row r="2929" customFormat="false" ht="16" hidden="false" customHeight="false" outlineLevel="0" collapsed="false">
      <c r="A2929" s="1" t="s">
        <v>4900</v>
      </c>
      <c r="B2929" s="1" t="s">
        <v>113</v>
      </c>
      <c r="C2929" s="1" t="s">
        <v>4737</v>
      </c>
      <c r="D2929" s="1" t="s">
        <v>4741</v>
      </c>
      <c r="E2929" s="1" t="s">
        <v>7</v>
      </c>
    </row>
    <row r="2930" customFormat="false" ht="16" hidden="false" customHeight="false" outlineLevel="0" collapsed="false">
      <c r="A2930" s="1" t="s">
        <v>4901</v>
      </c>
      <c r="B2930" s="1" t="s">
        <v>113</v>
      </c>
      <c r="C2930" s="1" t="s">
        <v>4737</v>
      </c>
      <c r="D2930" s="1" t="s">
        <v>4743</v>
      </c>
      <c r="E2930" s="1" t="s">
        <v>7</v>
      </c>
    </row>
    <row r="2931" customFormat="false" ht="16" hidden="false" customHeight="false" outlineLevel="0" collapsed="false">
      <c r="A2931" s="1" t="s">
        <v>4902</v>
      </c>
      <c r="B2931" s="1" t="s">
        <v>113</v>
      </c>
      <c r="C2931" s="1" t="s">
        <v>4737</v>
      </c>
      <c r="D2931" s="1" t="s">
        <v>4745</v>
      </c>
      <c r="E2931" s="1" t="s">
        <v>7</v>
      </c>
    </row>
    <row r="2932" customFormat="false" ht="16" hidden="false" customHeight="false" outlineLevel="0" collapsed="false">
      <c r="A2932" s="1" t="s">
        <v>4903</v>
      </c>
      <c r="B2932" s="1" t="s">
        <v>113</v>
      </c>
      <c r="C2932" s="1" t="s">
        <v>4737</v>
      </c>
      <c r="D2932" s="1" t="s">
        <v>770</v>
      </c>
      <c r="E2932" s="1" t="s">
        <v>7</v>
      </c>
    </row>
    <row r="2933" customFormat="false" ht="16" hidden="false" customHeight="false" outlineLevel="0" collapsed="false">
      <c r="A2933" s="1" t="s">
        <v>4904</v>
      </c>
      <c r="B2933" s="1" t="s">
        <v>4905</v>
      </c>
      <c r="C2933" s="1" t="s">
        <v>4737</v>
      </c>
      <c r="D2933" s="1" t="s">
        <v>4739</v>
      </c>
      <c r="E2933" s="1" t="s">
        <v>906</v>
      </c>
    </row>
    <row r="2934" customFormat="false" ht="16" hidden="false" customHeight="false" outlineLevel="0" collapsed="false">
      <c r="A2934" s="1" t="s">
        <v>4906</v>
      </c>
      <c r="B2934" s="1" t="s">
        <v>4905</v>
      </c>
      <c r="C2934" s="1" t="s">
        <v>4737</v>
      </c>
      <c r="D2934" s="1" t="s">
        <v>4741</v>
      </c>
      <c r="E2934" s="1" t="s">
        <v>906</v>
      </c>
    </row>
    <row r="2935" customFormat="false" ht="16" hidden="false" customHeight="false" outlineLevel="0" collapsed="false">
      <c r="A2935" s="1" t="s">
        <v>4907</v>
      </c>
      <c r="B2935" s="1" t="s">
        <v>4905</v>
      </c>
      <c r="C2935" s="1" t="s">
        <v>4737</v>
      </c>
      <c r="D2935" s="1" t="s">
        <v>4743</v>
      </c>
      <c r="E2935" s="1" t="s">
        <v>906</v>
      </c>
    </row>
    <row r="2936" customFormat="false" ht="16" hidden="false" customHeight="false" outlineLevel="0" collapsed="false">
      <c r="A2936" s="1" t="s">
        <v>4908</v>
      </c>
      <c r="B2936" s="1" t="s">
        <v>4905</v>
      </c>
      <c r="C2936" s="1" t="s">
        <v>4737</v>
      </c>
      <c r="D2936" s="1" t="s">
        <v>4745</v>
      </c>
      <c r="E2936" s="1" t="s">
        <v>906</v>
      </c>
    </row>
    <row r="2937" customFormat="false" ht="16" hidden="false" customHeight="false" outlineLevel="0" collapsed="false">
      <c r="A2937" s="1" t="s">
        <v>4909</v>
      </c>
      <c r="B2937" s="1" t="s">
        <v>4905</v>
      </c>
      <c r="C2937" s="1" t="s">
        <v>4737</v>
      </c>
      <c r="D2937" s="1" t="s">
        <v>770</v>
      </c>
      <c r="E2937" s="1" t="s">
        <v>906</v>
      </c>
    </row>
    <row r="2938" customFormat="false" ht="16" hidden="false" customHeight="false" outlineLevel="0" collapsed="false">
      <c r="A2938" s="1" t="s">
        <v>4910</v>
      </c>
      <c r="B2938" s="1" t="s">
        <v>969</v>
      </c>
      <c r="C2938" s="1" t="s">
        <v>4737</v>
      </c>
      <c r="D2938" s="1" t="s">
        <v>4739</v>
      </c>
      <c r="E2938" s="1" t="s">
        <v>906</v>
      </c>
    </row>
    <row r="2939" customFormat="false" ht="16" hidden="false" customHeight="false" outlineLevel="0" collapsed="false">
      <c r="A2939" s="1" t="s">
        <v>4911</v>
      </c>
      <c r="B2939" s="1" t="s">
        <v>969</v>
      </c>
      <c r="C2939" s="1" t="s">
        <v>4737</v>
      </c>
      <c r="D2939" s="1" t="s">
        <v>4741</v>
      </c>
      <c r="E2939" s="1" t="s">
        <v>906</v>
      </c>
    </row>
    <row r="2940" customFormat="false" ht="16" hidden="false" customHeight="false" outlineLevel="0" collapsed="false">
      <c r="A2940" s="1" t="s">
        <v>4912</v>
      </c>
      <c r="B2940" s="1" t="s">
        <v>969</v>
      </c>
      <c r="C2940" s="1" t="s">
        <v>4737</v>
      </c>
      <c r="D2940" s="1" t="s">
        <v>4743</v>
      </c>
      <c r="E2940" s="1" t="s">
        <v>906</v>
      </c>
    </row>
    <row r="2941" customFormat="false" ht="16" hidden="false" customHeight="false" outlineLevel="0" collapsed="false">
      <c r="A2941" s="1" t="s">
        <v>4913</v>
      </c>
      <c r="B2941" s="1" t="s">
        <v>969</v>
      </c>
      <c r="C2941" s="1" t="s">
        <v>4737</v>
      </c>
      <c r="D2941" s="1" t="s">
        <v>4745</v>
      </c>
      <c r="E2941" s="1" t="s">
        <v>906</v>
      </c>
    </row>
    <row r="2942" customFormat="false" ht="16" hidden="false" customHeight="false" outlineLevel="0" collapsed="false">
      <c r="A2942" s="1" t="s">
        <v>4914</v>
      </c>
      <c r="B2942" s="1" t="s">
        <v>969</v>
      </c>
      <c r="C2942" s="1" t="s">
        <v>4737</v>
      </c>
      <c r="D2942" s="1" t="s">
        <v>770</v>
      </c>
      <c r="E2942" s="1" t="s">
        <v>906</v>
      </c>
    </row>
    <row r="2943" customFormat="false" ht="16" hidden="false" customHeight="false" outlineLevel="0" collapsed="false">
      <c r="A2943" s="1" t="s">
        <v>4915</v>
      </c>
      <c r="B2943" s="1" t="s">
        <v>975</v>
      </c>
      <c r="C2943" s="1" t="s">
        <v>4737</v>
      </c>
      <c r="D2943" s="1" t="s">
        <v>4739</v>
      </c>
      <c r="E2943" s="1" t="s">
        <v>906</v>
      </c>
    </row>
    <row r="2944" customFormat="false" ht="16" hidden="false" customHeight="false" outlineLevel="0" collapsed="false">
      <c r="A2944" s="1" t="s">
        <v>4916</v>
      </c>
      <c r="B2944" s="1" t="s">
        <v>975</v>
      </c>
      <c r="C2944" s="1" t="s">
        <v>4737</v>
      </c>
      <c r="D2944" s="1" t="s">
        <v>4741</v>
      </c>
      <c r="E2944" s="1" t="s">
        <v>906</v>
      </c>
    </row>
    <row r="2945" customFormat="false" ht="16" hidden="false" customHeight="false" outlineLevel="0" collapsed="false">
      <c r="A2945" s="1" t="s">
        <v>4917</v>
      </c>
      <c r="B2945" s="1" t="s">
        <v>975</v>
      </c>
      <c r="C2945" s="1" t="s">
        <v>4737</v>
      </c>
      <c r="D2945" s="1" t="s">
        <v>4743</v>
      </c>
      <c r="E2945" s="1" t="s">
        <v>906</v>
      </c>
    </row>
    <row r="2946" customFormat="false" ht="16" hidden="false" customHeight="false" outlineLevel="0" collapsed="false">
      <c r="A2946" s="1" t="s">
        <v>4918</v>
      </c>
      <c r="B2946" s="1" t="s">
        <v>975</v>
      </c>
      <c r="C2946" s="1" t="s">
        <v>4737</v>
      </c>
      <c r="D2946" s="1" t="s">
        <v>4745</v>
      </c>
      <c r="E2946" s="1" t="s">
        <v>906</v>
      </c>
    </row>
    <row r="2947" customFormat="false" ht="16" hidden="false" customHeight="false" outlineLevel="0" collapsed="false">
      <c r="A2947" s="1" t="s">
        <v>4919</v>
      </c>
      <c r="B2947" s="1" t="s">
        <v>975</v>
      </c>
      <c r="C2947" s="1" t="s">
        <v>4737</v>
      </c>
      <c r="D2947" s="1" t="s">
        <v>770</v>
      </c>
      <c r="E2947" s="1" t="s">
        <v>906</v>
      </c>
    </row>
    <row r="2948" customFormat="false" ht="16" hidden="false" customHeight="false" outlineLevel="0" collapsed="false">
      <c r="A2948" s="1" t="s">
        <v>4920</v>
      </c>
      <c r="B2948" s="1" t="s">
        <v>4921</v>
      </c>
      <c r="C2948" s="1" t="s">
        <v>4737</v>
      </c>
      <c r="D2948" s="1" t="s">
        <v>4739</v>
      </c>
      <c r="E2948" s="1" t="s">
        <v>7</v>
      </c>
    </row>
    <row r="2949" customFormat="false" ht="16" hidden="false" customHeight="false" outlineLevel="0" collapsed="false">
      <c r="A2949" s="1" t="s">
        <v>4922</v>
      </c>
      <c r="B2949" s="1" t="s">
        <v>4921</v>
      </c>
      <c r="C2949" s="1" t="s">
        <v>4737</v>
      </c>
      <c r="D2949" s="1" t="s">
        <v>4741</v>
      </c>
      <c r="E2949" s="1" t="s">
        <v>7</v>
      </c>
    </row>
    <row r="2950" customFormat="false" ht="16" hidden="false" customHeight="false" outlineLevel="0" collapsed="false">
      <c r="A2950" s="1" t="s">
        <v>4923</v>
      </c>
      <c r="B2950" s="1" t="s">
        <v>4921</v>
      </c>
      <c r="C2950" s="1" t="s">
        <v>4737</v>
      </c>
      <c r="D2950" s="1" t="s">
        <v>4743</v>
      </c>
      <c r="E2950" s="1" t="s">
        <v>7</v>
      </c>
    </row>
    <row r="2951" customFormat="false" ht="16" hidden="false" customHeight="false" outlineLevel="0" collapsed="false">
      <c r="A2951" s="1" t="s">
        <v>4924</v>
      </c>
      <c r="B2951" s="1" t="s">
        <v>4921</v>
      </c>
      <c r="C2951" s="1" t="s">
        <v>4737</v>
      </c>
      <c r="D2951" s="1" t="s">
        <v>4745</v>
      </c>
      <c r="E2951" s="1" t="s">
        <v>7</v>
      </c>
    </row>
    <row r="2952" customFormat="false" ht="16" hidden="false" customHeight="false" outlineLevel="0" collapsed="false">
      <c r="A2952" s="1" t="s">
        <v>4925</v>
      </c>
      <c r="B2952" s="1" t="s">
        <v>4921</v>
      </c>
      <c r="C2952" s="1" t="s">
        <v>4737</v>
      </c>
      <c r="D2952" s="1" t="s">
        <v>770</v>
      </c>
      <c r="E2952" s="1" t="s">
        <v>7</v>
      </c>
    </row>
    <row r="2953" customFormat="false" ht="16" hidden="false" customHeight="false" outlineLevel="0" collapsed="false">
      <c r="A2953" s="1" t="s">
        <v>4926</v>
      </c>
      <c r="B2953" s="1" t="s">
        <v>1000</v>
      </c>
      <c r="C2953" s="1" t="s">
        <v>4737</v>
      </c>
      <c r="D2953" s="1" t="s">
        <v>4739</v>
      </c>
      <c r="E2953" s="1" t="s">
        <v>7</v>
      </c>
    </row>
    <row r="2954" customFormat="false" ht="16" hidden="false" customHeight="false" outlineLevel="0" collapsed="false">
      <c r="A2954" s="1" t="s">
        <v>4927</v>
      </c>
      <c r="B2954" s="1" t="s">
        <v>1000</v>
      </c>
      <c r="C2954" s="1" t="s">
        <v>4737</v>
      </c>
      <c r="D2954" s="1" t="s">
        <v>4745</v>
      </c>
      <c r="E2954" s="1" t="s">
        <v>7</v>
      </c>
    </row>
    <row r="2955" customFormat="false" ht="16" hidden="false" customHeight="false" outlineLevel="0" collapsed="false">
      <c r="A2955" s="1" t="s">
        <v>4928</v>
      </c>
      <c r="B2955" s="1" t="s">
        <v>4929</v>
      </c>
      <c r="C2955" s="1" t="s">
        <v>4737</v>
      </c>
      <c r="D2955" s="1" t="s">
        <v>4739</v>
      </c>
      <c r="E2955" s="1" t="s">
        <v>7</v>
      </c>
    </row>
    <row r="2956" customFormat="false" ht="16" hidden="false" customHeight="false" outlineLevel="0" collapsed="false">
      <c r="A2956" s="1" t="s">
        <v>4930</v>
      </c>
      <c r="B2956" s="1" t="s">
        <v>4929</v>
      </c>
      <c r="C2956" s="1" t="s">
        <v>4737</v>
      </c>
      <c r="D2956" s="1" t="s">
        <v>4741</v>
      </c>
      <c r="E2956" s="1" t="s">
        <v>7</v>
      </c>
    </row>
    <row r="2957" customFormat="false" ht="16" hidden="false" customHeight="false" outlineLevel="0" collapsed="false">
      <c r="A2957" s="1" t="s">
        <v>4931</v>
      </c>
      <c r="B2957" s="1" t="s">
        <v>4929</v>
      </c>
      <c r="C2957" s="1" t="s">
        <v>4737</v>
      </c>
      <c r="D2957" s="1" t="s">
        <v>4743</v>
      </c>
      <c r="E2957" s="1" t="s">
        <v>7</v>
      </c>
    </row>
    <row r="2958" customFormat="false" ht="16" hidden="false" customHeight="false" outlineLevel="0" collapsed="false">
      <c r="A2958" s="1" t="s">
        <v>4932</v>
      </c>
      <c r="B2958" s="1" t="s">
        <v>4929</v>
      </c>
      <c r="C2958" s="1" t="s">
        <v>4737</v>
      </c>
      <c r="D2958" s="1" t="s">
        <v>4745</v>
      </c>
      <c r="E2958" s="1" t="s">
        <v>7</v>
      </c>
    </row>
    <row r="2959" customFormat="false" ht="16" hidden="false" customHeight="false" outlineLevel="0" collapsed="false">
      <c r="A2959" s="1" t="s">
        <v>4933</v>
      </c>
      <c r="B2959" s="1" t="s">
        <v>4929</v>
      </c>
      <c r="C2959" s="1" t="s">
        <v>4737</v>
      </c>
      <c r="D2959" s="1" t="s">
        <v>770</v>
      </c>
      <c r="E2959" s="1" t="s">
        <v>7</v>
      </c>
    </row>
    <row r="2960" customFormat="false" ht="16" hidden="false" customHeight="false" outlineLevel="0" collapsed="false">
      <c r="A2960" s="1" t="s">
        <v>4934</v>
      </c>
      <c r="B2960" s="1" t="s">
        <v>4935</v>
      </c>
      <c r="C2960" s="1" t="s">
        <v>4737</v>
      </c>
      <c r="D2960" s="1" t="s">
        <v>4739</v>
      </c>
      <c r="E2960" s="1" t="s">
        <v>7</v>
      </c>
    </row>
    <row r="2961" customFormat="false" ht="16" hidden="false" customHeight="false" outlineLevel="0" collapsed="false">
      <c r="A2961" s="1" t="s">
        <v>4936</v>
      </c>
      <c r="B2961" s="1" t="s">
        <v>4935</v>
      </c>
      <c r="C2961" s="1" t="s">
        <v>4737</v>
      </c>
      <c r="D2961" s="1" t="s">
        <v>4741</v>
      </c>
      <c r="E2961" s="1" t="s">
        <v>7</v>
      </c>
    </row>
    <row r="2962" customFormat="false" ht="16" hidden="false" customHeight="false" outlineLevel="0" collapsed="false">
      <c r="A2962" s="1" t="s">
        <v>4937</v>
      </c>
      <c r="B2962" s="1" t="s">
        <v>4935</v>
      </c>
      <c r="C2962" s="1" t="s">
        <v>4737</v>
      </c>
      <c r="D2962" s="1" t="s">
        <v>4743</v>
      </c>
      <c r="E2962" s="1" t="s">
        <v>7</v>
      </c>
    </row>
    <row r="2963" customFormat="false" ht="16" hidden="false" customHeight="false" outlineLevel="0" collapsed="false">
      <c r="A2963" s="1" t="s">
        <v>4938</v>
      </c>
      <c r="B2963" s="1" t="s">
        <v>4935</v>
      </c>
      <c r="C2963" s="1" t="s">
        <v>4737</v>
      </c>
      <c r="D2963" s="1" t="s">
        <v>4745</v>
      </c>
      <c r="E2963" s="1" t="s">
        <v>7</v>
      </c>
    </row>
    <row r="2964" customFormat="false" ht="16" hidden="false" customHeight="false" outlineLevel="0" collapsed="false">
      <c r="A2964" s="1" t="s">
        <v>4939</v>
      </c>
      <c r="B2964" s="1" t="s">
        <v>4935</v>
      </c>
      <c r="C2964" s="1" t="s">
        <v>4737</v>
      </c>
      <c r="D2964" s="1" t="s">
        <v>770</v>
      </c>
      <c r="E2964" s="1" t="s">
        <v>7</v>
      </c>
    </row>
    <row r="2965" customFormat="false" ht="16" hidden="false" customHeight="false" outlineLevel="0" collapsed="false">
      <c r="A2965" s="1" t="s">
        <v>4940</v>
      </c>
      <c r="B2965" s="1" t="s">
        <v>123</v>
      </c>
      <c r="C2965" s="1" t="s">
        <v>4737</v>
      </c>
      <c r="D2965" s="1" t="s">
        <v>4739</v>
      </c>
      <c r="E2965" s="1" t="s">
        <v>7</v>
      </c>
    </row>
    <row r="2966" customFormat="false" ht="16" hidden="false" customHeight="false" outlineLevel="0" collapsed="false">
      <c r="A2966" s="1" t="s">
        <v>4941</v>
      </c>
      <c r="B2966" s="1" t="s">
        <v>123</v>
      </c>
      <c r="C2966" s="1" t="s">
        <v>4737</v>
      </c>
      <c r="D2966" s="1" t="s">
        <v>4741</v>
      </c>
      <c r="E2966" s="1" t="s">
        <v>7</v>
      </c>
    </row>
    <row r="2967" customFormat="false" ht="16" hidden="false" customHeight="false" outlineLevel="0" collapsed="false">
      <c r="A2967" s="1" t="s">
        <v>4942</v>
      </c>
      <c r="B2967" s="1" t="s">
        <v>123</v>
      </c>
      <c r="C2967" s="1" t="s">
        <v>4737</v>
      </c>
      <c r="D2967" s="1" t="s">
        <v>4743</v>
      </c>
      <c r="E2967" s="1" t="s">
        <v>7</v>
      </c>
    </row>
    <row r="2968" customFormat="false" ht="16" hidden="false" customHeight="false" outlineLevel="0" collapsed="false">
      <c r="A2968" s="1" t="s">
        <v>4943</v>
      </c>
      <c r="B2968" s="1" t="s">
        <v>123</v>
      </c>
      <c r="C2968" s="1" t="s">
        <v>4737</v>
      </c>
      <c r="D2968" s="1" t="s">
        <v>4745</v>
      </c>
      <c r="E2968" s="1" t="s">
        <v>7</v>
      </c>
    </row>
    <row r="2969" customFormat="false" ht="16" hidden="false" customHeight="false" outlineLevel="0" collapsed="false">
      <c r="A2969" s="1" t="s">
        <v>4944</v>
      </c>
      <c r="B2969" s="1" t="s">
        <v>123</v>
      </c>
      <c r="C2969" s="1" t="s">
        <v>4737</v>
      </c>
      <c r="D2969" s="1" t="s">
        <v>770</v>
      </c>
      <c r="E2969" s="1" t="s">
        <v>7</v>
      </c>
    </row>
    <row r="2970" customFormat="false" ht="16" hidden="false" customHeight="false" outlineLevel="0" collapsed="false">
      <c r="A2970" s="1" t="s">
        <v>4945</v>
      </c>
      <c r="B2970" s="1" t="s">
        <v>4946</v>
      </c>
      <c r="C2970" s="1" t="s">
        <v>4737</v>
      </c>
      <c r="D2970" s="1" t="s">
        <v>770</v>
      </c>
      <c r="E2970" s="1" t="s">
        <v>7</v>
      </c>
    </row>
    <row r="2971" customFormat="false" ht="16" hidden="false" customHeight="false" outlineLevel="0" collapsed="false">
      <c r="A2971" s="1" t="s">
        <v>4947</v>
      </c>
      <c r="B2971" s="1" t="s">
        <v>1009</v>
      </c>
      <c r="C2971" s="1" t="s">
        <v>4737</v>
      </c>
      <c r="D2971" s="1" t="s">
        <v>4739</v>
      </c>
      <c r="E2971" s="1" t="s">
        <v>906</v>
      </c>
    </row>
    <row r="2972" customFormat="false" ht="16" hidden="false" customHeight="false" outlineLevel="0" collapsed="false">
      <c r="A2972" s="1" t="s">
        <v>4948</v>
      </c>
      <c r="B2972" s="1" t="s">
        <v>1009</v>
      </c>
      <c r="C2972" s="1" t="s">
        <v>4737</v>
      </c>
      <c r="D2972" s="1" t="s">
        <v>4741</v>
      </c>
      <c r="E2972" s="1" t="s">
        <v>906</v>
      </c>
    </row>
    <row r="2973" customFormat="false" ht="16" hidden="false" customHeight="false" outlineLevel="0" collapsed="false">
      <c r="A2973" s="1" t="s">
        <v>4949</v>
      </c>
      <c r="B2973" s="1" t="s">
        <v>1009</v>
      </c>
      <c r="C2973" s="1" t="s">
        <v>4737</v>
      </c>
      <c r="D2973" s="1" t="s">
        <v>4743</v>
      </c>
      <c r="E2973" s="1" t="s">
        <v>906</v>
      </c>
    </row>
    <row r="2974" customFormat="false" ht="16" hidden="false" customHeight="false" outlineLevel="0" collapsed="false">
      <c r="A2974" s="1" t="s">
        <v>4950</v>
      </c>
      <c r="B2974" s="1" t="s">
        <v>1009</v>
      </c>
      <c r="C2974" s="1" t="s">
        <v>4737</v>
      </c>
      <c r="D2974" s="1" t="s">
        <v>4745</v>
      </c>
      <c r="E2974" s="1" t="s">
        <v>906</v>
      </c>
    </row>
    <row r="2975" customFormat="false" ht="16" hidden="false" customHeight="false" outlineLevel="0" collapsed="false">
      <c r="A2975" s="1" t="s">
        <v>4951</v>
      </c>
      <c r="B2975" s="1" t="s">
        <v>1009</v>
      </c>
      <c r="C2975" s="1" t="s">
        <v>4737</v>
      </c>
      <c r="D2975" s="1" t="s">
        <v>770</v>
      </c>
      <c r="E2975" s="1" t="s">
        <v>906</v>
      </c>
    </row>
    <row r="2976" customFormat="false" ht="16" hidden="false" customHeight="false" outlineLevel="0" collapsed="false">
      <c r="A2976" s="1" t="s">
        <v>4952</v>
      </c>
      <c r="B2976" s="1" t="s">
        <v>1015</v>
      </c>
      <c r="C2976" s="1" t="s">
        <v>4737</v>
      </c>
      <c r="D2976" s="1" t="s">
        <v>4739</v>
      </c>
      <c r="E2976" s="1" t="s">
        <v>7</v>
      </c>
    </row>
    <row r="2977" customFormat="false" ht="16" hidden="false" customHeight="false" outlineLevel="0" collapsed="false">
      <c r="A2977" s="1" t="s">
        <v>4953</v>
      </c>
      <c r="B2977" s="1" t="s">
        <v>1015</v>
      </c>
      <c r="C2977" s="1" t="s">
        <v>4737</v>
      </c>
      <c r="D2977" s="1" t="s">
        <v>4745</v>
      </c>
      <c r="E2977" s="1" t="s">
        <v>7</v>
      </c>
    </row>
    <row r="2978" customFormat="false" ht="16" hidden="false" customHeight="false" outlineLevel="0" collapsed="false">
      <c r="A2978" s="1" t="s">
        <v>4954</v>
      </c>
      <c r="B2978" s="1" t="s">
        <v>1017</v>
      </c>
      <c r="C2978" s="1" t="s">
        <v>4737</v>
      </c>
      <c r="D2978" s="1" t="s">
        <v>4745</v>
      </c>
      <c r="E2978" s="1" t="s">
        <v>7</v>
      </c>
    </row>
    <row r="2979" customFormat="false" ht="16" hidden="false" customHeight="false" outlineLevel="0" collapsed="false">
      <c r="A2979" s="1" t="s">
        <v>4955</v>
      </c>
      <c r="B2979" s="1" t="s">
        <v>1019</v>
      </c>
      <c r="C2979" s="1" t="s">
        <v>4737</v>
      </c>
      <c r="D2979" s="1" t="s">
        <v>4739</v>
      </c>
      <c r="E2979" s="1" t="s">
        <v>7</v>
      </c>
    </row>
    <row r="2980" customFormat="false" ht="16" hidden="false" customHeight="false" outlineLevel="0" collapsed="false">
      <c r="A2980" s="1" t="s">
        <v>4956</v>
      </c>
      <c r="B2980" s="1" t="s">
        <v>1019</v>
      </c>
      <c r="C2980" s="1" t="s">
        <v>4737</v>
      </c>
      <c r="D2980" s="1" t="s">
        <v>4741</v>
      </c>
      <c r="E2980" s="1" t="s">
        <v>7</v>
      </c>
    </row>
    <row r="2981" customFormat="false" ht="16" hidden="false" customHeight="false" outlineLevel="0" collapsed="false">
      <c r="A2981" s="1" t="s">
        <v>4957</v>
      </c>
      <c r="B2981" s="1" t="s">
        <v>1019</v>
      </c>
      <c r="C2981" s="1" t="s">
        <v>4737</v>
      </c>
      <c r="D2981" s="1" t="s">
        <v>4743</v>
      </c>
      <c r="E2981" s="1" t="s">
        <v>7</v>
      </c>
    </row>
    <row r="2982" customFormat="false" ht="16" hidden="false" customHeight="false" outlineLevel="0" collapsed="false">
      <c r="A2982" s="1" t="s">
        <v>4958</v>
      </c>
      <c r="B2982" s="1" t="s">
        <v>1019</v>
      </c>
      <c r="C2982" s="1" t="s">
        <v>4737</v>
      </c>
      <c r="D2982" s="1" t="s">
        <v>4745</v>
      </c>
      <c r="E2982" s="1" t="s">
        <v>7</v>
      </c>
    </row>
    <row r="2983" customFormat="false" ht="16" hidden="false" customHeight="false" outlineLevel="0" collapsed="false">
      <c r="A2983" s="1" t="s">
        <v>4959</v>
      </c>
      <c r="B2983" s="1" t="s">
        <v>1019</v>
      </c>
      <c r="C2983" s="1" t="s">
        <v>4737</v>
      </c>
      <c r="D2983" s="1" t="s">
        <v>770</v>
      </c>
      <c r="E2983" s="1" t="s">
        <v>7</v>
      </c>
    </row>
    <row r="2984" customFormat="false" ht="16" hidden="false" customHeight="false" outlineLevel="0" collapsed="false">
      <c r="A2984" s="1" t="s">
        <v>4960</v>
      </c>
      <c r="B2984" s="1" t="s">
        <v>1025</v>
      </c>
      <c r="C2984" s="1" t="s">
        <v>4737</v>
      </c>
      <c r="D2984" s="1" t="s">
        <v>770</v>
      </c>
      <c r="E2984" s="1" t="s">
        <v>7</v>
      </c>
    </row>
    <row r="2985" customFormat="false" ht="16" hidden="false" customHeight="false" outlineLevel="0" collapsed="false">
      <c r="A2985" s="1" t="s">
        <v>4961</v>
      </c>
      <c r="B2985" s="1" t="s">
        <v>1031</v>
      </c>
      <c r="C2985" s="1" t="s">
        <v>4737</v>
      </c>
      <c r="D2985" s="1" t="s">
        <v>4739</v>
      </c>
      <c r="E2985" s="1" t="s">
        <v>7</v>
      </c>
    </row>
    <row r="2986" customFormat="false" ht="16" hidden="false" customHeight="false" outlineLevel="0" collapsed="false">
      <c r="A2986" s="1" t="s">
        <v>4962</v>
      </c>
      <c r="B2986" s="1" t="s">
        <v>1031</v>
      </c>
      <c r="C2986" s="1" t="s">
        <v>4737</v>
      </c>
      <c r="D2986" s="1" t="s">
        <v>4741</v>
      </c>
      <c r="E2986" s="1" t="s">
        <v>7</v>
      </c>
    </row>
    <row r="2987" customFormat="false" ht="16" hidden="false" customHeight="false" outlineLevel="0" collapsed="false">
      <c r="A2987" s="1" t="s">
        <v>4963</v>
      </c>
      <c r="B2987" s="1" t="s">
        <v>1031</v>
      </c>
      <c r="C2987" s="1" t="s">
        <v>4737</v>
      </c>
      <c r="D2987" s="1" t="s">
        <v>4743</v>
      </c>
      <c r="E2987" s="1" t="s">
        <v>7</v>
      </c>
    </row>
    <row r="2988" customFormat="false" ht="16" hidden="false" customHeight="false" outlineLevel="0" collapsed="false">
      <c r="A2988" s="1" t="s">
        <v>4964</v>
      </c>
      <c r="B2988" s="1" t="s">
        <v>1031</v>
      </c>
      <c r="C2988" s="1" t="s">
        <v>4737</v>
      </c>
      <c r="D2988" s="1" t="s">
        <v>4745</v>
      </c>
      <c r="E2988" s="1" t="s">
        <v>7</v>
      </c>
    </row>
    <row r="2989" customFormat="false" ht="16" hidden="false" customHeight="false" outlineLevel="0" collapsed="false">
      <c r="A2989" s="1" t="s">
        <v>4965</v>
      </c>
      <c r="B2989" s="1" t="s">
        <v>1031</v>
      </c>
      <c r="C2989" s="1" t="s">
        <v>4737</v>
      </c>
      <c r="D2989" s="1" t="s">
        <v>770</v>
      </c>
      <c r="E2989" s="1" t="s">
        <v>7</v>
      </c>
    </row>
    <row r="2990" customFormat="false" ht="16" hidden="false" customHeight="false" outlineLevel="0" collapsed="false">
      <c r="A2990" s="1" t="s">
        <v>4966</v>
      </c>
      <c r="B2990" s="1" t="s">
        <v>4967</v>
      </c>
      <c r="C2990" s="1" t="s">
        <v>4737</v>
      </c>
      <c r="D2990" s="1" t="s">
        <v>4739</v>
      </c>
      <c r="E2990" s="1" t="s">
        <v>7</v>
      </c>
    </row>
    <row r="2991" customFormat="false" ht="16" hidden="false" customHeight="false" outlineLevel="0" collapsed="false">
      <c r="A2991" s="1" t="s">
        <v>4968</v>
      </c>
      <c r="B2991" s="1" t="s">
        <v>4967</v>
      </c>
      <c r="C2991" s="1" t="s">
        <v>4737</v>
      </c>
      <c r="D2991" s="1" t="s">
        <v>4741</v>
      </c>
      <c r="E2991" s="1" t="s">
        <v>7</v>
      </c>
    </row>
    <row r="2992" customFormat="false" ht="16" hidden="false" customHeight="false" outlineLevel="0" collapsed="false">
      <c r="A2992" s="1" t="s">
        <v>4969</v>
      </c>
      <c r="B2992" s="1" t="s">
        <v>4967</v>
      </c>
      <c r="C2992" s="1" t="s">
        <v>4737</v>
      </c>
      <c r="D2992" s="1" t="s">
        <v>4743</v>
      </c>
      <c r="E2992" s="1" t="s">
        <v>7</v>
      </c>
    </row>
    <row r="2993" customFormat="false" ht="16" hidden="false" customHeight="false" outlineLevel="0" collapsed="false">
      <c r="A2993" s="1" t="s">
        <v>4970</v>
      </c>
      <c r="B2993" s="1" t="s">
        <v>4967</v>
      </c>
      <c r="C2993" s="1" t="s">
        <v>4737</v>
      </c>
      <c r="D2993" s="1" t="s">
        <v>4745</v>
      </c>
      <c r="E2993" s="1" t="s">
        <v>7</v>
      </c>
    </row>
    <row r="2994" customFormat="false" ht="16" hidden="false" customHeight="false" outlineLevel="0" collapsed="false">
      <c r="A2994" s="1" t="s">
        <v>4971</v>
      </c>
      <c r="B2994" s="1" t="s">
        <v>4967</v>
      </c>
      <c r="C2994" s="1" t="s">
        <v>4737</v>
      </c>
      <c r="D2994" s="1" t="s">
        <v>770</v>
      </c>
      <c r="E2994" s="1" t="s">
        <v>7</v>
      </c>
    </row>
    <row r="2995" customFormat="false" ht="16" hidden="false" customHeight="false" outlineLevel="0" collapsed="false">
      <c r="A2995" s="1" t="s">
        <v>4972</v>
      </c>
      <c r="B2995" s="1" t="s">
        <v>1043</v>
      </c>
      <c r="C2995" s="1" t="s">
        <v>4737</v>
      </c>
      <c r="D2995" s="1" t="s">
        <v>4739</v>
      </c>
      <c r="E2995" s="1" t="s">
        <v>7</v>
      </c>
    </row>
    <row r="2996" customFormat="false" ht="16" hidden="false" customHeight="false" outlineLevel="0" collapsed="false">
      <c r="A2996" s="1" t="s">
        <v>4973</v>
      </c>
      <c r="B2996" s="1" t="s">
        <v>1043</v>
      </c>
      <c r="C2996" s="1" t="s">
        <v>4737</v>
      </c>
      <c r="D2996" s="1" t="s">
        <v>4741</v>
      </c>
      <c r="E2996" s="1" t="s">
        <v>7</v>
      </c>
    </row>
    <row r="2997" customFormat="false" ht="16" hidden="false" customHeight="false" outlineLevel="0" collapsed="false">
      <c r="A2997" s="1" t="s">
        <v>4974</v>
      </c>
      <c r="B2997" s="1" t="s">
        <v>1043</v>
      </c>
      <c r="C2997" s="1" t="s">
        <v>4737</v>
      </c>
      <c r="D2997" s="1" t="s">
        <v>4743</v>
      </c>
      <c r="E2997" s="1" t="s">
        <v>7</v>
      </c>
    </row>
    <row r="2998" customFormat="false" ht="16" hidden="false" customHeight="false" outlineLevel="0" collapsed="false">
      <c r="A2998" s="1" t="s">
        <v>4975</v>
      </c>
      <c r="B2998" s="1" t="s">
        <v>1043</v>
      </c>
      <c r="C2998" s="1" t="s">
        <v>4737</v>
      </c>
      <c r="D2998" s="1" t="s">
        <v>4745</v>
      </c>
      <c r="E2998" s="1" t="s">
        <v>7</v>
      </c>
    </row>
    <row r="2999" customFormat="false" ht="16" hidden="false" customHeight="false" outlineLevel="0" collapsed="false">
      <c r="A2999" s="1" t="s">
        <v>4976</v>
      </c>
      <c r="B2999" s="1" t="s">
        <v>1043</v>
      </c>
      <c r="C2999" s="1" t="s">
        <v>4737</v>
      </c>
      <c r="D2999" s="1" t="s">
        <v>770</v>
      </c>
      <c r="E2999" s="1" t="s">
        <v>7</v>
      </c>
    </row>
    <row r="3000" customFormat="false" ht="16" hidden="false" customHeight="false" outlineLevel="0" collapsed="false">
      <c r="A3000" s="1" t="s">
        <v>4977</v>
      </c>
      <c r="B3000" s="1" t="s">
        <v>1061</v>
      </c>
      <c r="C3000" s="1" t="s">
        <v>4737</v>
      </c>
      <c r="D3000" s="1" t="s">
        <v>4745</v>
      </c>
      <c r="E3000" s="1" t="s">
        <v>7</v>
      </c>
    </row>
    <row r="3001" customFormat="false" ht="16" hidden="false" customHeight="false" outlineLevel="0" collapsed="false">
      <c r="A3001" s="1" t="s">
        <v>4978</v>
      </c>
      <c r="B3001" s="1" t="s">
        <v>1061</v>
      </c>
      <c r="C3001" s="1" t="s">
        <v>4737</v>
      </c>
      <c r="D3001" s="1" t="s">
        <v>770</v>
      </c>
      <c r="E3001" s="1" t="s">
        <v>7</v>
      </c>
    </row>
    <row r="3002" customFormat="false" ht="16" hidden="false" customHeight="false" outlineLevel="0" collapsed="false">
      <c r="A3002" s="1" t="s">
        <v>4979</v>
      </c>
      <c r="B3002" s="1" t="s">
        <v>1067</v>
      </c>
      <c r="C3002" s="1" t="s">
        <v>4737</v>
      </c>
      <c r="D3002" s="1" t="s">
        <v>4745</v>
      </c>
      <c r="E3002" s="1" t="s">
        <v>7</v>
      </c>
    </row>
    <row r="3003" customFormat="false" ht="16" hidden="false" customHeight="false" outlineLevel="0" collapsed="false">
      <c r="A3003" s="1" t="s">
        <v>4980</v>
      </c>
      <c r="B3003" s="1" t="s">
        <v>1067</v>
      </c>
      <c r="C3003" s="1" t="s">
        <v>4737</v>
      </c>
      <c r="D3003" s="1" t="s">
        <v>770</v>
      </c>
      <c r="E3003" s="1" t="s">
        <v>7</v>
      </c>
    </row>
    <row r="3004" customFormat="false" ht="16" hidden="false" customHeight="false" outlineLevel="0" collapsed="false">
      <c r="A3004" s="1" t="s">
        <v>4981</v>
      </c>
      <c r="B3004" s="1" t="s">
        <v>1069</v>
      </c>
      <c r="C3004" s="1" t="s">
        <v>4737</v>
      </c>
      <c r="D3004" s="1" t="s">
        <v>4745</v>
      </c>
      <c r="E3004" s="1" t="s">
        <v>7</v>
      </c>
    </row>
    <row r="3005" customFormat="false" ht="16" hidden="false" customHeight="false" outlineLevel="0" collapsed="false">
      <c r="A3005" s="1" t="s">
        <v>4982</v>
      </c>
      <c r="B3005" s="1" t="s">
        <v>1071</v>
      </c>
      <c r="C3005" s="1" t="s">
        <v>4737</v>
      </c>
      <c r="D3005" s="1" t="s">
        <v>4739</v>
      </c>
      <c r="E3005" s="1" t="s">
        <v>7</v>
      </c>
    </row>
    <row r="3006" customFormat="false" ht="16" hidden="false" customHeight="false" outlineLevel="0" collapsed="false">
      <c r="A3006" s="1" t="s">
        <v>4983</v>
      </c>
      <c r="B3006" s="1" t="s">
        <v>1071</v>
      </c>
      <c r="C3006" s="1" t="s">
        <v>4737</v>
      </c>
      <c r="D3006" s="1" t="s">
        <v>4741</v>
      </c>
      <c r="E3006" s="1" t="s">
        <v>7</v>
      </c>
    </row>
    <row r="3007" customFormat="false" ht="16" hidden="false" customHeight="false" outlineLevel="0" collapsed="false">
      <c r="A3007" s="1" t="s">
        <v>4984</v>
      </c>
      <c r="B3007" s="1" t="s">
        <v>1071</v>
      </c>
      <c r="C3007" s="1" t="s">
        <v>4737</v>
      </c>
      <c r="D3007" s="1" t="s">
        <v>4743</v>
      </c>
      <c r="E3007" s="1" t="s">
        <v>7</v>
      </c>
    </row>
    <row r="3008" customFormat="false" ht="16" hidden="false" customHeight="false" outlineLevel="0" collapsed="false">
      <c r="A3008" s="1" t="s">
        <v>4985</v>
      </c>
      <c r="B3008" s="1" t="s">
        <v>1071</v>
      </c>
      <c r="C3008" s="1" t="s">
        <v>4737</v>
      </c>
      <c r="D3008" s="1" t="s">
        <v>4745</v>
      </c>
      <c r="E3008" s="1" t="s">
        <v>7</v>
      </c>
    </row>
    <row r="3009" customFormat="false" ht="16" hidden="false" customHeight="false" outlineLevel="0" collapsed="false">
      <c r="A3009" s="1" t="s">
        <v>4986</v>
      </c>
      <c r="B3009" s="1" t="s">
        <v>1071</v>
      </c>
      <c r="C3009" s="1" t="s">
        <v>4737</v>
      </c>
      <c r="D3009" s="1" t="s">
        <v>770</v>
      </c>
      <c r="E3009" s="1" t="s">
        <v>7</v>
      </c>
    </row>
    <row r="3010" customFormat="false" ht="16" hidden="false" customHeight="false" outlineLevel="0" collapsed="false">
      <c r="A3010" s="1" t="s">
        <v>4987</v>
      </c>
      <c r="B3010" s="1" t="s">
        <v>4988</v>
      </c>
      <c r="C3010" s="1" t="s">
        <v>4737</v>
      </c>
      <c r="D3010" s="1" t="s">
        <v>4739</v>
      </c>
      <c r="E3010" s="1" t="s">
        <v>7</v>
      </c>
    </row>
    <row r="3011" customFormat="false" ht="16" hidden="false" customHeight="false" outlineLevel="0" collapsed="false">
      <c r="A3011" s="1" t="s">
        <v>4989</v>
      </c>
      <c r="B3011" s="1" t="s">
        <v>4988</v>
      </c>
      <c r="C3011" s="1" t="s">
        <v>4737</v>
      </c>
      <c r="D3011" s="1" t="s">
        <v>4741</v>
      </c>
      <c r="E3011" s="1" t="s">
        <v>7</v>
      </c>
    </row>
    <row r="3012" customFormat="false" ht="16" hidden="false" customHeight="false" outlineLevel="0" collapsed="false">
      <c r="A3012" s="1" t="s">
        <v>4990</v>
      </c>
      <c r="B3012" s="1" t="s">
        <v>4988</v>
      </c>
      <c r="C3012" s="1" t="s">
        <v>4737</v>
      </c>
      <c r="D3012" s="1" t="s">
        <v>4743</v>
      </c>
      <c r="E3012" s="1" t="s">
        <v>7</v>
      </c>
    </row>
    <row r="3013" customFormat="false" ht="16" hidden="false" customHeight="false" outlineLevel="0" collapsed="false">
      <c r="A3013" s="1" t="s">
        <v>4991</v>
      </c>
      <c r="B3013" s="1" t="s">
        <v>4988</v>
      </c>
      <c r="C3013" s="1" t="s">
        <v>4737</v>
      </c>
      <c r="D3013" s="1" t="s">
        <v>4745</v>
      </c>
      <c r="E3013" s="1" t="s">
        <v>7</v>
      </c>
    </row>
    <row r="3014" customFormat="false" ht="16" hidden="false" customHeight="false" outlineLevel="0" collapsed="false">
      <c r="A3014" s="1" t="s">
        <v>4992</v>
      </c>
      <c r="B3014" s="1" t="s">
        <v>4988</v>
      </c>
      <c r="C3014" s="1" t="s">
        <v>4737</v>
      </c>
      <c r="D3014" s="1" t="s">
        <v>770</v>
      </c>
      <c r="E3014" s="1" t="s">
        <v>7</v>
      </c>
    </row>
    <row r="3015" customFormat="false" ht="16" hidden="false" customHeight="false" outlineLevel="0" collapsed="false">
      <c r="A3015" s="1" t="s">
        <v>4993</v>
      </c>
      <c r="B3015" s="1" t="s">
        <v>67</v>
      </c>
      <c r="C3015" s="1" t="s">
        <v>4737</v>
      </c>
      <c r="D3015" s="1" t="s">
        <v>4739</v>
      </c>
      <c r="E3015" s="1" t="s">
        <v>7</v>
      </c>
    </row>
    <row r="3016" customFormat="false" ht="16" hidden="false" customHeight="false" outlineLevel="0" collapsed="false">
      <c r="A3016" s="1" t="s">
        <v>4994</v>
      </c>
      <c r="B3016" s="1" t="s">
        <v>67</v>
      </c>
      <c r="C3016" s="1" t="s">
        <v>4737</v>
      </c>
      <c r="D3016" s="1" t="s">
        <v>4741</v>
      </c>
      <c r="E3016" s="1" t="s">
        <v>7</v>
      </c>
    </row>
    <row r="3017" customFormat="false" ht="16" hidden="false" customHeight="false" outlineLevel="0" collapsed="false">
      <c r="A3017" s="1" t="s">
        <v>4995</v>
      </c>
      <c r="B3017" s="1" t="s">
        <v>67</v>
      </c>
      <c r="C3017" s="1" t="s">
        <v>4737</v>
      </c>
      <c r="D3017" s="1" t="s">
        <v>4743</v>
      </c>
      <c r="E3017" s="1" t="s">
        <v>7</v>
      </c>
    </row>
    <row r="3018" customFormat="false" ht="16" hidden="false" customHeight="false" outlineLevel="0" collapsed="false">
      <c r="A3018" s="1" t="s">
        <v>4996</v>
      </c>
      <c r="B3018" s="1" t="s">
        <v>67</v>
      </c>
      <c r="C3018" s="1" t="s">
        <v>4737</v>
      </c>
      <c r="D3018" s="1" t="s">
        <v>4745</v>
      </c>
      <c r="E3018" s="1" t="s">
        <v>7</v>
      </c>
    </row>
    <row r="3019" customFormat="false" ht="16" hidden="false" customHeight="false" outlineLevel="0" collapsed="false">
      <c r="A3019" s="1" t="s">
        <v>4997</v>
      </c>
      <c r="B3019" s="1" t="s">
        <v>67</v>
      </c>
      <c r="C3019" s="1" t="s">
        <v>4737</v>
      </c>
      <c r="D3019" s="1" t="s">
        <v>770</v>
      </c>
      <c r="E3019" s="1" t="s">
        <v>7</v>
      </c>
    </row>
    <row r="3020" customFormat="false" ht="16" hidden="false" customHeight="false" outlineLevel="0" collapsed="false">
      <c r="A3020" s="1" t="s">
        <v>4998</v>
      </c>
      <c r="B3020" s="1" t="s">
        <v>4999</v>
      </c>
      <c r="C3020" s="1" t="s">
        <v>4737</v>
      </c>
      <c r="D3020" s="1" t="s">
        <v>770</v>
      </c>
      <c r="E3020" s="1" t="s">
        <v>7</v>
      </c>
    </row>
    <row r="3021" customFormat="false" ht="16" hidden="false" customHeight="false" outlineLevel="0" collapsed="false">
      <c r="A3021" s="1" t="s">
        <v>5000</v>
      </c>
      <c r="B3021" s="1" t="s">
        <v>5001</v>
      </c>
      <c r="C3021" s="1" t="s">
        <v>4737</v>
      </c>
      <c r="D3021" s="1" t="s">
        <v>770</v>
      </c>
      <c r="E3021" s="1" t="s">
        <v>7</v>
      </c>
    </row>
    <row r="3022" customFormat="false" ht="16" hidden="false" customHeight="false" outlineLevel="0" collapsed="false">
      <c r="A3022" s="1" t="s">
        <v>5002</v>
      </c>
      <c r="B3022" s="1" t="s">
        <v>5003</v>
      </c>
      <c r="C3022" s="1" t="s">
        <v>4737</v>
      </c>
      <c r="D3022" s="1" t="s">
        <v>4739</v>
      </c>
      <c r="E3022" s="1" t="s">
        <v>7</v>
      </c>
    </row>
    <row r="3023" customFormat="false" ht="16" hidden="false" customHeight="false" outlineLevel="0" collapsed="false">
      <c r="A3023" s="1" t="s">
        <v>5004</v>
      </c>
      <c r="B3023" s="1" t="s">
        <v>5003</v>
      </c>
      <c r="C3023" s="1" t="s">
        <v>4737</v>
      </c>
      <c r="D3023" s="1" t="s">
        <v>4741</v>
      </c>
      <c r="E3023" s="1" t="s">
        <v>7</v>
      </c>
    </row>
    <row r="3024" customFormat="false" ht="16" hidden="false" customHeight="false" outlineLevel="0" collapsed="false">
      <c r="A3024" s="1" t="s">
        <v>5005</v>
      </c>
      <c r="B3024" s="1" t="s">
        <v>5003</v>
      </c>
      <c r="C3024" s="1" t="s">
        <v>4737</v>
      </c>
      <c r="D3024" s="1" t="s">
        <v>4743</v>
      </c>
      <c r="E3024" s="1" t="s">
        <v>7</v>
      </c>
    </row>
    <row r="3025" customFormat="false" ht="16" hidden="false" customHeight="false" outlineLevel="0" collapsed="false">
      <c r="A3025" s="1" t="s">
        <v>5006</v>
      </c>
      <c r="B3025" s="1" t="s">
        <v>5003</v>
      </c>
      <c r="C3025" s="1" t="s">
        <v>4737</v>
      </c>
      <c r="D3025" s="1" t="s">
        <v>4745</v>
      </c>
      <c r="E3025" s="1" t="s">
        <v>7</v>
      </c>
    </row>
    <row r="3026" customFormat="false" ht="16" hidden="false" customHeight="false" outlineLevel="0" collapsed="false">
      <c r="A3026" s="1" t="s">
        <v>5007</v>
      </c>
      <c r="B3026" s="1" t="s">
        <v>5003</v>
      </c>
      <c r="C3026" s="1" t="s">
        <v>4737</v>
      </c>
      <c r="D3026" s="1" t="s">
        <v>770</v>
      </c>
      <c r="E3026" s="1" t="s">
        <v>7</v>
      </c>
    </row>
    <row r="3027" customFormat="false" ht="16" hidden="false" customHeight="false" outlineLevel="0" collapsed="false">
      <c r="A3027" s="1" t="s">
        <v>5008</v>
      </c>
      <c r="B3027" s="1" t="s">
        <v>69</v>
      </c>
      <c r="C3027" s="1" t="s">
        <v>4737</v>
      </c>
      <c r="D3027" s="1" t="s">
        <v>4739</v>
      </c>
      <c r="E3027" s="1" t="s">
        <v>7</v>
      </c>
    </row>
    <row r="3028" customFormat="false" ht="16" hidden="false" customHeight="false" outlineLevel="0" collapsed="false">
      <c r="A3028" s="1" t="s">
        <v>5009</v>
      </c>
      <c r="B3028" s="1" t="s">
        <v>69</v>
      </c>
      <c r="C3028" s="1" t="s">
        <v>4737</v>
      </c>
      <c r="D3028" s="1" t="s">
        <v>4741</v>
      </c>
      <c r="E3028" s="1" t="s">
        <v>7</v>
      </c>
    </row>
    <row r="3029" customFormat="false" ht="16" hidden="false" customHeight="false" outlineLevel="0" collapsed="false">
      <c r="A3029" s="1" t="s">
        <v>5010</v>
      </c>
      <c r="B3029" s="1" t="s">
        <v>69</v>
      </c>
      <c r="C3029" s="1" t="s">
        <v>4737</v>
      </c>
      <c r="D3029" s="1" t="s">
        <v>4743</v>
      </c>
      <c r="E3029" s="1" t="s">
        <v>7</v>
      </c>
    </row>
    <row r="3030" customFormat="false" ht="16" hidden="false" customHeight="false" outlineLevel="0" collapsed="false">
      <c r="A3030" s="1" t="s">
        <v>5011</v>
      </c>
      <c r="B3030" s="1" t="s">
        <v>69</v>
      </c>
      <c r="C3030" s="1" t="s">
        <v>4737</v>
      </c>
      <c r="D3030" s="1" t="s">
        <v>4745</v>
      </c>
      <c r="E3030" s="1" t="s">
        <v>7</v>
      </c>
    </row>
    <row r="3031" customFormat="false" ht="16" hidden="false" customHeight="false" outlineLevel="0" collapsed="false">
      <c r="A3031" s="1" t="s">
        <v>5012</v>
      </c>
      <c r="B3031" s="1" t="s">
        <v>69</v>
      </c>
      <c r="C3031" s="1" t="s">
        <v>4737</v>
      </c>
      <c r="D3031" s="1" t="s">
        <v>770</v>
      </c>
      <c r="E3031" s="1" t="s">
        <v>7</v>
      </c>
    </row>
    <row r="3032" customFormat="false" ht="16" hidden="false" customHeight="false" outlineLevel="0" collapsed="false">
      <c r="A3032" s="1" t="s">
        <v>5013</v>
      </c>
      <c r="B3032" s="1" t="s">
        <v>1089</v>
      </c>
      <c r="C3032" s="1" t="s">
        <v>4737</v>
      </c>
      <c r="D3032" s="1" t="s">
        <v>4739</v>
      </c>
      <c r="E3032" s="1" t="s">
        <v>7</v>
      </c>
    </row>
    <row r="3033" customFormat="false" ht="16" hidden="false" customHeight="false" outlineLevel="0" collapsed="false">
      <c r="A3033" s="1" t="s">
        <v>5014</v>
      </c>
      <c r="B3033" s="1" t="s">
        <v>1089</v>
      </c>
      <c r="C3033" s="1" t="s">
        <v>4737</v>
      </c>
      <c r="D3033" s="1" t="s">
        <v>4741</v>
      </c>
      <c r="E3033" s="1" t="s">
        <v>7</v>
      </c>
    </row>
    <row r="3034" customFormat="false" ht="16" hidden="false" customHeight="false" outlineLevel="0" collapsed="false">
      <c r="A3034" s="1" t="s">
        <v>5015</v>
      </c>
      <c r="B3034" s="1" t="s">
        <v>1089</v>
      </c>
      <c r="C3034" s="1" t="s">
        <v>4737</v>
      </c>
      <c r="D3034" s="1" t="s">
        <v>4743</v>
      </c>
      <c r="E3034" s="1" t="s">
        <v>7</v>
      </c>
    </row>
    <row r="3035" customFormat="false" ht="16" hidden="false" customHeight="false" outlineLevel="0" collapsed="false">
      <c r="A3035" s="1" t="s">
        <v>5016</v>
      </c>
      <c r="B3035" s="1" t="s">
        <v>1089</v>
      </c>
      <c r="C3035" s="1" t="s">
        <v>4737</v>
      </c>
      <c r="D3035" s="1" t="s">
        <v>4745</v>
      </c>
      <c r="E3035" s="1" t="s">
        <v>7</v>
      </c>
    </row>
    <row r="3036" customFormat="false" ht="16" hidden="false" customHeight="false" outlineLevel="0" collapsed="false">
      <c r="A3036" s="1" t="s">
        <v>5017</v>
      </c>
      <c r="B3036" s="1" t="s">
        <v>1089</v>
      </c>
      <c r="C3036" s="1" t="s">
        <v>4737</v>
      </c>
      <c r="D3036" s="1" t="s">
        <v>770</v>
      </c>
      <c r="E3036" s="1" t="s">
        <v>7</v>
      </c>
    </row>
    <row r="3037" customFormat="false" ht="16" hidden="false" customHeight="false" outlineLevel="0" collapsed="false">
      <c r="A3037" s="1" t="s">
        <v>5018</v>
      </c>
      <c r="B3037" s="1" t="s">
        <v>5019</v>
      </c>
      <c r="C3037" s="1" t="s">
        <v>4737</v>
      </c>
      <c r="D3037" s="1" t="s">
        <v>4739</v>
      </c>
      <c r="E3037" s="1" t="s">
        <v>7</v>
      </c>
    </row>
    <row r="3038" customFormat="false" ht="16" hidden="false" customHeight="false" outlineLevel="0" collapsed="false">
      <c r="A3038" s="1" t="s">
        <v>5020</v>
      </c>
      <c r="B3038" s="1" t="s">
        <v>5019</v>
      </c>
      <c r="C3038" s="1" t="s">
        <v>4737</v>
      </c>
      <c r="D3038" s="1" t="s">
        <v>4741</v>
      </c>
      <c r="E3038" s="1" t="s">
        <v>7</v>
      </c>
    </row>
    <row r="3039" customFormat="false" ht="16" hidden="false" customHeight="false" outlineLevel="0" collapsed="false">
      <c r="A3039" s="1" t="s">
        <v>5021</v>
      </c>
      <c r="B3039" s="1" t="s">
        <v>5019</v>
      </c>
      <c r="C3039" s="1" t="s">
        <v>4737</v>
      </c>
      <c r="D3039" s="1" t="s">
        <v>4743</v>
      </c>
      <c r="E3039" s="1" t="s">
        <v>7</v>
      </c>
    </row>
    <row r="3040" customFormat="false" ht="16" hidden="false" customHeight="false" outlineLevel="0" collapsed="false">
      <c r="A3040" s="1" t="s">
        <v>5022</v>
      </c>
      <c r="B3040" s="1" t="s">
        <v>5019</v>
      </c>
      <c r="C3040" s="1" t="s">
        <v>4737</v>
      </c>
      <c r="D3040" s="1" t="s">
        <v>4745</v>
      </c>
      <c r="E3040" s="1" t="s">
        <v>7</v>
      </c>
    </row>
    <row r="3041" customFormat="false" ht="16" hidden="false" customHeight="false" outlineLevel="0" collapsed="false">
      <c r="A3041" s="1" t="s">
        <v>5023</v>
      </c>
      <c r="B3041" s="1" t="s">
        <v>5019</v>
      </c>
      <c r="C3041" s="1" t="s">
        <v>4737</v>
      </c>
      <c r="D3041" s="1" t="s">
        <v>770</v>
      </c>
      <c r="E3041" s="1" t="s">
        <v>7</v>
      </c>
    </row>
    <row r="3042" customFormat="false" ht="16" hidden="false" customHeight="false" outlineLevel="0" collapsed="false">
      <c r="A3042" s="1" t="s">
        <v>5024</v>
      </c>
      <c r="B3042" s="1" t="s">
        <v>5025</v>
      </c>
      <c r="C3042" s="1" t="s">
        <v>4737</v>
      </c>
      <c r="D3042" s="1" t="s">
        <v>4739</v>
      </c>
      <c r="E3042" s="1" t="s">
        <v>7</v>
      </c>
    </row>
    <row r="3043" customFormat="false" ht="16" hidden="false" customHeight="false" outlineLevel="0" collapsed="false">
      <c r="A3043" s="1" t="s">
        <v>5026</v>
      </c>
      <c r="B3043" s="1" t="s">
        <v>5025</v>
      </c>
      <c r="C3043" s="1" t="s">
        <v>4737</v>
      </c>
      <c r="D3043" s="1" t="s">
        <v>4741</v>
      </c>
      <c r="E3043" s="1" t="s">
        <v>7</v>
      </c>
    </row>
    <row r="3044" customFormat="false" ht="16" hidden="false" customHeight="false" outlineLevel="0" collapsed="false">
      <c r="A3044" s="1" t="s">
        <v>5027</v>
      </c>
      <c r="B3044" s="1" t="s">
        <v>5025</v>
      </c>
      <c r="C3044" s="1" t="s">
        <v>4737</v>
      </c>
      <c r="D3044" s="1" t="s">
        <v>4743</v>
      </c>
      <c r="E3044" s="1" t="s">
        <v>7</v>
      </c>
    </row>
    <row r="3045" customFormat="false" ht="16" hidden="false" customHeight="false" outlineLevel="0" collapsed="false">
      <c r="A3045" s="1" t="s">
        <v>5028</v>
      </c>
      <c r="B3045" s="1" t="s">
        <v>5025</v>
      </c>
      <c r="C3045" s="1" t="s">
        <v>4737</v>
      </c>
      <c r="D3045" s="1" t="s">
        <v>4745</v>
      </c>
      <c r="E3045" s="1" t="s">
        <v>7</v>
      </c>
    </row>
    <row r="3046" customFormat="false" ht="16" hidden="false" customHeight="false" outlineLevel="0" collapsed="false">
      <c r="A3046" s="1" t="s">
        <v>5029</v>
      </c>
      <c r="B3046" s="1" t="s">
        <v>5025</v>
      </c>
      <c r="C3046" s="1" t="s">
        <v>4737</v>
      </c>
      <c r="D3046" s="1" t="s">
        <v>770</v>
      </c>
      <c r="E3046" s="1" t="s">
        <v>7</v>
      </c>
    </row>
    <row r="3047" customFormat="false" ht="16" hidden="false" customHeight="false" outlineLevel="0" collapsed="false">
      <c r="A3047" s="1" t="s">
        <v>5030</v>
      </c>
      <c r="B3047" s="1" t="s">
        <v>87</v>
      </c>
      <c r="C3047" s="1" t="s">
        <v>4737</v>
      </c>
      <c r="D3047" s="1" t="s">
        <v>4739</v>
      </c>
      <c r="E3047" s="1" t="s">
        <v>7</v>
      </c>
    </row>
    <row r="3048" customFormat="false" ht="16" hidden="false" customHeight="false" outlineLevel="0" collapsed="false">
      <c r="A3048" s="1" t="s">
        <v>5031</v>
      </c>
      <c r="B3048" s="1" t="s">
        <v>87</v>
      </c>
      <c r="C3048" s="1" t="s">
        <v>4737</v>
      </c>
      <c r="D3048" s="1" t="s">
        <v>4741</v>
      </c>
      <c r="E3048" s="1" t="s">
        <v>7</v>
      </c>
    </row>
    <row r="3049" customFormat="false" ht="16" hidden="false" customHeight="false" outlineLevel="0" collapsed="false">
      <c r="A3049" s="1" t="s">
        <v>5032</v>
      </c>
      <c r="B3049" s="1" t="s">
        <v>87</v>
      </c>
      <c r="C3049" s="1" t="s">
        <v>4737</v>
      </c>
      <c r="D3049" s="1" t="s">
        <v>4743</v>
      </c>
      <c r="E3049" s="1" t="s">
        <v>7</v>
      </c>
    </row>
    <row r="3050" customFormat="false" ht="16" hidden="false" customHeight="false" outlineLevel="0" collapsed="false">
      <c r="A3050" s="1" t="s">
        <v>5033</v>
      </c>
      <c r="B3050" s="1" t="s">
        <v>87</v>
      </c>
      <c r="C3050" s="1" t="s">
        <v>4737</v>
      </c>
      <c r="D3050" s="1" t="s">
        <v>4745</v>
      </c>
      <c r="E3050" s="1" t="s">
        <v>7</v>
      </c>
    </row>
    <row r="3051" customFormat="false" ht="16" hidden="false" customHeight="false" outlineLevel="0" collapsed="false">
      <c r="A3051" s="1" t="s">
        <v>5034</v>
      </c>
      <c r="B3051" s="1" t="s">
        <v>87</v>
      </c>
      <c r="C3051" s="1" t="s">
        <v>4737</v>
      </c>
      <c r="D3051" s="1" t="s">
        <v>770</v>
      </c>
      <c r="E3051" s="1" t="s">
        <v>7</v>
      </c>
    </row>
    <row r="3052" customFormat="false" ht="16" hidden="false" customHeight="false" outlineLevel="0" collapsed="false">
      <c r="A3052" s="1" t="s">
        <v>5035</v>
      </c>
      <c r="B3052" s="1" t="s">
        <v>1106</v>
      </c>
      <c r="C3052" s="1" t="s">
        <v>4737</v>
      </c>
      <c r="D3052" s="1" t="s">
        <v>770</v>
      </c>
      <c r="E3052" s="1" t="s">
        <v>7</v>
      </c>
    </row>
    <row r="3053" customFormat="false" ht="16" hidden="false" customHeight="false" outlineLevel="0" collapsed="false">
      <c r="A3053" s="1" t="s">
        <v>5036</v>
      </c>
      <c r="B3053" s="1" t="s">
        <v>1108</v>
      </c>
      <c r="C3053" s="1" t="s">
        <v>4737</v>
      </c>
      <c r="D3053" s="1" t="s">
        <v>4739</v>
      </c>
      <c r="E3053" s="1" t="s">
        <v>7</v>
      </c>
    </row>
    <row r="3054" customFormat="false" ht="16" hidden="false" customHeight="false" outlineLevel="0" collapsed="false">
      <c r="A3054" s="1" t="s">
        <v>5037</v>
      </c>
      <c r="B3054" s="1" t="s">
        <v>1108</v>
      </c>
      <c r="C3054" s="1" t="s">
        <v>4737</v>
      </c>
      <c r="D3054" s="1" t="s">
        <v>4745</v>
      </c>
      <c r="E3054" s="1" t="s">
        <v>7</v>
      </c>
    </row>
    <row r="3055" customFormat="false" ht="16" hidden="false" customHeight="false" outlineLevel="0" collapsed="false">
      <c r="A3055" s="1" t="s">
        <v>5038</v>
      </c>
      <c r="B3055" s="1" t="s">
        <v>1122</v>
      </c>
      <c r="C3055" s="1" t="s">
        <v>4737</v>
      </c>
      <c r="D3055" s="1" t="s">
        <v>4739</v>
      </c>
      <c r="E3055" s="1" t="s">
        <v>7</v>
      </c>
    </row>
    <row r="3056" customFormat="false" ht="16" hidden="false" customHeight="false" outlineLevel="0" collapsed="false">
      <c r="A3056" s="1" t="s">
        <v>5039</v>
      </c>
      <c r="B3056" s="1" t="s">
        <v>1122</v>
      </c>
      <c r="C3056" s="1" t="s">
        <v>4737</v>
      </c>
      <c r="D3056" s="1" t="s">
        <v>4741</v>
      </c>
      <c r="E3056" s="1" t="s">
        <v>7</v>
      </c>
    </row>
    <row r="3057" customFormat="false" ht="16" hidden="false" customHeight="false" outlineLevel="0" collapsed="false">
      <c r="A3057" s="1" t="s">
        <v>5040</v>
      </c>
      <c r="B3057" s="1" t="s">
        <v>1122</v>
      </c>
      <c r="C3057" s="1" t="s">
        <v>4737</v>
      </c>
      <c r="D3057" s="1" t="s">
        <v>4743</v>
      </c>
      <c r="E3057" s="1" t="s">
        <v>7</v>
      </c>
    </row>
    <row r="3058" customFormat="false" ht="16" hidden="false" customHeight="false" outlineLevel="0" collapsed="false">
      <c r="A3058" s="1" t="s">
        <v>5041</v>
      </c>
      <c r="B3058" s="1" t="s">
        <v>1122</v>
      </c>
      <c r="C3058" s="1" t="s">
        <v>4737</v>
      </c>
      <c r="D3058" s="1" t="s">
        <v>4745</v>
      </c>
      <c r="E3058" s="1" t="s">
        <v>7</v>
      </c>
    </row>
    <row r="3059" customFormat="false" ht="16" hidden="false" customHeight="false" outlineLevel="0" collapsed="false">
      <c r="A3059" s="1" t="s">
        <v>5042</v>
      </c>
      <c r="B3059" s="1" t="s">
        <v>1122</v>
      </c>
      <c r="C3059" s="1" t="s">
        <v>4737</v>
      </c>
      <c r="D3059" s="1" t="s">
        <v>770</v>
      </c>
      <c r="E3059" s="1" t="s">
        <v>7</v>
      </c>
    </row>
    <row r="3060" customFormat="false" ht="16" hidden="false" customHeight="false" outlineLevel="0" collapsed="false">
      <c r="A3060" s="1" t="s">
        <v>5043</v>
      </c>
      <c r="B3060" s="1" t="s">
        <v>1128</v>
      </c>
      <c r="C3060" s="1" t="s">
        <v>4737</v>
      </c>
      <c r="D3060" s="1" t="s">
        <v>4739</v>
      </c>
      <c r="E3060" s="1" t="s">
        <v>7</v>
      </c>
    </row>
    <row r="3061" customFormat="false" ht="16" hidden="false" customHeight="false" outlineLevel="0" collapsed="false">
      <c r="A3061" s="1" t="s">
        <v>5044</v>
      </c>
      <c r="B3061" s="1" t="s">
        <v>1128</v>
      </c>
      <c r="C3061" s="1" t="s">
        <v>4737</v>
      </c>
      <c r="D3061" s="1" t="s">
        <v>4741</v>
      </c>
      <c r="E3061" s="1" t="s">
        <v>7</v>
      </c>
    </row>
    <row r="3062" customFormat="false" ht="16" hidden="false" customHeight="false" outlineLevel="0" collapsed="false">
      <c r="A3062" s="1" t="s">
        <v>5045</v>
      </c>
      <c r="B3062" s="1" t="s">
        <v>1128</v>
      </c>
      <c r="C3062" s="1" t="s">
        <v>4737</v>
      </c>
      <c r="D3062" s="1" t="s">
        <v>4743</v>
      </c>
      <c r="E3062" s="1" t="s">
        <v>7</v>
      </c>
    </row>
    <row r="3063" customFormat="false" ht="16" hidden="false" customHeight="false" outlineLevel="0" collapsed="false">
      <c r="A3063" s="1" t="s">
        <v>5046</v>
      </c>
      <c r="B3063" s="1" t="s">
        <v>1128</v>
      </c>
      <c r="C3063" s="1" t="s">
        <v>4737</v>
      </c>
      <c r="D3063" s="1" t="s">
        <v>4745</v>
      </c>
      <c r="E3063" s="1" t="s">
        <v>7</v>
      </c>
    </row>
    <row r="3064" customFormat="false" ht="16" hidden="false" customHeight="false" outlineLevel="0" collapsed="false">
      <c r="A3064" s="1" t="s">
        <v>5047</v>
      </c>
      <c r="B3064" s="1" t="s">
        <v>1128</v>
      </c>
      <c r="C3064" s="1" t="s">
        <v>4737</v>
      </c>
      <c r="D3064" s="1" t="s">
        <v>770</v>
      </c>
      <c r="E3064" s="1" t="s">
        <v>7</v>
      </c>
    </row>
    <row r="3065" customFormat="false" ht="16" hidden="false" customHeight="false" outlineLevel="0" collapsed="false">
      <c r="A3065" s="1" t="s">
        <v>5048</v>
      </c>
      <c r="B3065" s="1" t="s">
        <v>1134</v>
      </c>
      <c r="C3065" s="1" t="s">
        <v>4737</v>
      </c>
      <c r="D3065" s="1" t="s">
        <v>4739</v>
      </c>
      <c r="E3065" s="1" t="s">
        <v>7</v>
      </c>
    </row>
    <row r="3066" customFormat="false" ht="16" hidden="false" customHeight="false" outlineLevel="0" collapsed="false">
      <c r="A3066" s="1" t="s">
        <v>5049</v>
      </c>
      <c r="B3066" s="1" t="s">
        <v>1134</v>
      </c>
      <c r="C3066" s="1" t="s">
        <v>4737</v>
      </c>
      <c r="D3066" s="1" t="s">
        <v>4741</v>
      </c>
      <c r="E3066" s="1" t="s">
        <v>7</v>
      </c>
    </row>
    <row r="3067" customFormat="false" ht="16" hidden="false" customHeight="false" outlineLevel="0" collapsed="false">
      <c r="A3067" s="1" t="s">
        <v>5050</v>
      </c>
      <c r="B3067" s="1" t="s">
        <v>1134</v>
      </c>
      <c r="C3067" s="1" t="s">
        <v>4737</v>
      </c>
      <c r="D3067" s="1" t="s">
        <v>4743</v>
      </c>
      <c r="E3067" s="1" t="s">
        <v>7</v>
      </c>
    </row>
    <row r="3068" customFormat="false" ht="16" hidden="false" customHeight="false" outlineLevel="0" collapsed="false">
      <c r="A3068" s="1" t="s">
        <v>5051</v>
      </c>
      <c r="B3068" s="1" t="s">
        <v>1134</v>
      </c>
      <c r="C3068" s="1" t="s">
        <v>4737</v>
      </c>
      <c r="D3068" s="1" t="s">
        <v>4745</v>
      </c>
      <c r="E3068" s="1" t="s">
        <v>7</v>
      </c>
    </row>
    <row r="3069" customFormat="false" ht="16" hidden="false" customHeight="false" outlineLevel="0" collapsed="false">
      <c r="A3069" s="1" t="s">
        <v>5052</v>
      </c>
      <c r="B3069" s="1" t="s">
        <v>1134</v>
      </c>
      <c r="C3069" s="1" t="s">
        <v>4737</v>
      </c>
      <c r="D3069" s="1" t="s">
        <v>770</v>
      </c>
      <c r="E3069" s="1" t="s">
        <v>7</v>
      </c>
    </row>
    <row r="3070" customFormat="false" ht="16" hidden="false" customHeight="false" outlineLevel="0" collapsed="false">
      <c r="A3070" s="1" t="s">
        <v>5053</v>
      </c>
      <c r="B3070" s="1" t="s">
        <v>1140</v>
      </c>
      <c r="C3070" s="1" t="s">
        <v>4737</v>
      </c>
      <c r="D3070" s="1" t="s">
        <v>4745</v>
      </c>
      <c r="E3070" s="1" t="s">
        <v>7</v>
      </c>
    </row>
    <row r="3071" customFormat="false" ht="16" hidden="false" customHeight="false" outlineLevel="0" collapsed="false">
      <c r="A3071" s="1" t="s">
        <v>5054</v>
      </c>
      <c r="B3071" s="1" t="s">
        <v>1142</v>
      </c>
      <c r="C3071" s="1" t="s">
        <v>4737</v>
      </c>
      <c r="D3071" s="1" t="s">
        <v>4739</v>
      </c>
      <c r="E3071" s="1" t="s">
        <v>7</v>
      </c>
    </row>
    <row r="3072" customFormat="false" ht="16" hidden="false" customHeight="false" outlineLevel="0" collapsed="false">
      <c r="A3072" s="1" t="s">
        <v>5055</v>
      </c>
      <c r="B3072" s="1" t="s">
        <v>1142</v>
      </c>
      <c r="C3072" s="1" t="s">
        <v>4737</v>
      </c>
      <c r="D3072" s="1" t="s">
        <v>4741</v>
      </c>
      <c r="E3072" s="1" t="s">
        <v>7</v>
      </c>
    </row>
    <row r="3073" customFormat="false" ht="16" hidden="false" customHeight="false" outlineLevel="0" collapsed="false">
      <c r="A3073" s="1" t="s">
        <v>5056</v>
      </c>
      <c r="B3073" s="1" t="s">
        <v>1142</v>
      </c>
      <c r="C3073" s="1" t="s">
        <v>4737</v>
      </c>
      <c r="D3073" s="1" t="s">
        <v>4743</v>
      </c>
      <c r="E3073" s="1" t="s">
        <v>7</v>
      </c>
    </row>
    <row r="3074" customFormat="false" ht="16" hidden="false" customHeight="false" outlineLevel="0" collapsed="false">
      <c r="A3074" s="1" t="s">
        <v>5057</v>
      </c>
      <c r="B3074" s="1" t="s">
        <v>1142</v>
      </c>
      <c r="C3074" s="1" t="s">
        <v>4737</v>
      </c>
      <c r="D3074" s="1" t="s">
        <v>4745</v>
      </c>
      <c r="E3074" s="1" t="s">
        <v>7</v>
      </c>
    </row>
    <row r="3075" customFormat="false" ht="16" hidden="false" customHeight="false" outlineLevel="0" collapsed="false">
      <c r="A3075" s="1" t="s">
        <v>5058</v>
      </c>
      <c r="B3075" s="1" t="s">
        <v>1142</v>
      </c>
      <c r="C3075" s="1" t="s">
        <v>4737</v>
      </c>
      <c r="D3075" s="1" t="s">
        <v>770</v>
      </c>
      <c r="E3075" s="1" t="s">
        <v>7</v>
      </c>
    </row>
    <row r="3076" customFormat="false" ht="16" hidden="false" customHeight="false" outlineLevel="0" collapsed="false">
      <c r="A3076" s="1" t="s">
        <v>5059</v>
      </c>
      <c r="B3076" s="1" t="s">
        <v>5060</v>
      </c>
      <c r="C3076" s="1" t="s">
        <v>4737</v>
      </c>
      <c r="D3076" s="1" t="s">
        <v>4739</v>
      </c>
      <c r="E3076" s="1" t="s">
        <v>7</v>
      </c>
    </row>
    <row r="3077" customFormat="false" ht="16" hidden="false" customHeight="false" outlineLevel="0" collapsed="false">
      <c r="A3077" s="1" t="s">
        <v>5061</v>
      </c>
      <c r="B3077" s="1" t="s">
        <v>5060</v>
      </c>
      <c r="C3077" s="1" t="s">
        <v>4737</v>
      </c>
      <c r="D3077" s="1" t="s">
        <v>4741</v>
      </c>
      <c r="E3077" s="1" t="s">
        <v>7</v>
      </c>
    </row>
    <row r="3078" customFormat="false" ht="16" hidden="false" customHeight="false" outlineLevel="0" collapsed="false">
      <c r="A3078" s="1" t="s">
        <v>5062</v>
      </c>
      <c r="B3078" s="1" t="s">
        <v>5060</v>
      </c>
      <c r="C3078" s="1" t="s">
        <v>4737</v>
      </c>
      <c r="D3078" s="1" t="s">
        <v>4743</v>
      </c>
      <c r="E3078" s="1" t="s">
        <v>7</v>
      </c>
    </row>
    <row r="3079" customFormat="false" ht="16" hidden="false" customHeight="false" outlineLevel="0" collapsed="false">
      <c r="A3079" s="1" t="s">
        <v>5063</v>
      </c>
      <c r="B3079" s="1" t="s">
        <v>5060</v>
      </c>
      <c r="C3079" s="1" t="s">
        <v>4737</v>
      </c>
      <c r="D3079" s="1" t="s">
        <v>4745</v>
      </c>
      <c r="E3079" s="1" t="s">
        <v>7</v>
      </c>
    </row>
    <row r="3080" customFormat="false" ht="16" hidden="false" customHeight="false" outlineLevel="0" collapsed="false">
      <c r="A3080" s="1" t="s">
        <v>5064</v>
      </c>
      <c r="B3080" s="1" t="s">
        <v>5060</v>
      </c>
      <c r="C3080" s="1" t="s">
        <v>4737</v>
      </c>
      <c r="D3080" s="1" t="s">
        <v>770</v>
      </c>
      <c r="E3080" s="1" t="s">
        <v>7</v>
      </c>
    </row>
    <row r="3081" customFormat="false" ht="16" hidden="false" customHeight="false" outlineLevel="0" collapsed="false">
      <c r="A3081" s="1" t="s">
        <v>5065</v>
      </c>
      <c r="B3081" s="1" t="s">
        <v>5066</v>
      </c>
      <c r="C3081" s="1" t="s">
        <v>4737</v>
      </c>
      <c r="D3081" s="1" t="s">
        <v>4739</v>
      </c>
      <c r="E3081" s="1" t="s">
        <v>7</v>
      </c>
    </row>
    <row r="3082" customFormat="false" ht="16" hidden="false" customHeight="false" outlineLevel="0" collapsed="false">
      <c r="A3082" s="1" t="s">
        <v>5067</v>
      </c>
      <c r="B3082" s="1" t="s">
        <v>5066</v>
      </c>
      <c r="C3082" s="1" t="s">
        <v>4737</v>
      </c>
      <c r="D3082" s="1" t="s">
        <v>4741</v>
      </c>
      <c r="E3082" s="1" t="s">
        <v>7</v>
      </c>
    </row>
    <row r="3083" customFormat="false" ht="16" hidden="false" customHeight="false" outlineLevel="0" collapsed="false">
      <c r="A3083" s="1" t="s">
        <v>5068</v>
      </c>
      <c r="B3083" s="1" t="s">
        <v>5066</v>
      </c>
      <c r="C3083" s="1" t="s">
        <v>4737</v>
      </c>
      <c r="D3083" s="1" t="s">
        <v>4743</v>
      </c>
      <c r="E3083" s="1" t="s">
        <v>7</v>
      </c>
    </row>
    <row r="3084" customFormat="false" ht="16" hidden="false" customHeight="false" outlineLevel="0" collapsed="false">
      <c r="A3084" s="1" t="s">
        <v>5069</v>
      </c>
      <c r="B3084" s="1" t="s">
        <v>5066</v>
      </c>
      <c r="C3084" s="1" t="s">
        <v>4737</v>
      </c>
      <c r="D3084" s="1" t="s">
        <v>4745</v>
      </c>
      <c r="E3084" s="1" t="s">
        <v>7</v>
      </c>
    </row>
    <row r="3085" customFormat="false" ht="16" hidden="false" customHeight="false" outlineLevel="0" collapsed="false">
      <c r="A3085" s="1" t="s">
        <v>5070</v>
      </c>
      <c r="B3085" s="1" t="s">
        <v>5066</v>
      </c>
      <c r="C3085" s="1" t="s">
        <v>4737</v>
      </c>
      <c r="D3085" s="1" t="s">
        <v>770</v>
      </c>
      <c r="E3085" s="1" t="s">
        <v>7</v>
      </c>
    </row>
    <row r="3086" customFormat="false" ht="16" hidden="false" customHeight="false" outlineLevel="0" collapsed="false">
      <c r="A3086" s="1" t="s">
        <v>5071</v>
      </c>
      <c r="B3086" s="1" t="s">
        <v>5072</v>
      </c>
      <c r="C3086" s="1" t="s">
        <v>4737</v>
      </c>
      <c r="D3086" s="1" t="s">
        <v>4739</v>
      </c>
      <c r="E3086" s="1" t="s">
        <v>906</v>
      </c>
    </row>
    <row r="3087" customFormat="false" ht="16" hidden="false" customHeight="false" outlineLevel="0" collapsed="false">
      <c r="A3087" s="1" t="s">
        <v>5073</v>
      </c>
      <c r="B3087" s="1" t="s">
        <v>5072</v>
      </c>
      <c r="C3087" s="1" t="s">
        <v>4737</v>
      </c>
      <c r="D3087" s="1" t="s">
        <v>4741</v>
      </c>
      <c r="E3087" s="1" t="s">
        <v>906</v>
      </c>
    </row>
    <row r="3088" customFormat="false" ht="16" hidden="false" customHeight="false" outlineLevel="0" collapsed="false">
      <c r="A3088" s="1" t="s">
        <v>5074</v>
      </c>
      <c r="B3088" s="1" t="s">
        <v>5072</v>
      </c>
      <c r="C3088" s="1" t="s">
        <v>4737</v>
      </c>
      <c r="D3088" s="1" t="s">
        <v>4743</v>
      </c>
      <c r="E3088" s="1" t="s">
        <v>906</v>
      </c>
    </row>
    <row r="3089" customFormat="false" ht="16" hidden="false" customHeight="false" outlineLevel="0" collapsed="false">
      <c r="A3089" s="1" t="s">
        <v>5075</v>
      </c>
      <c r="B3089" s="1" t="s">
        <v>5072</v>
      </c>
      <c r="C3089" s="1" t="s">
        <v>4737</v>
      </c>
      <c r="D3089" s="1" t="s">
        <v>4745</v>
      </c>
      <c r="E3089" s="1" t="s">
        <v>906</v>
      </c>
    </row>
    <row r="3090" customFormat="false" ht="16" hidden="false" customHeight="false" outlineLevel="0" collapsed="false">
      <c r="A3090" s="1" t="s">
        <v>5076</v>
      </c>
      <c r="B3090" s="1" t="s">
        <v>5072</v>
      </c>
      <c r="C3090" s="1" t="s">
        <v>4737</v>
      </c>
      <c r="D3090" s="1" t="s">
        <v>770</v>
      </c>
      <c r="E3090" s="1" t="s">
        <v>906</v>
      </c>
    </row>
    <row r="3091" customFormat="false" ht="16" hidden="false" customHeight="false" outlineLevel="0" collapsed="false">
      <c r="A3091" s="1" t="s">
        <v>5077</v>
      </c>
      <c r="B3091" s="1" t="s">
        <v>5078</v>
      </c>
      <c r="C3091" s="1" t="s">
        <v>4737</v>
      </c>
      <c r="D3091" s="1" t="s">
        <v>4739</v>
      </c>
      <c r="E3091" s="1" t="s">
        <v>7</v>
      </c>
    </row>
    <row r="3092" customFormat="false" ht="16" hidden="false" customHeight="false" outlineLevel="0" collapsed="false">
      <c r="A3092" s="1" t="s">
        <v>5079</v>
      </c>
      <c r="B3092" s="1" t="s">
        <v>5078</v>
      </c>
      <c r="C3092" s="1" t="s">
        <v>4737</v>
      </c>
      <c r="D3092" s="1" t="s">
        <v>4741</v>
      </c>
      <c r="E3092" s="1" t="s">
        <v>7</v>
      </c>
    </row>
    <row r="3093" customFormat="false" ht="16" hidden="false" customHeight="false" outlineLevel="0" collapsed="false">
      <c r="A3093" s="1" t="s">
        <v>5080</v>
      </c>
      <c r="B3093" s="1" t="s">
        <v>5078</v>
      </c>
      <c r="C3093" s="1" t="s">
        <v>4737</v>
      </c>
      <c r="D3093" s="1" t="s">
        <v>4743</v>
      </c>
      <c r="E3093" s="1" t="s">
        <v>7</v>
      </c>
    </row>
    <row r="3094" customFormat="false" ht="16" hidden="false" customHeight="false" outlineLevel="0" collapsed="false">
      <c r="A3094" s="1" t="s">
        <v>5081</v>
      </c>
      <c r="B3094" s="1" t="s">
        <v>5078</v>
      </c>
      <c r="C3094" s="1" t="s">
        <v>4737</v>
      </c>
      <c r="D3094" s="1" t="s">
        <v>4745</v>
      </c>
      <c r="E3094" s="1" t="s">
        <v>7</v>
      </c>
    </row>
    <row r="3095" customFormat="false" ht="16" hidden="false" customHeight="false" outlineLevel="0" collapsed="false">
      <c r="A3095" s="1" t="s">
        <v>5082</v>
      </c>
      <c r="B3095" s="1" t="s">
        <v>5078</v>
      </c>
      <c r="C3095" s="1" t="s">
        <v>4737</v>
      </c>
      <c r="D3095" s="1" t="s">
        <v>770</v>
      </c>
      <c r="E3095" s="1" t="s">
        <v>7</v>
      </c>
    </row>
    <row r="3096" customFormat="false" ht="16" hidden="false" customHeight="false" outlineLevel="0" collapsed="false">
      <c r="A3096" s="1" t="s">
        <v>5083</v>
      </c>
      <c r="B3096" s="1" t="s">
        <v>1164</v>
      </c>
      <c r="C3096" s="1" t="s">
        <v>4737</v>
      </c>
      <c r="D3096" s="1" t="s">
        <v>4739</v>
      </c>
      <c r="E3096" s="1" t="s">
        <v>7</v>
      </c>
    </row>
    <row r="3097" customFormat="false" ht="16" hidden="false" customHeight="false" outlineLevel="0" collapsed="false">
      <c r="A3097" s="1" t="s">
        <v>5084</v>
      </c>
      <c r="B3097" s="1" t="s">
        <v>1164</v>
      </c>
      <c r="C3097" s="1" t="s">
        <v>4737</v>
      </c>
      <c r="D3097" s="1" t="s">
        <v>4745</v>
      </c>
      <c r="E3097" s="1" t="s">
        <v>7</v>
      </c>
    </row>
    <row r="3098" customFormat="false" ht="16" hidden="false" customHeight="false" outlineLevel="0" collapsed="false">
      <c r="A3098" s="1" t="s">
        <v>5085</v>
      </c>
      <c r="B3098" s="1" t="s">
        <v>1184</v>
      </c>
      <c r="C3098" s="1" t="s">
        <v>4737</v>
      </c>
      <c r="D3098" s="1" t="s">
        <v>4739</v>
      </c>
      <c r="E3098" s="1" t="s">
        <v>7</v>
      </c>
    </row>
    <row r="3099" customFormat="false" ht="16" hidden="false" customHeight="false" outlineLevel="0" collapsed="false">
      <c r="A3099" s="1" t="s">
        <v>5086</v>
      </c>
      <c r="B3099" s="1" t="s">
        <v>1184</v>
      </c>
      <c r="C3099" s="1" t="s">
        <v>4737</v>
      </c>
      <c r="D3099" s="1" t="s">
        <v>4741</v>
      </c>
      <c r="E3099" s="1" t="s">
        <v>7</v>
      </c>
    </row>
    <row r="3100" customFormat="false" ht="16" hidden="false" customHeight="false" outlineLevel="0" collapsed="false">
      <c r="A3100" s="1" t="s">
        <v>5087</v>
      </c>
      <c r="B3100" s="1" t="s">
        <v>1184</v>
      </c>
      <c r="C3100" s="1" t="s">
        <v>4737</v>
      </c>
      <c r="D3100" s="1" t="s">
        <v>4743</v>
      </c>
      <c r="E3100" s="1" t="s">
        <v>7</v>
      </c>
    </row>
    <row r="3101" customFormat="false" ht="16" hidden="false" customHeight="false" outlineLevel="0" collapsed="false">
      <c r="A3101" s="1" t="s">
        <v>5088</v>
      </c>
      <c r="B3101" s="1" t="s">
        <v>1184</v>
      </c>
      <c r="C3101" s="1" t="s">
        <v>4737</v>
      </c>
      <c r="D3101" s="1" t="s">
        <v>4745</v>
      </c>
      <c r="E3101" s="1" t="s">
        <v>7</v>
      </c>
    </row>
    <row r="3102" customFormat="false" ht="16" hidden="false" customHeight="false" outlineLevel="0" collapsed="false">
      <c r="A3102" s="1" t="s">
        <v>5089</v>
      </c>
      <c r="B3102" s="1" t="s">
        <v>1184</v>
      </c>
      <c r="C3102" s="1" t="s">
        <v>4737</v>
      </c>
      <c r="D3102" s="1" t="s">
        <v>770</v>
      </c>
      <c r="E3102" s="1" t="s">
        <v>7</v>
      </c>
    </row>
    <row r="3103" customFormat="false" ht="16" hidden="false" customHeight="false" outlineLevel="0" collapsed="false">
      <c r="A3103" s="1" t="s">
        <v>5090</v>
      </c>
      <c r="B3103" s="1" t="s">
        <v>1209</v>
      </c>
      <c r="C3103" s="1" t="s">
        <v>4737</v>
      </c>
      <c r="D3103" s="1" t="s">
        <v>4739</v>
      </c>
      <c r="E3103" s="1" t="s">
        <v>906</v>
      </c>
    </row>
    <row r="3104" customFormat="false" ht="16" hidden="false" customHeight="false" outlineLevel="0" collapsed="false">
      <c r="A3104" s="1" t="s">
        <v>5091</v>
      </c>
      <c r="B3104" s="1" t="s">
        <v>1209</v>
      </c>
      <c r="C3104" s="1" t="s">
        <v>4737</v>
      </c>
      <c r="D3104" s="1" t="s">
        <v>4741</v>
      </c>
      <c r="E3104" s="1" t="s">
        <v>906</v>
      </c>
    </row>
    <row r="3105" customFormat="false" ht="16" hidden="false" customHeight="false" outlineLevel="0" collapsed="false">
      <c r="A3105" s="1" t="s">
        <v>5092</v>
      </c>
      <c r="B3105" s="1" t="s">
        <v>1209</v>
      </c>
      <c r="C3105" s="1" t="s">
        <v>4737</v>
      </c>
      <c r="D3105" s="1" t="s">
        <v>4743</v>
      </c>
      <c r="E3105" s="1" t="s">
        <v>906</v>
      </c>
    </row>
    <row r="3106" customFormat="false" ht="16" hidden="false" customHeight="false" outlineLevel="0" collapsed="false">
      <c r="A3106" s="1" t="s">
        <v>5093</v>
      </c>
      <c r="B3106" s="1" t="s">
        <v>1209</v>
      </c>
      <c r="C3106" s="1" t="s">
        <v>4737</v>
      </c>
      <c r="D3106" s="1" t="s">
        <v>4745</v>
      </c>
      <c r="E3106" s="1" t="s">
        <v>906</v>
      </c>
    </row>
    <row r="3107" customFormat="false" ht="16" hidden="false" customHeight="false" outlineLevel="0" collapsed="false">
      <c r="A3107" s="1" t="s">
        <v>5094</v>
      </c>
      <c r="B3107" s="1" t="s">
        <v>1209</v>
      </c>
      <c r="C3107" s="1" t="s">
        <v>4737</v>
      </c>
      <c r="D3107" s="1" t="s">
        <v>770</v>
      </c>
      <c r="E3107" s="1" t="s">
        <v>906</v>
      </c>
    </row>
    <row r="3108" customFormat="false" ht="16" hidden="false" customHeight="false" outlineLevel="0" collapsed="false">
      <c r="A3108" s="1" t="s">
        <v>5095</v>
      </c>
      <c r="B3108" s="1" t="s">
        <v>5096</v>
      </c>
      <c r="C3108" s="1" t="s">
        <v>4737</v>
      </c>
      <c r="D3108" s="1" t="s">
        <v>4739</v>
      </c>
      <c r="E3108" s="1" t="s">
        <v>7</v>
      </c>
    </row>
    <row r="3109" customFormat="false" ht="16" hidden="false" customHeight="false" outlineLevel="0" collapsed="false">
      <c r="A3109" s="1" t="s">
        <v>5097</v>
      </c>
      <c r="B3109" s="1" t="s">
        <v>5096</v>
      </c>
      <c r="C3109" s="1" t="s">
        <v>4737</v>
      </c>
      <c r="D3109" s="1" t="s">
        <v>4741</v>
      </c>
      <c r="E3109" s="1" t="s">
        <v>7</v>
      </c>
    </row>
    <row r="3110" customFormat="false" ht="16" hidden="false" customHeight="false" outlineLevel="0" collapsed="false">
      <c r="A3110" s="1" t="s">
        <v>5098</v>
      </c>
      <c r="B3110" s="1" t="s">
        <v>5096</v>
      </c>
      <c r="C3110" s="1" t="s">
        <v>4737</v>
      </c>
      <c r="D3110" s="1" t="s">
        <v>4743</v>
      </c>
      <c r="E3110" s="1" t="s">
        <v>7</v>
      </c>
    </row>
    <row r="3111" customFormat="false" ht="16" hidden="false" customHeight="false" outlineLevel="0" collapsed="false">
      <c r="A3111" s="1" t="s">
        <v>5099</v>
      </c>
      <c r="B3111" s="1" t="s">
        <v>5096</v>
      </c>
      <c r="C3111" s="1" t="s">
        <v>4737</v>
      </c>
      <c r="D3111" s="1" t="s">
        <v>4745</v>
      </c>
      <c r="E3111" s="1" t="s">
        <v>7</v>
      </c>
    </row>
    <row r="3112" customFormat="false" ht="16" hidden="false" customHeight="false" outlineLevel="0" collapsed="false">
      <c r="A3112" s="1" t="s">
        <v>5100</v>
      </c>
      <c r="B3112" s="1" t="s">
        <v>5096</v>
      </c>
      <c r="C3112" s="1" t="s">
        <v>4737</v>
      </c>
      <c r="D3112" s="1" t="s">
        <v>770</v>
      </c>
      <c r="E3112" s="1" t="s">
        <v>7</v>
      </c>
    </row>
    <row r="3113" customFormat="false" ht="16" hidden="false" customHeight="false" outlineLevel="0" collapsed="false">
      <c r="A3113" s="1" t="s">
        <v>5101</v>
      </c>
      <c r="B3113" s="1" t="s">
        <v>5102</v>
      </c>
      <c r="C3113" s="1" t="s">
        <v>4737</v>
      </c>
      <c r="D3113" s="1" t="s">
        <v>4739</v>
      </c>
      <c r="E3113" s="1" t="s">
        <v>7</v>
      </c>
    </row>
    <row r="3114" customFormat="false" ht="16" hidden="false" customHeight="false" outlineLevel="0" collapsed="false">
      <c r="A3114" s="1" t="s">
        <v>5103</v>
      </c>
      <c r="B3114" s="1" t="s">
        <v>5102</v>
      </c>
      <c r="C3114" s="1" t="s">
        <v>4737</v>
      </c>
      <c r="D3114" s="1" t="s">
        <v>4741</v>
      </c>
      <c r="E3114" s="1" t="s">
        <v>7</v>
      </c>
    </row>
    <row r="3115" customFormat="false" ht="16" hidden="false" customHeight="false" outlineLevel="0" collapsed="false">
      <c r="A3115" s="1" t="s">
        <v>5104</v>
      </c>
      <c r="B3115" s="1" t="s">
        <v>5102</v>
      </c>
      <c r="C3115" s="1" t="s">
        <v>4737</v>
      </c>
      <c r="D3115" s="1" t="s">
        <v>4743</v>
      </c>
      <c r="E3115" s="1" t="s">
        <v>7</v>
      </c>
    </row>
    <row r="3116" customFormat="false" ht="16" hidden="false" customHeight="false" outlineLevel="0" collapsed="false">
      <c r="A3116" s="1" t="s">
        <v>5105</v>
      </c>
      <c r="B3116" s="1" t="s">
        <v>5102</v>
      </c>
      <c r="C3116" s="1" t="s">
        <v>4737</v>
      </c>
      <c r="D3116" s="1" t="s">
        <v>4745</v>
      </c>
      <c r="E3116" s="1" t="s">
        <v>7</v>
      </c>
    </row>
    <row r="3117" customFormat="false" ht="16" hidden="false" customHeight="false" outlineLevel="0" collapsed="false">
      <c r="A3117" s="1" t="s">
        <v>5106</v>
      </c>
      <c r="B3117" s="1" t="s">
        <v>5102</v>
      </c>
      <c r="C3117" s="1" t="s">
        <v>4737</v>
      </c>
      <c r="D3117" s="1" t="s">
        <v>770</v>
      </c>
      <c r="E3117" s="1" t="s">
        <v>7</v>
      </c>
    </row>
    <row r="3118" customFormat="false" ht="16" hidden="false" customHeight="false" outlineLevel="0" collapsed="false">
      <c r="A3118" s="1" t="s">
        <v>5107</v>
      </c>
      <c r="B3118" s="1" t="s">
        <v>1219</v>
      </c>
      <c r="C3118" s="1" t="s">
        <v>4737</v>
      </c>
      <c r="D3118" s="1" t="s">
        <v>4739</v>
      </c>
      <c r="E3118" s="1" t="s">
        <v>906</v>
      </c>
    </row>
    <row r="3119" customFormat="false" ht="16" hidden="false" customHeight="false" outlineLevel="0" collapsed="false">
      <c r="A3119" s="1" t="s">
        <v>5108</v>
      </c>
      <c r="B3119" s="1" t="s">
        <v>1219</v>
      </c>
      <c r="C3119" s="1" t="s">
        <v>4737</v>
      </c>
      <c r="D3119" s="1" t="s">
        <v>4741</v>
      </c>
      <c r="E3119" s="1" t="s">
        <v>906</v>
      </c>
    </row>
    <row r="3120" customFormat="false" ht="16" hidden="false" customHeight="false" outlineLevel="0" collapsed="false">
      <c r="A3120" s="1" t="s">
        <v>5109</v>
      </c>
      <c r="B3120" s="1" t="s">
        <v>1219</v>
      </c>
      <c r="C3120" s="1" t="s">
        <v>4737</v>
      </c>
      <c r="D3120" s="1" t="s">
        <v>4743</v>
      </c>
      <c r="E3120" s="1" t="s">
        <v>906</v>
      </c>
    </row>
    <row r="3121" customFormat="false" ht="16" hidden="false" customHeight="false" outlineLevel="0" collapsed="false">
      <c r="A3121" s="1" t="s">
        <v>5110</v>
      </c>
      <c r="B3121" s="1" t="s">
        <v>1219</v>
      </c>
      <c r="C3121" s="1" t="s">
        <v>4737</v>
      </c>
      <c r="D3121" s="1" t="s">
        <v>4745</v>
      </c>
      <c r="E3121" s="1" t="s">
        <v>906</v>
      </c>
    </row>
    <row r="3122" customFormat="false" ht="16" hidden="false" customHeight="false" outlineLevel="0" collapsed="false">
      <c r="A3122" s="1" t="s">
        <v>5111</v>
      </c>
      <c r="B3122" s="1" t="s">
        <v>1219</v>
      </c>
      <c r="C3122" s="1" t="s">
        <v>4737</v>
      </c>
      <c r="D3122" s="1" t="s">
        <v>770</v>
      </c>
      <c r="E3122" s="1" t="s">
        <v>906</v>
      </c>
    </row>
    <row r="3123" customFormat="false" ht="16" hidden="false" customHeight="false" outlineLevel="0" collapsed="false">
      <c r="A3123" s="1" t="s">
        <v>5112</v>
      </c>
      <c r="B3123" s="1" t="s">
        <v>1225</v>
      </c>
      <c r="C3123" s="1" t="s">
        <v>4737</v>
      </c>
      <c r="D3123" s="1" t="s">
        <v>4739</v>
      </c>
      <c r="E3123" s="1" t="s">
        <v>906</v>
      </c>
    </row>
    <row r="3124" customFormat="false" ht="16" hidden="false" customHeight="false" outlineLevel="0" collapsed="false">
      <c r="A3124" s="1" t="s">
        <v>5113</v>
      </c>
      <c r="B3124" s="1" t="s">
        <v>1225</v>
      </c>
      <c r="C3124" s="1" t="s">
        <v>4737</v>
      </c>
      <c r="D3124" s="1" t="s">
        <v>4741</v>
      </c>
      <c r="E3124" s="1" t="s">
        <v>906</v>
      </c>
    </row>
    <row r="3125" customFormat="false" ht="16" hidden="false" customHeight="false" outlineLevel="0" collapsed="false">
      <c r="A3125" s="1" t="s">
        <v>5114</v>
      </c>
      <c r="B3125" s="1" t="s">
        <v>1225</v>
      </c>
      <c r="C3125" s="1" t="s">
        <v>4737</v>
      </c>
      <c r="D3125" s="1" t="s">
        <v>4743</v>
      </c>
      <c r="E3125" s="1" t="s">
        <v>906</v>
      </c>
    </row>
    <row r="3126" customFormat="false" ht="16" hidden="false" customHeight="false" outlineLevel="0" collapsed="false">
      <c r="A3126" s="1" t="s">
        <v>5115</v>
      </c>
      <c r="B3126" s="1" t="s">
        <v>1225</v>
      </c>
      <c r="C3126" s="1" t="s">
        <v>4737</v>
      </c>
      <c r="D3126" s="1" t="s">
        <v>4745</v>
      </c>
      <c r="E3126" s="1" t="s">
        <v>906</v>
      </c>
    </row>
    <row r="3127" customFormat="false" ht="16" hidden="false" customHeight="false" outlineLevel="0" collapsed="false">
      <c r="A3127" s="1" t="s">
        <v>5116</v>
      </c>
      <c r="B3127" s="1" t="s">
        <v>1225</v>
      </c>
      <c r="C3127" s="1" t="s">
        <v>4737</v>
      </c>
      <c r="D3127" s="1" t="s">
        <v>770</v>
      </c>
      <c r="E3127" s="1" t="s">
        <v>906</v>
      </c>
    </row>
    <row r="3128" customFormat="false" ht="16" hidden="false" customHeight="false" outlineLevel="0" collapsed="false">
      <c r="A3128" s="1" t="s">
        <v>5117</v>
      </c>
      <c r="B3128" s="1" t="s">
        <v>121</v>
      </c>
      <c r="C3128" s="1" t="s">
        <v>4737</v>
      </c>
      <c r="D3128" s="1" t="s">
        <v>4739</v>
      </c>
      <c r="E3128" s="1" t="s">
        <v>7</v>
      </c>
    </row>
    <row r="3129" customFormat="false" ht="16" hidden="false" customHeight="false" outlineLevel="0" collapsed="false">
      <c r="A3129" s="1" t="s">
        <v>5118</v>
      </c>
      <c r="B3129" s="1" t="s">
        <v>121</v>
      </c>
      <c r="C3129" s="1" t="s">
        <v>4737</v>
      </c>
      <c r="D3129" s="1" t="s">
        <v>4741</v>
      </c>
      <c r="E3129" s="1" t="s">
        <v>7</v>
      </c>
    </row>
    <row r="3130" customFormat="false" ht="16" hidden="false" customHeight="false" outlineLevel="0" collapsed="false">
      <c r="A3130" s="1" t="s">
        <v>5119</v>
      </c>
      <c r="B3130" s="1" t="s">
        <v>121</v>
      </c>
      <c r="C3130" s="1" t="s">
        <v>4737</v>
      </c>
      <c r="D3130" s="1" t="s">
        <v>4743</v>
      </c>
      <c r="E3130" s="1" t="s">
        <v>7</v>
      </c>
    </row>
    <row r="3131" customFormat="false" ht="16" hidden="false" customHeight="false" outlineLevel="0" collapsed="false">
      <c r="A3131" s="1" t="s">
        <v>5120</v>
      </c>
      <c r="B3131" s="1" t="s">
        <v>121</v>
      </c>
      <c r="C3131" s="1" t="s">
        <v>4737</v>
      </c>
      <c r="D3131" s="1" t="s">
        <v>4745</v>
      </c>
      <c r="E3131" s="1" t="s">
        <v>7</v>
      </c>
    </row>
    <row r="3132" customFormat="false" ht="16" hidden="false" customHeight="false" outlineLevel="0" collapsed="false">
      <c r="A3132" s="1" t="s">
        <v>5121</v>
      </c>
      <c r="B3132" s="1" t="s">
        <v>121</v>
      </c>
      <c r="C3132" s="1" t="s">
        <v>4737</v>
      </c>
      <c r="D3132" s="1" t="s">
        <v>770</v>
      </c>
      <c r="E3132" s="1" t="s">
        <v>7</v>
      </c>
    </row>
    <row r="3133" customFormat="false" ht="16" hidden="false" customHeight="false" outlineLevel="0" collapsed="false">
      <c r="A3133" s="1" t="s">
        <v>5122</v>
      </c>
      <c r="B3133" s="1" t="s">
        <v>1231</v>
      </c>
      <c r="C3133" s="1" t="s">
        <v>4737</v>
      </c>
      <c r="D3133" s="1" t="s">
        <v>4739</v>
      </c>
      <c r="E3133" s="1" t="s">
        <v>906</v>
      </c>
    </row>
    <row r="3134" customFormat="false" ht="16" hidden="false" customHeight="false" outlineLevel="0" collapsed="false">
      <c r="A3134" s="1" t="s">
        <v>5123</v>
      </c>
      <c r="B3134" s="1" t="s">
        <v>1231</v>
      </c>
      <c r="C3134" s="1" t="s">
        <v>4737</v>
      </c>
      <c r="D3134" s="1" t="s">
        <v>4741</v>
      </c>
      <c r="E3134" s="1" t="s">
        <v>906</v>
      </c>
    </row>
    <row r="3135" customFormat="false" ht="16" hidden="false" customHeight="false" outlineLevel="0" collapsed="false">
      <c r="A3135" s="1" t="s">
        <v>5124</v>
      </c>
      <c r="B3135" s="1" t="s">
        <v>1231</v>
      </c>
      <c r="C3135" s="1" t="s">
        <v>4737</v>
      </c>
      <c r="D3135" s="1" t="s">
        <v>4743</v>
      </c>
      <c r="E3135" s="1" t="s">
        <v>906</v>
      </c>
    </row>
    <row r="3136" customFormat="false" ht="16" hidden="false" customHeight="false" outlineLevel="0" collapsed="false">
      <c r="A3136" s="1" t="s">
        <v>5125</v>
      </c>
      <c r="B3136" s="1" t="s">
        <v>1231</v>
      </c>
      <c r="C3136" s="1" t="s">
        <v>4737</v>
      </c>
      <c r="D3136" s="1" t="s">
        <v>4745</v>
      </c>
      <c r="E3136" s="1" t="s">
        <v>906</v>
      </c>
    </row>
    <row r="3137" customFormat="false" ht="16" hidden="false" customHeight="false" outlineLevel="0" collapsed="false">
      <c r="A3137" s="1" t="s">
        <v>5126</v>
      </c>
      <c r="B3137" s="1" t="s">
        <v>1231</v>
      </c>
      <c r="C3137" s="1" t="s">
        <v>4737</v>
      </c>
      <c r="D3137" s="1" t="s">
        <v>770</v>
      </c>
      <c r="E3137" s="1" t="s">
        <v>906</v>
      </c>
    </row>
    <row r="3138" customFormat="false" ht="16" hidden="false" customHeight="false" outlineLevel="0" collapsed="false">
      <c r="A3138" s="1" t="s">
        <v>5127</v>
      </c>
      <c r="B3138" s="1" t="s">
        <v>5128</v>
      </c>
      <c r="C3138" s="1" t="s">
        <v>4737</v>
      </c>
      <c r="D3138" s="1" t="s">
        <v>4739</v>
      </c>
      <c r="E3138" s="1" t="s">
        <v>906</v>
      </c>
    </row>
    <row r="3139" customFormat="false" ht="16" hidden="false" customHeight="false" outlineLevel="0" collapsed="false">
      <c r="A3139" s="1" t="s">
        <v>5129</v>
      </c>
      <c r="B3139" s="1" t="s">
        <v>5128</v>
      </c>
      <c r="C3139" s="1" t="s">
        <v>4737</v>
      </c>
      <c r="D3139" s="1" t="s">
        <v>4741</v>
      </c>
      <c r="E3139" s="1" t="s">
        <v>906</v>
      </c>
    </row>
    <row r="3140" customFormat="false" ht="16" hidden="false" customHeight="false" outlineLevel="0" collapsed="false">
      <c r="A3140" s="1" t="s">
        <v>5130</v>
      </c>
      <c r="B3140" s="1" t="s">
        <v>5128</v>
      </c>
      <c r="C3140" s="1" t="s">
        <v>4737</v>
      </c>
      <c r="D3140" s="1" t="s">
        <v>4743</v>
      </c>
      <c r="E3140" s="1" t="s">
        <v>906</v>
      </c>
    </row>
    <row r="3141" customFormat="false" ht="16" hidden="false" customHeight="false" outlineLevel="0" collapsed="false">
      <c r="A3141" s="1" t="s">
        <v>5131</v>
      </c>
      <c r="B3141" s="1" t="s">
        <v>5128</v>
      </c>
      <c r="C3141" s="1" t="s">
        <v>4737</v>
      </c>
      <c r="D3141" s="1" t="s">
        <v>4745</v>
      </c>
      <c r="E3141" s="1" t="s">
        <v>906</v>
      </c>
    </row>
    <row r="3142" customFormat="false" ht="16" hidden="false" customHeight="false" outlineLevel="0" collapsed="false">
      <c r="A3142" s="1" t="s">
        <v>5132</v>
      </c>
      <c r="B3142" s="1" t="s">
        <v>5128</v>
      </c>
      <c r="C3142" s="1" t="s">
        <v>4737</v>
      </c>
      <c r="D3142" s="1" t="s">
        <v>770</v>
      </c>
      <c r="E3142" s="1" t="s">
        <v>906</v>
      </c>
    </row>
    <row r="3143" customFormat="false" ht="16" hidden="false" customHeight="false" outlineLevel="0" collapsed="false">
      <c r="A3143" s="1" t="s">
        <v>5133</v>
      </c>
      <c r="B3143" s="1" t="s">
        <v>1237</v>
      </c>
      <c r="C3143" s="1" t="s">
        <v>4737</v>
      </c>
      <c r="D3143" s="1" t="s">
        <v>4739</v>
      </c>
      <c r="E3143" s="1" t="s">
        <v>906</v>
      </c>
    </row>
    <row r="3144" customFormat="false" ht="16" hidden="false" customHeight="false" outlineLevel="0" collapsed="false">
      <c r="A3144" s="1" t="s">
        <v>5134</v>
      </c>
      <c r="B3144" s="1" t="s">
        <v>1237</v>
      </c>
      <c r="C3144" s="1" t="s">
        <v>4737</v>
      </c>
      <c r="D3144" s="1" t="s">
        <v>4741</v>
      </c>
      <c r="E3144" s="1" t="s">
        <v>906</v>
      </c>
    </row>
    <row r="3145" customFormat="false" ht="16" hidden="false" customHeight="false" outlineLevel="0" collapsed="false">
      <c r="A3145" s="1" t="s">
        <v>5135</v>
      </c>
      <c r="B3145" s="1" t="s">
        <v>1237</v>
      </c>
      <c r="C3145" s="1" t="s">
        <v>4737</v>
      </c>
      <c r="D3145" s="1" t="s">
        <v>4743</v>
      </c>
      <c r="E3145" s="1" t="s">
        <v>906</v>
      </c>
    </row>
    <row r="3146" customFormat="false" ht="16" hidden="false" customHeight="false" outlineLevel="0" collapsed="false">
      <c r="A3146" s="1" t="s">
        <v>5136</v>
      </c>
      <c r="B3146" s="1" t="s">
        <v>1237</v>
      </c>
      <c r="C3146" s="1" t="s">
        <v>4737</v>
      </c>
      <c r="D3146" s="1" t="s">
        <v>4745</v>
      </c>
      <c r="E3146" s="1" t="s">
        <v>906</v>
      </c>
    </row>
    <row r="3147" customFormat="false" ht="16" hidden="false" customHeight="false" outlineLevel="0" collapsed="false">
      <c r="A3147" s="1" t="s">
        <v>5137</v>
      </c>
      <c r="B3147" s="1" t="s">
        <v>1237</v>
      </c>
      <c r="C3147" s="1" t="s">
        <v>4737</v>
      </c>
      <c r="D3147" s="1" t="s">
        <v>770</v>
      </c>
      <c r="E3147" s="1" t="s">
        <v>906</v>
      </c>
    </row>
    <row r="3148" customFormat="false" ht="16" hidden="false" customHeight="false" outlineLevel="0" collapsed="false">
      <c r="A3148" s="1" t="s">
        <v>5138</v>
      </c>
      <c r="B3148" s="1" t="s">
        <v>1243</v>
      </c>
      <c r="C3148" s="1" t="s">
        <v>4737</v>
      </c>
      <c r="D3148" s="1" t="s">
        <v>4739</v>
      </c>
      <c r="E3148" s="1" t="s">
        <v>7</v>
      </c>
    </row>
    <row r="3149" customFormat="false" ht="16" hidden="false" customHeight="false" outlineLevel="0" collapsed="false">
      <c r="A3149" s="1" t="s">
        <v>5139</v>
      </c>
      <c r="B3149" s="1" t="s">
        <v>1243</v>
      </c>
      <c r="C3149" s="1" t="s">
        <v>4737</v>
      </c>
      <c r="D3149" s="1" t="s">
        <v>4741</v>
      </c>
      <c r="E3149" s="1" t="s">
        <v>7</v>
      </c>
    </row>
    <row r="3150" customFormat="false" ht="16" hidden="false" customHeight="false" outlineLevel="0" collapsed="false">
      <c r="A3150" s="1" t="s">
        <v>5140</v>
      </c>
      <c r="B3150" s="1" t="s">
        <v>1243</v>
      </c>
      <c r="C3150" s="1" t="s">
        <v>4737</v>
      </c>
      <c r="D3150" s="1" t="s">
        <v>4743</v>
      </c>
      <c r="E3150" s="1" t="s">
        <v>7</v>
      </c>
    </row>
    <row r="3151" customFormat="false" ht="16" hidden="false" customHeight="false" outlineLevel="0" collapsed="false">
      <c r="A3151" s="1" t="s">
        <v>5141</v>
      </c>
      <c r="B3151" s="1" t="s">
        <v>1243</v>
      </c>
      <c r="C3151" s="1" t="s">
        <v>4737</v>
      </c>
      <c r="D3151" s="1" t="s">
        <v>4745</v>
      </c>
      <c r="E3151" s="1" t="s">
        <v>7</v>
      </c>
    </row>
    <row r="3152" customFormat="false" ht="16" hidden="false" customHeight="false" outlineLevel="0" collapsed="false">
      <c r="A3152" s="1" t="s">
        <v>5142</v>
      </c>
      <c r="B3152" s="1" t="s">
        <v>1243</v>
      </c>
      <c r="C3152" s="1" t="s">
        <v>4737</v>
      </c>
      <c r="D3152" s="1" t="s">
        <v>770</v>
      </c>
      <c r="E3152" s="1" t="s">
        <v>7</v>
      </c>
    </row>
    <row r="3153" customFormat="false" ht="16" hidden="false" customHeight="false" outlineLevel="0" collapsed="false">
      <c r="A3153" s="1" t="s">
        <v>5143</v>
      </c>
      <c r="B3153" s="1" t="s">
        <v>5144</v>
      </c>
      <c r="C3153" s="1" t="s">
        <v>4737</v>
      </c>
      <c r="D3153" s="1" t="s">
        <v>4739</v>
      </c>
      <c r="E3153" s="1" t="s">
        <v>7</v>
      </c>
    </row>
    <row r="3154" customFormat="false" ht="16" hidden="false" customHeight="false" outlineLevel="0" collapsed="false">
      <c r="A3154" s="1" t="s">
        <v>5145</v>
      </c>
      <c r="B3154" s="1" t="s">
        <v>5144</v>
      </c>
      <c r="C3154" s="1" t="s">
        <v>4737</v>
      </c>
      <c r="D3154" s="1" t="s">
        <v>4741</v>
      </c>
      <c r="E3154" s="1" t="s">
        <v>7</v>
      </c>
    </row>
    <row r="3155" customFormat="false" ht="16" hidden="false" customHeight="false" outlineLevel="0" collapsed="false">
      <c r="A3155" s="1" t="s">
        <v>5146</v>
      </c>
      <c r="B3155" s="1" t="s">
        <v>5144</v>
      </c>
      <c r="C3155" s="1" t="s">
        <v>4737</v>
      </c>
      <c r="D3155" s="1" t="s">
        <v>4743</v>
      </c>
      <c r="E3155" s="1" t="s">
        <v>7</v>
      </c>
    </row>
    <row r="3156" customFormat="false" ht="16" hidden="false" customHeight="false" outlineLevel="0" collapsed="false">
      <c r="A3156" s="1" t="s">
        <v>5147</v>
      </c>
      <c r="B3156" s="1" t="s">
        <v>5144</v>
      </c>
      <c r="C3156" s="1" t="s">
        <v>4737</v>
      </c>
      <c r="D3156" s="1" t="s">
        <v>4745</v>
      </c>
      <c r="E3156" s="1" t="s">
        <v>7</v>
      </c>
    </row>
    <row r="3157" customFormat="false" ht="16" hidden="false" customHeight="false" outlineLevel="0" collapsed="false">
      <c r="A3157" s="1" t="s">
        <v>5148</v>
      </c>
      <c r="B3157" s="1" t="s">
        <v>5144</v>
      </c>
      <c r="C3157" s="1" t="s">
        <v>4737</v>
      </c>
      <c r="D3157" s="1" t="s">
        <v>770</v>
      </c>
      <c r="E3157" s="1" t="s">
        <v>7</v>
      </c>
    </row>
    <row r="3158" customFormat="false" ht="16" hidden="false" customHeight="false" outlineLevel="0" collapsed="false">
      <c r="A3158" s="1" t="s">
        <v>5149</v>
      </c>
      <c r="B3158" s="1" t="s">
        <v>3877</v>
      </c>
      <c r="C3158" s="1" t="s">
        <v>4737</v>
      </c>
      <c r="D3158" s="1" t="s">
        <v>4739</v>
      </c>
      <c r="E3158" s="1" t="s">
        <v>7</v>
      </c>
    </row>
    <row r="3159" customFormat="false" ht="16" hidden="false" customHeight="false" outlineLevel="0" collapsed="false">
      <c r="A3159" s="1" t="s">
        <v>5150</v>
      </c>
      <c r="B3159" s="1" t="s">
        <v>3877</v>
      </c>
      <c r="C3159" s="1" t="s">
        <v>4737</v>
      </c>
      <c r="D3159" s="1" t="s">
        <v>4741</v>
      </c>
      <c r="E3159" s="1" t="s">
        <v>7</v>
      </c>
    </row>
    <row r="3160" customFormat="false" ht="16" hidden="false" customHeight="false" outlineLevel="0" collapsed="false">
      <c r="A3160" s="1" t="s">
        <v>5151</v>
      </c>
      <c r="B3160" s="1" t="s">
        <v>3877</v>
      </c>
      <c r="C3160" s="1" t="s">
        <v>4737</v>
      </c>
      <c r="D3160" s="1" t="s">
        <v>4743</v>
      </c>
      <c r="E3160" s="1" t="s">
        <v>7</v>
      </c>
    </row>
    <row r="3161" customFormat="false" ht="16" hidden="false" customHeight="false" outlineLevel="0" collapsed="false">
      <c r="A3161" s="1" t="s">
        <v>5152</v>
      </c>
      <c r="B3161" s="1" t="s">
        <v>3877</v>
      </c>
      <c r="C3161" s="1" t="s">
        <v>4737</v>
      </c>
      <c r="D3161" s="1" t="s">
        <v>4745</v>
      </c>
      <c r="E3161" s="1" t="s">
        <v>7</v>
      </c>
    </row>
    <row r="3162" customFormat="false" ht="16" hidden="false" customHeight="false" outlineLevel="0" collapsed="false">
      <c r="A3162" s="1" t="s">
        <v>5153</v>
      </c>
      <c r="B3162" s="1" t="s">
        <v>3877</v>
      </c>
      <c r="C3162" s="1" t="s">
        <v>4737</v>
      </c>
      <c r="D3162" s="1" t="s">
        <v>770</v>
      </c>
      <c r="E3162" s="1" t="s">
        <v>7</v>
      </c>
    </row>
    <row r="3163" customFormat="false" ht="16" hidden="false" customHeight="false" outlineLevel="0" collapsed="false">
      <c r="A3163" s="1" t="s">
        <v>5154</v>
      </c>
      <c r="B3163" s="1" t="s">
        <v>5155</v>
      </c>
      <c r="C3163" s="1" t="s">
        <v>4737</v>
      </c>
      <c r="D3163" s="1" t="s">
        <v>770</v>
      </c>
      <c r="E3163" s="1" t="s">
        <v>7</v>
      </c>
    </row>
    <row r="3164" customFormat="false" ht="16" hidden="false" customHeight="false" outlineLevel="0" collapsed="false">
      <c r="A3164" s="1" t="s">
        <v>5156</v>
      </c>
      <c r="B3164" s="1" t="s">
        <v>5157</v>
      </c>
      <c r="C3164" s="1" t="s">
        <v>4737</v>
      </c>
      <c r="D3164" s="1" t="s">
        <v>770</v>
      </c>
      <c r="E3164" s="1" t="s">
        <v>7</v>
      </c>
    </row>
    <row r="3165" customFormat="false" ht="16" hidden="false" customHeight="false" outlineLevel="0" collapsed="false">
      <c r="A3165" s="1" t="s">
        <v>5158</v>
      </c>
      <c r="B3165" s="1" t="s">
        <v>1251</v>
      </c>
      <c r="C3165" s="1" t="s">
        <v>4737</v>
      </c>
      <c r="D3165" s="1" t="s">
        <v>4739</v>
      </c>
      <c r="E3165" s="1" t="s">
        <v>7</v>
      </c>
    </row>
    <row r="3166" customFormat="false" ht="16" hidden="false" customHeight="false" outlineLevel="0" collapsed="false">
      <c r="A3166" s="1" t="s">
        <v>5159</v>
      </c>
      <c r="B3166" s="1" t="s">
        <v>1251</v>
      </c>
      <c r="C3166" s="1" t="s">
        <v>4737</v>
      </c>
      <c r="D3166" s="1" t="s">
        <v>4741</v>
      </c>
      <c r="E3166" s="1" t="s">
        <v>7</v>
      </c>
    </row>
    <row r="3167" customFormat="false" ht="16" hidden="false" customHeight="false" outlineLevel="0" collapsed="false">
      <c r="A3167" s="1" t="s">
        <v>5160</v>
      </c>
      <c r="B3167" s="1" t="s">
        <v>1251</v>
      </c>
      <c r="C3167" s="1" t="s">
        <v>4737</v>
      </c>
      <c r="D3167" s="1" t="s">
        <v>4743</v>
      </c>
      <c r="E3167" s="1" t="s">
        <v>7</v>
      </c>
    </row>
    <row r="3168" customFormat="false" ht="16" hidden="false" customHeight="false" outlineLevel="0" collapsed="false">
      <c r="A3168" s="1" t="s">
        <v>5161</v>
      </c>
      <c r="B3168" s="1" t="s">
        <v>1251</v>
      </c>
      <c r="C3168" s="1" t="s">
        <v>4737</v>
      </c>
      <c r="D3168" s="1" t="s">
        <v>4745</v>
      </c>
      <c r="E3168" s="1" t="s">
        <v>7</v>
      </c>
    </row>
    <row r="3169" customFormat="false" ht="16" hidden="false" customHeight="false" outlineLevel="0" collapsed="false">
      <c r="A3169" s="1" t="s">
        <v>5162</v>
      </c>
      <c r="B3169" s="1" t="s">
        <v>1251</v>
      </c>
      <c r="C3169" s="1" t="s">
        <v>4737</v>
      </c>
      <c r="D3169" s="1" t="s">
        <v>770</v>
      </c>
      <c r="E3169" s="1" t="s">
        <v>7</v>
      </c>
    </row>
    <row r="3170" customFormat="false" ht="16" hidden="false" customHeight="false" outlineLevel="0" collapsed="false">
      <c r="A3170" s="1" t="s">
        <v>5163</v>
      </c>
      <c r="B3170" s="1" t="s">
        <v>13</v>
      </c>
      <c r="C3170" s="1" t="s">
        <v>4737</v>
      </c>
      <c r="D3170" s="1" t="s">
        <v>4739</v>
      </c>
      <c r="E3170" s="1" t="s">
        <v>7</v>
      </c>
    </row>
    <row r="3171" customFormat="false" ht="16" hidden="false" customHeight="false" outlineLevel="0" collapsed="false">
      <c r="A3171" s="1" t="s">
        <v>5164</v>
      </c>
      <c r="B3171" s="1" t="s">
        <v>13</v>
      </c>
      <c r="C3171" s="1" t="s">
        <v>4737</v>
      </c>
      <c r="D3171" s="1" t="s">
        <v>4741</v>
      </c>
      <c r="E3171" s="1" t="s">
        <v>7</v>
      </c>
    </row>
    <row r="3172" customFormat="false" ht="16" hidden="false" customHeight="false" outlineLevel="0" collapsed="false">
      <c r="A3172" s="1" t="s">
        <v>5165</v>
      </c>
      <c r="B3172" s="1" t="s">
        <v>13</v>
      </c>
      <c r="C3172" s="1" t="s">
        <v>4737</v>
      </c>
      <c r="D3172" s="1" t="s">
        <v>4743</v>
      </c>
      <c r="E3172" s="1" t="s">
        <v>7</v>
      </c>
    </row>
    <row r="3173" customFormat="false" ht="16" hidden="false" customHeight="false" outlineLevel="0" collapsed="false">
      <c r="A3173" s="1" t="s">
        <v>5166</v>
      </c>
      <c r="B3173" s="1" t="s">
        <v>13</v>
      </c>
      <c r="C3173" s="1" t="s">
        <v>4737</v>
      </c>
      <c r="D3173" s="1" t="s">
        <v>4745</v>
      </c>
      <c r="E3173" s="1" t="s">
        <v>7</v>
      </c>
    </row>
    <row r="3174" customFormat="false" ht="16" hidden="false" customHeight="false" outlineLevel="0" collapsed="false">
      <c r="A3174" s="1" t="s">
        <v>5167</v>
      </c>
      <c r="B3174" s="1" t="s">
        <v>13</v>
      </c>
      <c r="C3174" s="1" t="s">
        <v>4737</v>
      </c>
      <c r="D3174" s="1" t="s">
        <v>770</v>
      </c>
      <c r="E3174" s="1" t="s">
        <v>7</v>
      </c>
    </row>
    <row r="3175" customFormat="false" ht="16" hidden="false" customHeight="false" outlineLevel="0" collapsed="false">
      <c r="A3175" s="1" t="s">
        <v>5168</v>
      </c>
      <c r="B3175" s="1" t="s">
        <v>1258</v>
      </c>
      <c r="C3175" s="1" t="s">
        <v>4737</v>
      </c>
      <c r="D3175" s="1" t="s">
        <v>4739</v>
      </c>
      <c r="E3175" s="1" t="s">
        <v>7</v>
      </c>
    </row>
    <row r="3176" customFormat="false" ht="16" hidden="false" customHeight="false" outlineLevel="0" collapsed="false">
      <c r="A3176" s="1" t="s">
        <v>5169</v>
      </c>
      <c r="B3176" s="1" t="s">
        <v>1258</v>
      </c>
      <c r="C3176" s="1" t="s">
        <v>4737</v>
      </c>
      <c r="D3176" s="1" t="s">
        <v>4741</v>
      </c>
      <c r="E3176" s="1" t="s">
        <v>7</v>
      </c>
    </row>
    <row r="3177" customFormat="false" ht="16" hidden="false" customHeight="false" outlineLevel="0" collapsed="false">
      <c r="A3177" s="1" t="s">
        <v>5170</v>
      </c>
      <c r="B3177" s="1" t="s">
        <v>1258</v>
      </c>
      <c r="C3177" s="1" t="s">
        <v>4737</v>
      </c>
      <c r="D3177" s="1" t="s">
        <v>4743</v>
      </c>
      <c r="E3177" s="1" t="s">
        <v>7</v>
      </c>
    </row>
    <row r="3178" customFormat="false" ht="16" hidden="false" customHeight="false" outlineLevel="0" collapsed="false">
      <c r="A3178" s="1" t="s">
        <v>5171</v>
      </c>
      <c r="B3178" s="1" t="s">
        <v>1258</v>
      </c>
      <c r="C3178" s="1" t="s">
        <v>4737</v>
      </c>
      <c r="D3178" s="1" t="s">
        <v>4745</v>
      </c>
      <c r="E3178" s="1" t="s">
        <v>7</v>
      </c>
    </row>
    <row r="3179" customFormat="false" ht="16" hidden="false" customHeight="false" outlineLevel="0" collapsed="false">
      <c r="A3179" s="1" t="s">
        <v>5172</v>
      </c>
      <c r="B3179" s="1" t="s">
        <v>1258</v>
      </c>
      <c r="C3179" s="1" t="s">
        <v>4737</v>
      </c>
      <c r="D3179" s="1" t="s">
        <v>770</v>
      </c>
      <c r="E3179" s="1" t="s">
        <v>7</v>
      </c>
    </row>
    <row r="3180" customFormat="false" ht="16" hidden="false" customHeight="false" outlineLevel="0" collapsed="false">
      <c r="A3180" s="1" t="s">
        <v>5173</v>
      </c>
      <c r="B3180" s="1" t="s">
        <v>5174</v>
      </c>
      <c r="C3180" s="1" t="s">
        <v>4737</v>
      </c>
      <c r="D3180" s="1" t="s">
        <v>4739</v>
      </c>
      <c r="E3180" s="1" t="s">
        <v>7</v>
      </c>
    </row>
    <row r="3181" customFormat="false" ht="16" hidden="false" customHeight="false" outlineLevel="0" collapsed="false">
      <c r="A3181" s="1" t="s">
        <v>5175</v>
      </c>
      <c r="B3181" s="1" t="s">
        <v>5174</v>
      </c>
      <c r="C3181" s="1" t="s">
        <v>4737</v>
      </c>
      <c r="D3181" s="1" t="s">
        <v>4741</v>
      </c>
      <c r="E3181" s="1" t="s">
        <v>7</v>
      </c>
    </row>
    <row r="3182" customFormat="false" ht="16" hidden="false" customHeight="false" outlineLevel="0" collapsed="false">
      <c r="A3182" s="1" t="s">
        <v>5176</v>
      </c>
      <c r="B3182" s="1" t="s">
        <v>5174</v>
      </c>
      <c r="C3182" s="1" t="s">
        <v>4737</v>
      </c>
      <c r="D3182" s="1" t="s">
        <v>4743</v>
      </c>
      <c r="E3182" s="1" t="s">
        <v>7</v>
      </c>
    </row>
    <row r="3183" customFormat="false" ht="16" hidden="false" customHeight="false" outlineLevel="0" collapsed="false">
      <c r="A3183" s="1" t="s">
        <v>5177</v>
      </c>
      <c r="B3183" s="1" t="s">
        <v>5174</v>
      </c>
      <c r="C3183" s="1" t="s">
        <v>4737</v>
      </c>
      <c r="D3183" s="1" t="s">
        <v>4745</v>
      </c>
      <c r="E3183" s="1" t="s">
        <v>7</v>
      </c>
    </row>
    <row r="3184" customFormat="false" ht="16" hidden="false" customHeight="false" outlineLevel="0" collapsed="false">
      <c r="A3184" s="1" t="s">
        <v>5178</v>
      </c>
      <c r="B3184" s="1" t="s">
        <v>5174</v>
      </c>
      <c r="C3184" s="1" t="s">
        <v>4737</v>
      </c>
      <c r="D3184" s="1" t="s">
        <v>770</v>
      </c>
      <c r="E3184" s="1" t="s">
        <v>7</v>
      </c>
    </row>
    <row r="3185" customFormat="false" ht="16" hidden="false" customHeight="false" outlineLevel="0" collapsed="false">
      <c r="A3185" s="1" t="s">
        <v>5179</v>
      </c>
      <c r="B3185" s="1" t="s">
        <v>1264</v>
      </c>
      <c r="C3185" s="1" t="s">
        <v>4737</v>
      </c>
      <c r="D3185" s="1" t="s">
        <v>4739</v>
      </c>
      <c r="E3185" s="1" t="s">
        <v>7</v>
      </c>
    </row>
    <row r="3186" customFormat="false" ht="16" hidden="false" customHeight="false" outlineLevel="0" collapsed="false">
      <c r="A3186" s="1" t="s">
        <v>5180</v>
      </c>
      <c r="B3186" s="1" t="s">
        <v>1264</v>
      </c>
      <c r="C3186" s="1" t="s">
        <v>4737</v>
      </c>
      <c r="D3186" s="1" t="s">
        <v>4741</v>
      </c>
      <c r="E3186" s="1" t="s">
        <v>7</v>
      </c>
    </row>
    <row r="3187" customFormat="false" ht="16" hidden="false" customHeight="false" outlineLevel="0" collapsed="false">
      <c r="A3187" s="1" t="s">
        <v>5181</v>
      </c>
      <c r="B3187" s="1" t="s">
        <v>1264</v>
      </c>
      <c r="C3187" s="1" t="s">
        <v>4737</v>
      </c>
      <c r="D3187" s="1" t="s">
        <v>4743</v>
      </c>
      <c r="E3187" s="1" t="s">
        <v>7</v>
      </c>
    </row>
    <row r="3188" customFormat="false" ht="16" hidden="false" customHeight="false" outlineLevel="0" collapsed="false">
      <c r="A3188" s="1" t="s">
        <v>5182</v>
      </c>
      <c r="B3188" s="1" t="s">
        <v>1264</v>
      </c>
      <c r="C3188" s="1" t="s">
        <v>4737</v>
      </c>
      <c r="D3188" s="1" t="s">
        <v>4745</v>
      </c>
      <c r="E3188" s="1" t="s">
        <v>7</v>
      </c>
    </row>
    <row r="3189" customFormat="false" ht="16" hidden="false" customHeight="false" outlineLevel="0" collapsed="false">
      <c r="A3189" s="1" t="s">
        <v>5183</v>
      </c>
      <c r="B3189" s="1" t="s">
        <v>1264</v>
      </c>
      <c r="C3189" s="1" t="s">
        <v>4737</v>
      </c>
      <c r="D3189" s="1" t="s">
        <v>770</v>
      </c>
      <c r="E3189" s="1" t="s">
        <v>7</v>
      </c>
    </row>
    <row r="3190" customFormat="false" ht="16" hidden="false" customHeight="false" outlineLevel="0" collapsed="false">
      <c r="A3190" s="1" t="s">
        <v>5184</v>
      </c>
      <c r="B3190" s="1" t="s">
        <v>1270</v>
      </c>
      <c r="C3190" s="1" t="s">
        <v>4737</v>
      </c>
      <c r="D3190" s="1" t="s">
        <v>4739</v>
      </c>
      <c r="E3190" s="1" t="s">
        <v>7</v>
      </c>
    </row>
    <row r="3191" customFormat="false" ht="16" hidden="false" customHeight="false" outlineLevel="0" collapsed="false">
      <c r="A3191" s="1" t="s">
        <v>5185</v>
      </c>
      <c r="B3191" s="1" t="s">
        <v>1270</v>
      </c>
      <c r="C3191" s="1" t="s">
        <v>4737</v>
      </c>
      <c r="D3191" s="1" t="s">
        <v>4741</v>
      </c>
      <c r="E3191" s="1" t="s">
        <v>7</v>
      </c>
    </row>
    <row r="3192" customFormat="false" ht="16" hidden="false" customHeight="false" outlineLevel="0" collapsed="false">
      <c r="A3192" s="1" t="s">
        <v>5186</v>
      </c>
      <c r="B3192" s="1" t="s">
        <v>1270</v>
      </c>
      <c r="C3192" s="1" t="s">
        <v>4737</v>
      </c>
      <c r="D3192" s="1" t="s">
        <v>4743</v>
      </c>
      <c r="E3192" s="1" t="s">
        <v>7</v>
      </c>
    </row>
    <row r="3193" customFormat="false" ht="16" hidden="false" customHeight="false" outlineLevel="0" collapsed="false">
      <c r="A3193" s="1" t="s">
        <v>5187</v>
      </c>
      <c r="B3193" s="1" t="s">
        <v>1270</v>
      </c>
      <c r="C3193" s="1" t="s">
        <v>4737</v>
      </c>
      <c r="D3193" s="1" t="s">
        <v>4745</v>
      </c>
      <c r="E3193" s="1" t="s">
        <v>7</v>
      </c>
    </row>
    <row r="3194" customFormat="false" ht="16" hidden="false" customHeight="false" outlineLevel="0" collapsed="false">
      <c r="A3194" s="1" t="s">
        <v>5188</v>
      </c>
      <c r="B3194" s="1" t="s">
        <v>1270</v>
      </c>
      <c r="C3194" s="1" t="s">
        <v>4737</v>
      </c>
      <c r="D3194" s="1" t="s">
        <v>770</v>
      </c>
      <c r="E3194" s="1" t="s">
        <v>7</v>
      </c>
    </row>
    <row r="3195" customFormat="false" ht="16" hidden="false" customHeight="false" outlineLevel="0" collapsed="false">
      <c r="A3195" s="1" t="s">
        <v>5189</v>
      </c>
      <c r="B3195" s="1" t="s">
        <v>1276</v>
      </c>
      <c r="C3195" s="1" t="s">
        <v>4737</v>
      </c>
      <c r="D3195" s="1" t="s">
        <v>4739</v>
      </c>
      <c r="E3195" s="1" t="s">
        <v>7</v>
      </c>
    </row>
    <row r="3196" customFormat="false" ht="16" hidden="false" customHeight="false" outlineLevel="0" collapsed="false">
      <c r="A3196" s="1" t="s">
        <v>5190</v>
      </c>
      <c r="B3196" s="1" t="s">
        <v>1276</v>
      </c>
      <c r="C3196" s="1" t="s">
        <v>4737</v>
      </c>
      <c r="D3196" s="1" t="s">
        <v>4741</v>
      </c>
      <c r="E3196" s="1" t="s">
        <v>7</v>
      </c>
    </row>
    <row r="3197" customFormat="false" ht="16" hidden="false" customHeight="false" outlineLevel="0" collapsed="false">
      <c r="A3197" s="1" t="s">
        <v>5191</v>
      </c>
      <c r="B3197" s="1" t="s">
        <v>1276</v>
      </c>
      <c r="C3197" s="1" t="s">
        <v>4737</v>
      </c>
      <c r="D3197" s="1" t="s">
        <v>4743</v>
      </c>
      <c r="E3197" s="1" t="s">
        <v>7</v>
      </c>
    </row>
    <row r="3198" customFormat="false" ht="16" hidden="false" customHeight="false" outlineLevel="0" collapsed="false">
      <c r="A3198" s="1" t="s">
        <v>5192</v>
      </c>
      <c r="B3198" s="1" t="s">
        <v>1276</v>
      </c>
      <c r="C3198" s="1" t="s">
        <v>4737</v>
      </c>
      <c r="D3198" s="1" t="s">
        <v>4745</v>
      </c>
      <c r="E3198" s="1" t="s">
        <v>7</v>
      </c>
    </row>
    <row r="3199" customFormat="false" ht="16" hidden="false" customHeight="false" outlineLevel="0" collapsed="false">
      <c r="A3199" s="1" t="s">
        <v>5193</v>
      </c>
      <c r="B3199" s="1" t="s">
        <v>1276</v>
      </c>
      <c r="C3199" s="1" t="s">
        <v>4737</v>
      </c>
      <c r="D3199" s="1" t="s">
        <v>770</v>
      </c>
      <c r="E3199" s="1" t="s">
        <v>7</v>
      </c>
    </row>
    <row r="3200" customFormat="false" ht="16" hidden="false" customHeight="false" outlineLevel="0" collapsed="false">
      <c r="A3200" s="1" t="s">
        <v>5194</v>
      </c>
      <c r="B3200" s="1" t="s">
        <v>1291</v>
      </c>
      <c r="C3200" s="1" t="s">
        <v>4737</v>
      </c>
      <c r="D3200" s="1" t="s">
        <v>4739</v>
      </c>
      <c r="E3200" s="1" t="s">
        <v>7</v>
      </c>
    </row>
    <row r="3201" customFormat="false" ht="16" hidden="false" customHeight="false" outlineLevel="0" collapsed="false">
      <c r="A3201" s="1" t="s">
        <v>5195</v>
      </c>
      <c r="B3201" s="1" t="s">
        <v>1291</v>
      </c>
      <c r="C3201" s="1" t="s">
        <v>4737</v>
      </c>
      <c r="D3201" s="1" t="s">
        <v>4741</v>
      </c>
      <c r="E3201" s="1" t="s">
        <v>7</v>
      </c>
    </row>
    <row r="3202" customFormat="false" ht="16" hidden="false" customHeight="false" outlineLevel="0" collapsed="false">
      <c r="A3202" s="1" t="s">
        <v>5196</v>
      </c>
      <c r="B3202" s="1" t="s">
        <v>1291</v>
      </c>
      <c r="C3202" s="1" t="s">
        <v>4737</v>
      </c>
      <c r="D3202" s="1" t="s">
        <v>4743</v>
      </c>
      <c r="E3202" s="1" t="s">
        <v>7</v>
      </c>
    </row>
    <row r="3203" customFormat="false" ht="16" hidden="false" customHeight="false" outlineLevel="0" collapsed="false">
      <c r="A3203" s="1" t="s">
        <v>5197</v>
      </c>
      <c r="B3203" s="1" t="s">
        <v>1291</v>
      </c>
      <c r="C3203" s="1" t="s">
        <v>4737</v>
      </c>
      <c r="D3203" s="1" t="s">
        <v>4745</v>
      </c>
      <c r="E3203" s="1" t="s">
        <v>7</v>
      </c>
    </row>
    <row r="3204" customFormat="false" ht="16" hidden="false" customHeight="false" outlineLevel="0" collapsed="false">
      <c r="A3204" s="1" t="s">
        <v>5198</v>
      </c>
      <c r="B3204" s="1" t="s">
        <v>1291</v>
      </c>
      <c r="C3204" s="1" t="s">
        <v>4737</v>
      </c>
      <c r="D3204" s="1" t="s">
        <v>770</v>
      </c>
      <c r="E3204" s="1" t="s">
        <v>7</v>
      </c>
    </row>
    <row r="3205" customFormat="false" ht="16" hidden="false" customHeight="false" outlineLevel="0" collapsed="false">
      <c r="A3205" s="1" t="s">
        <v>5199</v>
      </c>
      <c r="B3205" s="1" t="s">
        <v>5200</v>
      </c>
      <c r="C3205" s="1" t="s">
        <v>4737</v>
      </c>
      <c r="D3205" s="1" t="s">
        <v>4739</v>
      </c>
      <c r="E3205" s="1" t="s">
        <v>7</v>
      </c>
    </row>
    <row r="3206" customFormat="false" ht="16" hidden="false" customHeight="false" outlineLevel="0" collapsed="false">
      <c r="A3206" s="1" t="s">
        <v>5201</v>
      </c>
      <c r="B3206" s="1" t="s">
        <v>5200</v>
      </c>
      <c r="C3206" s="1" t="s">
        <v>4737</v>
      </c>
      <c r="D3206" s="1" t="s">
        <v>4741</v>
      </c>
      <c r="E3206" s="1" t="s">
        <v>7</v>
      </c>
    </row>
    <row r="3207" customFormat="false" ht="16" hidden="false" customHeight="false" outlineLevel="0" collapsed="false">
      <c r="A3207" s="1" t="s">
        <v>5202</v>
      </c>
      <c r="B3207" s="1" t="s">
        <v>5200</v>
      </c>
      <c r="C3207" s="1" t="s">
        <v>4737</v>
      </c>
      <c r="D3207" s="1" t="s">
        <v>4743</v>
      </c>
      <c r="E3207" s="1" t="s">
        <v>7</v>
      </c>
    </row>
    <row r="3208" customFormat="false" ht="16" hidden="false" customHeight="false" outlineLevel="0" collapsed="false">
      <c r="A3208" s="1" t="s">
        <v>5203</v>
      </c>
      <c r="B3208" s="1" t="s">
        <v>5200</v>
      </c>
      <c r="C3208" s="1" t="s">
        <v>4737</v>
      </c>
      <c r="D3208" s="1" t="s">
        <v>4745</v>
      </c>
      <c r="E3208" s="1" t="s">
        <v>7</v>
      </c>
    </row>
    <row r="3209" customFormat="false" ht="16" hidden="false" customHeight="false" outlineLevel="0" collapsed="false">
      <c r="A3209" s="1" t="s">
        <v>5204</v>
      </c>
      <c r="B3209" s="1" t="s">
        <v>5200</v>
      </c>
      <c r="C3209" s="1" t="s">
        <v>4737</v>
      </c>
      <c r="D3209" s="1" t="s">
        <v>770</v>
      </c>
      <c r="E3209" s="1" t="s">
        <v>7</v>
      </c>
    </row>
    <row r="3210" customFormat="false" ht="16" hidden="false" customHeight="false" outlineLevel="0" collapsed="false">
      <c r="A3210" s="1" t="s">
        <v>5205</v>
      </c>
      <c r="B3210" s="1" t="s">
        <v>1297</v>
      </c>
      <c r="C3210" s="1" t="s">
        <v>4737</v>
      </c>
      <c r="D3210" s="1" t="s">
        <v>4739</v>
      </c>
      <c r="E3210" s="1" t="s">
        <v>906</v>
      </c>
    </row>
    <row r="3211" customFormat="false" ht="16" hidden="false" customHeight="false" outlineLevel="0" collapsed="false">
      <c r="A3211" s="1" t="s">
        <v>5206</v>
      </c>
      <c r="B3211" s="1" t="s">
        <v>1297</v>
      </c>
      <c r="C3211" s="1" t="s">
        <v>4737</v>
      </c>
      <c r="D3211" s="1" t="s">
        <v>4741</v>
      </c>
      <c r="E3211" s="1" t="s">
        <v>906</v>
      </c>
    </row>
    <row r="3212" customFormat="false" ht="16" hidden="false" customHeight="false" outlineLevel="0" collapsed="false">
      <c r="A3212" s="1" t="s">
        <v>5207</v>
      </c>
      <c r="B3212" s="1" t="s">
        <v>1297</v>
      </c>
      <c r="C3212" s="1" t="s">
        <v>4737</v>
      </c>
      <c r="D3212" s="1" t="s">
        <v>4743</v>
      </c>
      <c r="E3212" s="1" t="s">
        <v>906</v>
      </c>
    </row>
    <row r="3213" customFormat="false" ht="16" hidden="false" customHeight="false" outlineLevel="0" collapsed="false">
      <c r="A3213" s="1" t="s">
        <v>5208</v>
      </c>
      <c r="B3213" s="1" t="s">
        <v>1297</v>
      </c>
      <c r="C3213" s="1" t="s">
        <v>4737</v>
      </c>
      <c r="D3213" s="1" t="s">
        <v>4745</v>
      </c>
      <c r="E3213" s="1" t="s">
        <v>906</v>
      </c>
    </row>
    <row r="3214" customFormat="false" ht="16" hidden="false" customHeight="false" outlineLevel="0" collapsed="false">
      <c r="A3214" s="1" t="s">
        <v>5209</v>
      </c>
      <c r="B3214" s="1" t="s">
        <v>1297</v>
      </c>
      <c r="C3214" s="1" t="s">
        <v>4737</v>
      </c>
      <c r="D3214" s="1" t="s">
        <v>770</v>
      </c>
      <c r="E3214" s="1" t="s">
        <v>906</v>
      </c>
    </row>
    <row r="3215" customFormat="false" ht="16" hidden="false" customHeight="false" outlineLevel="0" collapsed="false">
      <c r="A3215" s="1" t="s">
        <v>5210</v>
      </c>
      <c r="B3215" s="1" t="s">
        <v>1303</v>
      </c>
      <c r="C3215" s="1" t="s">
        <v>4737</v>
      </c>
      <c r="D3215" s="1" t="s">
        <v>4745</v>
      </c>
      <c r="E3215" s="1" t="s">
        <v>7</v>
      </c>
    </row>
    <row r="3216" customFormat="false" ht="16" hidden="false" customHeight="false" outlineLevel="0" collapsed="false">
      <c r="A3216" s="1" t="s">
        <v>5211</v>
      </c>
      <c r="B3216" s="1" t="s">
        <v>41</v>
      </c>
      <c r="C3216" s="1" t="s">
        <v>4737</v>
      </c>
      <c r="D3216" s="1" t="s">
        <v>4739</v>
      </c>
      <c r="E3216" s="1" t="s">
        <v>7</v>
      </c>
    </row>
    <row r="3217" customFormat="false" ht="16" hidden="false" customHeight="false" outlineLevel="0" collapsed="false">
      <c r="A3217" s="1" t="s">
        <v>5212</v>
      </c>
      <c r="B3217" s="1" t="s">
        <v>41</v>
      </c>
      <c r="C3217" s="1" t="s">
        <v>4737</v>
      </c>
      <c r="D3217" s="1" t="s">
        <v>4741</v>
      </c>
      <c r="E3217" s="1" t="s">
        <v>7</v>
      </c>
    </row>
    <row r="3218" customFormat="false" ht="16" hidden="false" customHeight="false" outlineLevel="0" collapsed="false">
      <c r="A3218" s="1" t="s">
        <v>5213</v>
      </c>
      <c r="B3218" s="1" t="s">
        <v>41</v>
      </c>
      <c r="C3218" s="1" t="s">
        <v>4737</v>
      </c>
      <c r="D3218" s="1" t="s">
        <v>4743</v>
      </c>
      <c r="E3218" s="1" t="s">
        <v>7</v>
      </c>
    </row>
    <row r="3219" customFormat="false" ht="16" hidden="false" customHeight="false" outlineLevel="0" collapsed="false">
      <c r="A3219" s="1" t="s">
        <v>5214</v>
      </c>
      <c r="B3219" s="1" t="s">
        <v>41</v>
      </c>
      <c r="C3219" s="1" t="s">
        <v>4737</v>
      </c>
      <c r="D3219" s="1" t="s">
        <v>4745</v>
      </c>
      <c r="E3219" s="1" t="s">
        <v>7</v>
      </c>
    </row>
    <row r="3220" customFormat="false" ht="16" hidden="false" customHeight="false" outlineLevel="0" collapsed="false">
      <c r="A3220" s="1" t="s">
        <v>5215</v>
      </c>
      <c r="B3220" s="1" t="s">
        <v>41</v>
      </c>
      <c r="C3220" s="1" t="s">
        <v>4737</v>
      </c>
      <c r="D3220" s="1" t="s">
        <v>770</v>
      </c>
      <c r="E3220" s="1" t="s">
        <v>7</v>
      </c>
    </row>
    <row r="3221" customFormat="false" ht="16" hidden="false" customHeight="false" outlineLevel="0" collapsed="false">
      <c r="A3221" s="1" t="s">
        <v>5216</v>
      </c>
      <c r="B3221" s="1" t="s">
        <v>1314</v>
      </c>
      <c r="C3221" s="1" t="s">
        <v>4737</v>
      </c>
      <c r="D3221" s="1" t="s">
        <v>4739</v>
      </c>
      <c r="E3221" s="1" t="s">
        <v>906</v>
      </c>
    </row>
    <row r="3222" customFormat="false" ht="16" hidden="false" customHeight="false" outlineLevel="0" collapsed="false">
      <c r="A3222" s="1" t="s">
        <v>5217</v>
      </c>
      <c r="B3222" s="1" t="s">
        <v>1314</v>
      </c>
      <c r="C3222" s="1" t="s">
        <v>4737</v>
      </c>
      <c r="D3222" s="1" t="s">
        <v>4741</v>
      </c>
      <c r="E3222" s="1" t="s">
        <v>906</v>
      </c>
    </row>
    <row r="3223" customFormat="false" ht="16" hidden="false" customHeight="false" outlineLevel="0" collapsed="false">
      <c r="A3223" s="1" t="s">
        <v>5218</v>
      </c>
      <c r="B3223" s="1" t="s">
        <v>1314</v>
      </c>
      <c r="C3223" s="1" t="s">
        <v>4737</v>
      </c>
      <c r="D3223" s="1" t="s">
        <v>4743</v>
      </c>
      <c r="E3223" s="1" t="s">
        <v>906</v>
      </c>
    </row>
    <row r="3224" customFormat="false" ht="16" hidden="false" customHeight="false" outlineLevel="0" collapsed="false">
      <c r="A3224" s="1" t="s">
        <v>5219</v>
      </c>
      <c r="B3224" s="1" t="s">
        <v>1314</v>
      </c>
      <c r="C3224" s="1" t="s">
        <v>4737</v>
      </c>
      <c r="D3224" s="1" t="s">
        <v>4745</v>
      </c>
      <c r="E3224" s="1" t="s">
        <v>906</v>
      </c>
    </row>
    <row r="3225" customFormat="false" ht="16" hidden="false" customHeight="false" outlineLevel="0" collapsed="false">
      <c r="A3225" s="1" t="s">
        <v>5220</v>
      </c>
      <c r="B3225" s="1" t="s">
        <v>1314</v>
      </c>
      <c r="C3225" s="1" t="s">
        <v>4737</v>
      </c>
      <c r="D3225" s="1" t="s">
        <v>770</v>
      </c>
      <c r="E3225" s="1" t="s">
        <v>906</v>
      </c>
    </row>
    <row r="3226" customFormat="false" ht="16" hidden="false" customHeight="false" outlineLevel="0" collapsed="false">
      <c r="A3226" s="1" t="s">
        <v>5221</v>
      </c>
      <c r="B3226" s="1" t="s">
        <v>1320</v>
      </c>
      <c r="C3226" s="1" t="s">
        <v>4737</v>
      </c>
      <c r="D3226" s="1" t="s">
        <v>4739</v>
      </c>
      <c r="E3226" s="1" t="s">
        <v>906</v>
      </c>
    </row>
    <row r="3227" customFormat="false" ht="16" hidden="false" customHeight="false" outlineLevel="0" collapsed="false">
      <c r="A3227" s="1" t="s">
        <v>5222</v>
      </c>
      <c r="B3227" s="1" t="s">
        <v>1320</v>
      </c>
      <c r="C3227" s="1" t="s">
        <v>4737</v>
      </c>
      <c r="D3227" s="1" t="s">
        <v>4741</v>
      </c>
      <c r="E3227" s="1" t="s">
        <v>906</v>
      </c>
    </row>
    <row r="3228" customFormat="false" ht="16" hidden="false" customHeight="false" outlineLevel="0" collapsed="false">
      <c r="A3228" s="1" t="s">
        <v>5223</v>
      </c>
      <c r="B3228" s="1" t="s">
        <v>1320</v>
      </c>
      <c r="C3228" s="1" t="s">
        <v>4737</v>
      </c>
      <c r="D3228" s="1" t="s">
        <v>4743</v>
      </c>
      <c r="E3228" s="1" t="s">
        <v>906</v>
      </c>
    </row>
    <row r="3229" customFormat="false" ht="16" hidden="false" customHeight="false" outlineLevel="0" collapsed="false">
      <c r="A3229" s="1" t="s">
        <v>5224</v>
      </c>
      <c r="B3229" s="1" t="s">
        <v>1320</v>
      </c>
      <c r="C3229" s="1" t="s">
        <v>4737</v>
      </c>
      <c r="D3229" s="1" t="s">
        <v>4745</v>
      </c>
      <c r="E3229" s="1" t="s">
        <v>906</v>
      </c>
    </row>
    <row r="3230" customFormat="false" ht="16" hidden="false" customHeight="false" outlineLevel="0" collapsed="false">
      <c r="A3230" s="1" t="s">
        <v>5225</v>
      </c>
      <c r="B3230" s="1" t="s">
        <v>1320</v>
      </c>
      <c r="C3230" s="1" t="s">
        <v>4737</v>
      </c>
      <c r="D3230" s="1" t="s">
        <v>770</v>
      </c>
      <c r="E3230" s="1" t="s">
        <v>906</v>
      </c>
    </row>
    <row r="3231" customFormat="false" ht="16" hidden="false" customHeight="false" outlineLevel="0" collapsed="false">
      <c r="A3231" s="1" t="s">
        <v>5226</v>
      </c>
      <c r="B3231" s="1" t="s">
        <v>1326</v>
      </c>
      <c r="C3231" s="1" t="s">
        <v>4737</v>
      </c>
      <c r="D3231" s="1" t="s">
        <v>4739</v>
      </c>
      <c r="E3231" s="1" t="s">
        <v>906</v>
      </c>
    </row>
    <row r="3232" customFormat="false" ht="16" hidden="false" customHeight="false" outlineLevel="0" collapsed="false">
      <c r="A3232" s="1" t="s">
        <v>5227</v>
      </c>
      <c r="B3232" s="1" t="s">
        <v>1326</v>
      </c>
      <c r="C3232" s="1" t="s">
        <v>4737</v>
      </c>
      <c r="D3232" s="1" t="s">
        <v>4741</v>
      </c>
      <c r="E3232" s="1" t="s">
        <v>906</v>
      </c>
    </row>
    <row r="3233" customFormat="false" ht="16" hidden="false" customHeight="false" outlineLevel="0" collapsed="false">
      <c r="A3233" s="1" t="s">
        <v>5228</v>
      </c>
      <c r="B3233" s="1" t="s">
        <v>1326</v>
      </c>
      <c r="C3233" s="1" t="s">
        <v>4737</v>
      </c>
      <c r="D3233" s="1" t="s">
        <v>4743</v>
      </c>
      <c r="E3233" s="1" t="s">
        <v>906</v>
      </c>
    </row>
    <row r="3234" customFormat="false" ht="16" hidden="false" customHeight="false" outlineLevel="0" collapsed="false">
      <c r="A3234" s="1" t="s">
        <v>5229</v>
      </c>
      <c r="B3234" s="1" t="s">
        <v>1326</v>
      </c>
      <c r="C3234" s="1" t="s">
        <v>4737</v>
      </c>
      <c r="D3234" s="1" t="s">
        <v>4745</v>
      </c>
      <c r="E3234" s="1" t="s">
        <v>906</v>
      </c>
    </row>
    <row r="3235" customFormat="false" ht="16" hidden="false" customHeight="false" outlineLevel="0" collapsed="false">
      <c r="A3235" s="1" t="s">
        <v>5230</v>
      </c>
      <c r="B3235" s="1" t="s">
        <v>1326</v>
      </c>
      <c r="C3235" s="1" t="s">
        <v>4737</v>
      </c>
      <c r="D3235" s="1" t="s">
        <v>770</v>
      </c>
      <c r="E3235" s="1" t="s">
        <v>906</v>
      </c>
    </row>
    <row r="3236" customFormat="false" ht="16" hidden="false" customHeight="false" outlineLevel="0" collapsed="false">
      <c r="A3236" s="1" t="s">
        <v>5231</v>
      </c>
      <c r="B3236" s="1" t="s">
        <v>5232</v>
      </c>
      <c r="C3236" s="1" t="s">
        <v>4737</v>
      </c>
      <c r="D3236" s="1" t="s">
        <v>4739</v>
      </c>
      <c r="E3236" s="1" t="s">
        <v>7</v>
      </c>
    </row>
    <row r="3237" customFormat="false" ht="16" hidden="false" customHeight="false" outlineLevel="0" collapsed="false">
      <c r="A3237" s="1" t="s">
        <v>5233</v>
      </c>
      <c r="B3237" s="1" t="s">
        <v>5232</v>
      </c>
      <c r="C3237" s="1" t="s">
        <v>4737</v>
      </c>
      <c r="D3237" s="1" t="s">
        <v>4741</v>
      </c>
      <c r="E3237" s="1" t="s">
        <v>7</v>
      </c>
    </row>
    <row r="3238" customFormat="false" ht="16" hidden="false" customHeight="false" outlineLevel="0" collapsed="false">
      <c r="A3238" s="1" t="s">
        <v>5234</v>
      </c>
      <c r="B3238" s="1" t="s">
        <v>5232</v>
      </c>
      <c r="C3238" s="1" t="s">
        <v>4737</v>
      </c>
      <c r="D3238" s="1" t="s">
        <v>4743</v>
      </c>
      <c r="E3238" s="1" t="s">
        <v>7</v>
      </c>
    </row>
    <row r="3239" customFormat="false" ht="16" hidden="false" customHeight="false" outlineLevel="0" collapsed="false">
      <c r="A3239" s="1" t="s">
        <v>5235</v>
      </c>
      <c r="B3239" s="1" t="s">
        <v>5232</v>
      </c>
      <c r="C3239" s="1" t="s">
        <v>4737</v>
      </c>
      <c r="D3239" s="1" t="s">
        <v>4745</v>
      </c>
      <c r="E3239" s="1" t="s">
        <v>7</v>
      </c>
    </row>
    <row r="3240" customFormat="false" ht="16" hidden="false" customHeight="false" outlineLevel="0" collapsed="false">
      <c r="A3240" s="1" t="s">
        <v>5236</v>
      </c>
      <c r="B3240" s="1" t="s">
        <v>5232</v>
      </c>
      <c r="C3240" s="1" t="s">
        <v>4737</v>
      </c>
      <c r="D3240" s="1" t="s">
        <v>770</v>
      </c>
      <c r="E3240" s="1" t="s">
        <v>7</v>
      </c>
    </row>
    <row r="3241" customFormat="false" ht="16" hidden="false" customHeight="false" outlineLevel="0" collapsed="false">
      <c r="A3241" s="1" t="s">
        <v>5237</v>
      </c>
      <c r="B3241" s="1" t="s">
        <v>5238</v>
      </c>
      <c r="C3241" s="1" t="s">
        <v>4737</v>
      </c>
      <c r="D3241" s="1" t="s">
        <v>770</v>
      </c>
      <c r="E3241" s="1" t="s">
        <v>7</v>
      </c>
    </row>
    <row r="3242" customFormat="false" ht="16" hidden="false" customHeight="false" outlineLevel="0" collapsed="false">
      <c r="A3242" s="1" t="s">
        <v>5239</v>
      </c>
      <c r="B3242" s="1" t="s">
        <v>1337</v>
      </c>
      <c r="C3242" s="1" t="s">
        <v>4737</v>
      </c>
      <c r="D3242" s="1" t="s">
        <v>4739</v>
      </c>
      <c r="E3242" s="1" t="s">
        <v>7</v>
      </c>
    </row>
    <row r="3243" customFormat="false" ht="16" hidden="false" customHeight="false" outlineLevel="0" collapsed="false">
      <c r="A3243" s="1" t="s">
        <v>5240</v>
      </c>
      <c r="B3243" s="1" t="s">
        <v>1337</v>
      </c>
      <c r="C3243" s="1" t="s">
        <v>4737</v>
      </c>
      <c r="D3243" s="1" t="s">
        <v>4741</v>
      </c>
      <c r="E3243" s="1" t="s">
        <v>7</v>
      </c>
    </row>
    <row r="3244" customFormat="false" ht="16" hidden="false" customHeight="false" outlineLevel="0" collapsed="false">
      <c r="A3244" s="1" t="s">
        <v>5241</v>
      </c>
      <c r="B3244" s="1" t="s">
        <v>1337</v>
      </c>
      <c r="C3244" s="1" t="s">
        <v>4737</v>
      </c>
      <c r="D3244" s="1" t="s">
        <v>4743</v>
      </c>
      <c r="E3244" s="1" t="s">
        <v>7</v>
      </c>
    </row>
    <row r="3245" customFormat="false" ht="16" hidden="false" customHeight="false" outlineLevel="0" collapsed="false">
      <c r="A3245" s="1" t="s">
        <v>5242</v>
      </c>
      <c r="B3245" s="1" t="s">
        <v>1337</v>
      </c>
      <c r="C3245" s="1" t="s">
        <v>4737</v>
      </c>
      <c r="D3245" s="1" t="s">
        <v>4745</v>
      </c>
      <c r="E3245" s="1" t="s">
        <v>7</v>
      </c>
    </row>
    <row r="3246" customFormat="false" ht="16" hidden="false" customHeight="false" outlineLevel="0" collapsed="false">
      <c r="A3246" s="1" t="s">
        <v>5243</v>
      </c>
      <c r="B3246" s="1" t="s">
        <v>1337</v>
      </c>
      <c r="C3246" s="1" t="s">
        <v>4737</v>
      </c>
      <c r="D3246" s="1" t="s">
        <v>770</v>
      </c>
      <c r="E3246" s="1" t="s">
        <v>7</v>
      </c>
    </row>
    <row r="3247" customFormat="false" ht="16" hidden="false" customHeight="false" outlineLevel="0" collapsed="false">
      <c r="A3247" s="1" t="s">
        <v>5244</v>
      </c>
      <c r="B3247" s="1" t="s">
        <v>1343</v>
      </c>
      <c r="C3247" s="1" t="s">
        <v>4737</v>
      </c>
      <c r="D3247" s="1" t="s">
        <v>4739</v>
      </c>
      <c r="E3247" s="1" t="s">
        <v>906</v>
      </c>
    </row>
    <row r="3248" customFormat="false" ht="16" hidden="false" customHeight="false" outlineLevel="0" collapsed="false">
      <c r="A3248" s="1" t="s">
        <v>5245</v>
      </c>
      <c r="B3248" s="1" t="s">
        <v>1343</v>
      </c>
      <c r="C3248" s="1" t="s">
        <v>4737</v>
      </c>
      <c r="D3248" s="1" t="s">
        <v>4741</v>
      </c>
      <c r="E3248" s="1" t="s">
        <v>906</v>
      </c>
    </row>
    <row r="3249" customFormat="false" ht="16" hidden="false" customHeight="false" outlineLevel="0" collapsed="false">
      <c r="A3249" s="1" t="s">
        <v>5246</v>
      </c>
      <c r="B3249" s="1" t="s">
        <v>1343</v>
      </c>
      <c r="C3249" s="1" t="s">
        <v>4737</v>
      </c>
      <c r="D3249" s="1" t="s">
        <v>4743</v>
      </c>
      <c r="E3249" s="1" t="s">
        <v>906</v>
      </c>
    </row>
    <row r="3250" customFormat="false" ht="16" hidden="false" customHeight="false" outlineLevel="0" collapsed="false">
      <c r="A3250" s="1" t="s">
        <v>5247</v>
      </c>
      <c r="B3250" s="1" t="s">
        <v>1343</v>
      </c>
      <c r="C3250" s="1" t="s">
        <v>4737</v>
      </c>
      <c r="D3250" s="1" t="s">
        <v>4745</v>
      </c>
      <c r="E3250" s="1" t="s">
        <v>906</v>
      </c>
    </row>
    <row r="3251" customFormat="false" ht="16" hidden="false" customHeight="false" outlineLevel="0" collapsed="false">
      <c r="A3251" s="1" t="s">
        <v>5248</v>
      </c>
      <c r="B3251" s="1" t="s">
        <v>1343</v>
      </c>
      <c r="C3251" s="1" t="s">
        <v>4737</v>
      </c>
      <c r="D3251" s="1" t="s">
        <v>770</v>
      </c>
      <c r="E3251" s="1" t="s">
        <v>906</v>
      </c>
    </row>
    <row r="3252" customFormat="false" ht="16" hidden="false" customHeight="false" outlineLevel="0" collapsed="false">
      <c r="A3252" s="1" t="s">
        <v>5249</v>
      </c>
      <c r="B3252" s="1" t="s">
        <v>1361</v>
      </c>
      <c r="C3252" s="1" t="s">
        <v>4737</v>
      </c>
      <c r="D3252" s="1" t="s">
        <v>4739</v>
      </c>
      <c r="E3252" s="1" t="s">
        <v>7</v>
      </c>
    </row>
    <row r="3253" customFormat="false" ht="16" hidden="false" customHeight="false" outlineLevel="0" collapsed="false">
      <c r="A3253" s="1" t="s">
        <v>5250</v>
      </c>
      <c r="B3253" s="1" t="s">
        <v>1361</v>
      </c>
      <c r="C3253" s="1" t="s">
        <v>4737</v>
      </c>
      <c r="D3253" s="1" t="s">
        <v>4741</v>
      </c>
      <c r="E3253" s="1" t="s">
        <v>7</v>
      </c>
    </row>
    <row r="3254" customFormat="false" ht="16" hidden="false" customHeight="false" outlineLevel="0" collapsed="false">
      <c r="A3254" s="1" t="s">
        <v>5251</v>
      </c>
      <c r="B3254" s="1" t="s">
        <v>1361</v>
      </c>
      <c r="C3254" s="1" t="s">
        <v>4737</v>
      </c>
      <c r="D3254" s="1" t="s">
        <v>4743</v>
      </c>
      <c r="E3254" s="1" t="s">
        <v>7</v>
      </c>
    </row>
    <row r="3255" customFormat="false" ht="16" hidden="false" customHeight="false" outlineLevel="0" collapsed="false">
      <c r="A3255" s="1" t="s">
        <v>5252</v>
      </c>
      <c r="B3255" s="1" t="s">
        <v>1361</v>
      </c>
      <c r="C3255" s="1" t="s">
        <v>4737</v>
      </c>
      <c r="D3255" s="1" t="s">
        <v>4745</v>
      </c>
      <c r="E3255" s="1" t="s">
        <v>7</v>
      </c>
    </row>
    <row r="3256" customFormat="false" ht="16" hidden="false" customHeight="false" outlineLevel="0" collapsed="false">
      <c r="A3256" s="1" t="s">
        <v>5253</v>
      </c>
      <c r="B3256" s="1" t="s">
        <v>1361</v>
      </c>
      <c r="C3256" s="1" t="s">
        <v>4737</v>
      </c>
      <c r="D3256" s="1" t="s">
        <v>770</v>
      </c>
      <c r="E3256" s="1" t="s">
        <v>7</v>
      </c>
    </row>
    <row r="3257" customFormat="false" ht="16" hidden="false" customHeight="false" outlineLevel="0" collapsed="false">
      <c r="A3257" s="1" t="s">
        <v>5254</v>
      </c>
      <c r="B3257" s="1" t="s">
        <v>1373</v>
      </c>
      <c r="C3257" s="1" t="s">
        <v>4737</v>
      </c>
      <c r="D3257" s="1" t="s">
        <v>4739</v>
      </c>
      <c r="E3257" s="1" t="s">
        <v>7</v>
      </c>
    </row>
    <row r="3258" customFormat="false" ht="16" hidden="false" customHeight="false" outlineLevel="0" collapsed="false">
      <c r="A3258" s="1" t="s">
        <v>5255</v>
      </c>
      <c r="B3258" s="1" t="s">
        <v>1373</v>
      </c>
      <c r="C3258" s="1" t="s">
        <v>4737</v>
      </c>
      <c r="D3258" s="1" t="s">
        <v>4741</v>
      </c>
      <c r="E3258" s="1" t="s">
        <v>7</v>
      </c>
    </row>
    <row r="3259" customFormat="false" ht="16" hidden="false" customHeight="false" outlineLevel="0" collapsed="false">
      <c r="A3259" s="1" t="s">
        <v>5256</v>
      </c>
      <c r="B3259" s="1" t="s">
        <v>1373</v>
      </c>
      <c r="C3259" s="1" t="s">
        <v>4737</v>
      </c>
      <c r="D3259" s="1" t="s">
        <v>4743</v>
      </c>
      <c r="E3259" s="1" t="s">
        <v>7</v>
      </c>
    </row>
    <row r="3260" customFormat="false" ht="16" hidden="false" customHeight="false" outlineLevel="0" collapsed="false">
      <c r="A3260" s="1" t="s">
        <v>5257</v>
      </c>
      <c r="B3260" s="1" t="s">
        <v>1373</v>
      </c>
      <c r="C3260" s="1" t="s">
        <v>4737</v>
      </c>
      <c r="D3260" s="1" t="s">
        <v>4745</v>
      </c>
      <c r="E3260" s="1" t="s">
        <v>7</v>
      </c>
    </row>
    <row r="3261" customFormat="false" ht="16" hidden="false" customHeight="false" outlineLevel="0" collapsed="false">
      <c r="A3261" s="1" t="s">
        <v>5258</v>
      </c>
      <c r="B3261" s="1" t="s">
        <v>1373</v>
      </c>
      <c r="C3261" s="1" t="s">
        <v>4737</v>
      </c>
      <c r="D3261" s="1" t="s">
        <v>770</v>
      </c>
      <c r="E3261" s="1" t="s">
        <v>7</v>
      </c>
    </row>
    <row r="3262" customFormat="false" ht="16" hidden="false" customHeight="false" outlineLevel="0" collapsed="false">
      <c r="A3262" s="1" t="s">
        <v>5259</v>
      </c>
      <c r="B3262" s="1" t="s">
        <v>5260</v>
      </c>
      <c r="C3262" s="1" t="s">
        <v>4737</v>
      </c>
      <c r="D3262" s="1" t="s">
        <v>4739</v>
      </c>
      <c r="E3262" s="1" t="s">
        <v>7</v>
      </c>
    </row>
    <row r="3263" customFormat="false" ht="16" hidden="false" customHeight="false" outlineLevel="0" collapsed="false">
      <c r="A3263" s="1" t="s">
        <v>5261</v>
      </c>
      <c r="B3263" s="1" t="s">
        <v>5260</v>
      </c>
      <c r="C3263" s="1" t="s">
        <v>4737</v>
      </c>
      <c r="D3263" s="1" t="s">
        <v>4741</v>
      </c>
      <c r="E3263" s="1" t="s">
        <v>7</v>
      </c>
    </row>
    <row r="3264" customFormat="false" ht="16" hidden="false" customHeight="false" outlineLevel="0" collapsed="false">
      <c r="A3264" s="1" t="s">
        <v>5262</v>
      </c>
      <c r="B3264" s="1" t="s">
        <v>5260</v>
      </c>
      <c r="C3264" s="1" t="s">
        <v>4737</v>
      </c>
      <c r="D3264" s="1" t="s">
        <v>4743</v>
      </c>
      <c r="E3264" s="1" t="s">
        <v>7</v>
      </c>
    </row>
    <row r="3265" customFormat="false" ht="16" hidden="false" customHeight="false" outlineLevel="0" collapsed="false">
      <c r="A3265" s="1" t="s">
        <v>5263</v>
      </c>
      <c r="B3265" s="1" t="s">
        <v>5260</v>
      </c>
      <c r="C3265" s="1" t="s">
        <v>4737</v>
      </c>
      <c r="D3265" s="1" t="s">
        <v>4745</v>
      </c>
      <c r="E3265" s="1" t="s">
        <v>7</v>
      </c>
    </row>
    <row r="3266" customFormat="false" ht="16" hidden="false" customHeight="false" outlineLevel="0" collapsed="false">
      <c r="A3266" s="1" t="s">
        <v>5264</v>
      </c>
      <c r="B3266" s="1" t="s">
        <v>5260</v>
      </c>
      <c r="C3266" s="1" t="s">
        <v>4737</v>
      </c>
      <c r="D3266" s="1" t="s">
        <v>770</v>
      </c>
      <c r="E3266" s="1" t="s">
        <v>7</v>
      </c>
    </row>
    <row r="3267" customFormat="false" ht="16" hidden="false" customHeight="false" outlineLevel="0" collapsed="false">
      <c r="A3267" s="1" t="s">
        <v>5265</v>
      </c>
      <c r="B3267" s="1" t="s">
        <v>5266</v>
      </c>
      <c r="C3267" s="1" t="s">
        <v>4737</v>
      </c>
      <c r="D3267" s="1" t="s">
        <v>770</v>
      </c>
      <c r="E3267" s="1" t="s">
        <v>7</v>
      </c>
    </row>
    <row r="3268" customFormat="false" ht="16" hidden="false" customHeight="false" outlineLevel="0" collapsed="false">
      <c r="A3268" s="1" t="s">
        <v>5267</v>
      </c>
      <c r="B3268" s="1" t="s">
        <v>1389</v>
      </c>
      <c r="C3268" s="1" t="s">
        <v>4737</v>
      </c>
      <c r="D3268" s="1" t="s">
        <v>4745</v>
      </c>
      <c r="E3268" s="1" t="s">
        <v>7</v>
      </c>
    </row>
    <row r="3269" customFormat="false" ht="16" hidden="false" customHeight="false" outlineLevel="0" collapsed="false">
      <c r="A3269" s="1" t="s">
        <v>5268</v>
      </c>
      <c r="B3269" s="1" t="s">
        <v>1391</v>
      </c>
      <c r="C3269" s="1" t="s">
        <v>4737</v>
      </c>
      <c r="D3269" s="1" t="s">
        <v>4739</v>
      </c>
      <c r="E3269" s="1" t="s">
        <v>7</v>
      </c>
    </row>
    <row r="3270" customFormat="false" ht="16" hidden="false" customHeight="false" outlineLevel="0" collapsed="false">
      <c r="A3270" s="1" t="s">
        <v>5269</v>
      </c>
      <c r="B3270" s="1" t="s">
        <v>1391</v>
      </c>
      <c r="C3270" s="1" t="s">
        <v>4737</v>
      </c>
      <c r="D3270" s="1" t="s">
        <v>4741</v>
      </c>
      <c r="E3270" s="1" t="s">
        <v>7</v>
      </c>
    </row>
    <row r="3271" customFormat="false" ht="16" hidden="false" customHeight="false" outlineLevel="0" collapsed="false">
      <c r="A3271" s="1" t="s">
        <v>5270</v>
      </c>
      <c r="B3271" s="1" t="s">
        <v>1391</v>
      </c>
      <c r="C3271" s="1" t="s">
        <v>4737</v>
      </c>
      <c r="D3271" s="1" t="s">
        <v>4743</v>
      </c>
      <c r="E3271" s="1" t="s">
        <v>7</v>
      </c>
    </row>
    <row r="3272" customFormat="false" ht="16" hidden="false" customHeight="false" outlineLevel="0" collapsed="false">
      <c r="A3272" s="1" t="s">
        <v>5271</v>
      </c>
      <c r="B3272" s="1" t="s">
        <v>1391</v>
      </c>
      <c r="C3272" s="1" t="s">
        <v>4737</v>
      </c>
      <c r="D3272" s="1" t="s">
        <v>4745</v>
      </c>
      <c r="E3272" s="1" t="s">
        <v>7</v>
      </c>
    </row>
    <row r="3273" customFormat="false" ht="16" hidden="false" customHeight="false" outlineLevel="0" collapsed="false">
      <c r="A3273" s="1" t="s">
        <v>5272</v>
      </c>
      <c r="B3273" s="1" t="s">
        <v>1391</v>
      </c>
      <c r="C3273" s="1" t="s">
        <v>4737</v>
      </c>
      <c r="D3273" s="1" t="s">
        <v>770</v>
      </c>
      <c r="E3273" s="1" t="s">
        <v>7</v>
      </c>
    </row>
    <row r="3274" customFormat="false" ht="16" hidden="false" customHeight="false" outlineLevel="0" collapsed="false">
      <c r="A3274" s="1" t="s">
        <v>5273</v>
      </c>
      <c r="B3274" s="1" t="s">
        <v>5274</v>
      </c>
      <c r="C3274" s="1" t="s">
        <v>4737</v>
      </c>
      <c r="D3274" s="1" t="s">
        <v>4743</v>
      </c>
      <c r="E3274" s="1" t="s">
        <v>7</v>
      </c>
    </row>
    <row r="3275" customFormat="false" ht="16" hidden="false" customHeight="false" outlineLevel="0" collapsed="false">
      <c r="A3275" s="1" t="s">
        <v>5275</v>
      </c>
      <c r="B3275" s="1" t="s">
        <v>1397</v>
      </c>
      <c r="C3275" s="1" t="s">
        <v>4737</v>
      </c>
      <c r="D3275" s="1" t="s">
        <v>4739</v>
      </c>
      <c r="E3275" s="1" t="s">
        <v>7</v>
      </c>
    </row>
    <row r="3276" customFormat="false" ht="16" hidden="false" customHeight="false" outlineLevel="0" collapsed="false">
      <c r="A3276" s="1" t="s">
        <v>5276</v>
      </c>
      <c r="B3276" s="1" t="s">
        <v>1397</v>
      </c>
      <c r="C3276" s="1" t="s">
        <v>4737</v>
      </c>
      <c r="D3276" s="1" t="s">
        <v>4745</v>
      </c>
      <c r="E3276" s="1" t="s">
        <v>7</v>
      </c>
    </row>
    <row r="3277" customFormat="false" ht="16" hidden="false" customHeight="false" outlineLevel="0" collapsed="false">
      <c r="A3277" s="1" t="s">
        <v>5277</v>
      </c>
      <c r="B3277" s="1" t="s">
        <v>1401</v>
      </c>
      <c r="C3277" s="1" t="s">
        <v>4737</v>
      </c>
      <c r="D3277" s="1" t="s">
        <v>4739</v>
      </c>
      <c r="E3277" s="1" t="s">
        <v>7</v>
      </c>
    </row>
    <row r="3278" customFormat="false" ht="16" hidden="false" customHeight="false" outlineLevel="0" collapsed="false">
      <c r="A3278" s="1" t="s">
        <v>5278</v>
      </c>
      <c r="B3278" s="1" t="s">
        <v>1401</v>
      </c>
      <c r="C3278" s="1" t="s">
        <v>4737</v>
      </c>
      <c r="D3278" s="1" t="s">
        <v>4745</v>
      </c>
      <c r="E3278" s="1" t="s">
        <v>7</v>
      </c>
    </row>
    <row r="3279" customFormat="false" ht="16" hidden="false" customHeight="false" outlineLevel="0" collapsed="false">
      <c r="A3279" s="1" t="s">
        <v>5279</v>
      </c>
      <c r="B3279" s="1" t="s">
        <v>5280</v>
      </c>
      <c r="C3279" s="1" t="s">
        <v>4737</v>
      </c>
      <c r="D3279" s="1" t="s">
        <v>4739</v>
      </c>
      <c r="E3279" s="1" t="s">
        <v>7</v>
      </c>
    </row>
    <row r="3280" customFormat="false" ht="16" hidden="false" customHeight="false" outlineLevel="0" collapsed="false">
      <c r="A3280" s="1" t="s">
        <v>5281</v>
      </c>
      <c r="B3280" s="1" t="s">
        <v>5280</v>
      </c>
      <c r="C3280" s="1" t="s">
        <v>4737</v>
      </c>
      <c r="D3280" s="1" t="s">
        <v>4741</v>
      </c>
      <c r="E3280" s="1" t="s">
        <v>7</v>
      </c>
    </row>
    <row r="3281" customFormat="false" ht="16" hidden="false" customHeight="false" outlineLevel="0" collapsed="false">
      <c r="A3281" s="1" t="s">
        <v>5282</v>
      </c>
      <c r="B3281" s="1" t="s">
        <v>5280</v>
      </c>
      <c r="C3281" s="1" t="s">
        <v>4737</v>
      </c>
      <c r="D3281" s="1" t="s">
        <v>4743</v>
      </c>
      <c r="E3281" s="1" t="s">
        <v>7</v>
      </c>
    </row>
    <row r="3282" customFormat="false" ht="16" hidden="false" customHeight="false" outlineLevel="0" collapsed="false">
      <c r="A3282" s="1" t="s">
        <v>5283</v>
      </c>
      <c r="B3282" s="1" t="s">
        <v>5280</v>
      </c>
      <c r="C3282" s="1" t="s">
        <v>4737</v>
      </c>
      <c r="D3282" s="1" t="s">
        <v>4745</v>
      </c>
      <c r="E3282" s="1" t="s">
        <v>7</v>
      </c>
    </row>
    <row r="3283" customFormat="false" ht="16" hidden="false" customHeight="false" outlineLevel="0" collapsed="false">
      <c r="A3283" s="1" t="s">
        <v>5284</v>
      </c>
      <c r="B3283" s="1" t="s">
        <v>5280</v>
      </c>
      <c r="C3283" s="1" t="s">
        <v>4737</v>
      </c>
      <c r="D3283" s="1" t="s">
        <v>770</v>
      </c>
      <c r="E3283" s="1" t="s">
        <v>7</v>
      </c>
    </row>
    <row r="3284" customFormat="false" ht="16" hidden="false" customHeight="false" outlineLevel="0" collapsed="false">
      <c r="A3284" s="1" t="s">
        <v>5285</v>
      </c>
      <c r="B3284" s="1" t="s">
        <v>5286</v>
      </c>
      <c r="C3284" s="1" t="s">
        <v>4737</v>
      </c>
      <c r="D3284" s="1" t="s">
        <v>770</v>
      </c>
      <c r="E3284" s="1" t="s">
        <v>7</v>
      </c>
    </row>
    <row r="3285" customFormat="false" ht="16" hidden="false" customHeight="false" outlineLevel="0" collapsed="false">
      <c r="A3285" s="1" t="s">
        <v>5287</v>
      </c>
      <c r="B3285" s="1" t="s">
        <v>1409</v>
      </c>
      <c r="C3285" s="1" t="s">
        <v>4737</v>
      </c>
      <c r="D3285" s="1" t="s">
        <v>4739</v>
      </c>
      <c r="E3285" s="1" t="s">
        <v>7</v>
      </c>
    </row>
    <row r="3286" customFormat="false" ht="16" hidden="false" customHeight="false" outlineLevel="0" collapsed="false">
      <c r="A3286" s="1" t="s">
        <v>5288</v>
      </c>
      <c r="B3286" s="1" t="s">
        <v>1409</v>
      </c>
      <c r="C3286" s="1" t="s">
        <v>4737</v>
      </c>
      <c r="D3286" s="1" t="s">
        <v>4741</v>
      </c>
      <c r="E3286" s="1" t="s">
        <v>7</v>
      </c>
    </row>
    <row r="3287" customFormat="false" ht="16" hidden="false" customHeight="false" outlineLevel="0" collapsed="false">
      <c r="A3287" s="1" t="s">
        <v>5289</v>
      </c>
      <c r="B3287" s="1" t="s">
        <v>1409</v>
      </c>
      <c r="C3287" s="1" t="s">
        <v>4737</v>
      </c>
      <c r="D3287" s="1" t="s">
        <v>4743</v>
      </c>
      <c r="E3287" s="1" t="s">
        <v>7</v>
      </c>
    </row>
    <row r="3288" customFormat="false" ht="16" hidden="false" customHeight="false" outlineLevel="0" collapsed="false">
      <c r="A3288" s="1" t="s">
        <v>5290</v>
      </c>
      <c r="B3288" s="1" t="s">
        <v>1409</v>
      </c>
      <c r="C3288" s="1" t="s">
        <v>4737</v>
      </c>
      <c r="D3288" s="1" t="s">
        <v>4745</v>
      </c>
      <c r="E3288" s="1" t="s">
        <v>7</v>
      </c>
    </row>
    <row r="3289" customFormat="false" ht="16" hidden="false" customHeight="false" outlineLevel="0" collapsed="false">
      <c r="A3289" s="1" t="s">
        <v>5291</v>
      </c>
      <c r="B3289" s="1" t="s">
        <v>1409</v>
      </c>
      <c r="C3289" s="1" t="s">
        <v>4737</v>
      </c>
      <c r="D3289" s="1" t="s">
        <v>770</v>
      </c>
      <c r="E3289" s="1" t="s">
        <v>7</v>
      </c>
    </row>
    <row r="3290" customFormat="false" ht="16" hidden="false" customHeight="false" outlineLevel="0" collapsed="false">
      <c r="A3290" s="1" t="s">
        <v>5292</v>
      </c>
      <c r="B3290" s="1" t="s">
        <v>1415</v>
      </c>
      <c r="C3290" s="1" t="s">
        <v>4737</v>
      </c>
      <c r="D3290" s="1" t="s">
        <v>4739</v>
      </c>
      <c r="E3290" s="1" t="s">
        <v>7</v>
      </c>
    </row>
    <row r="3291" customFormat="false" ht="16" hidden="false" customHeight="false" outlineLevel="0" collapsed="false">
      <c r="A3291" s="1" t="s">
        <v>5293</v>
      </c>
      <c r="B3291" s="1" t="s">
        <v>1415</v>
      </c>
      <c r="C3291" s="1" t="s">
        <v>4737</v>
      </c>
      <c r="D3291" s="1" t="s">
        <v>4741</v>
      </c>
      <c r="E3291" s="1" t="s">
        <v>7</v>
      </c>
    </row>
    <row r="3292" customFormat="false" ht="16" hidden="false" customHeight="false" outlineLevel="0" collapsed="false">
      <c r="A3292" s="1" t="s">
        <v>5294</v>
      </c>
      <c r="B3292" s="1" t="s">
        <v>1415</v>
      </c>
      <c r="C3292" s="1" t="s">
        <v>4737</v>
      </c>
      <c r="D3292" s="1" t="s">
        <v>4743</v>
      </c>
      <c r="E3292" s="1" t="s">
        <v>7</v>
      </c>
    </row>
    <row r="3293" customFormat="false" ht="16" hidden="false" customHeight="false" outlineLevel="0" collapsed="false">
      <c r="A3293" s="1" t="s">
        <v>5295</v>
      </c>
      <c r="B3293" s="1" t="s">
        <v>1415</v>
      </c>
      <c r="C3293" s="1" t="s">
        <v>4737</v>
      </c>
      <c r="D3293" s="1" t="s">
        <v>4745</v>
      </c>
      <c r="E3293" s="1" t="s">
        <v>7</v>
      </c>
    </row>
    <row r="3294" customFormat="false" ht="16" hidden="false" customHeight="false" outlineLevel="0" collapsed="false">
      <c r="A3294" s="1" t="s">
        <v>5296</v>
      </c>
      <c r="B3294" s="1" t="s">
        <v>1415</v>
      </c>
      <c r="C3294" s="1" t="s">
        <v>4737</v>
      </c>
      <c r="D3294" s="1" t="s">
        <v>770</v>
      </c>
      <c r="E3294" s="1" t="s">
        <v>7</v>
      </c>
    </row>
    <row r="3295" customFormat="false" ht="16" hidden="false" customHeight="false" outlineLevel="0" collapsed="false">
      <c r="A3295" s="1" t="s">
        <v>5297</v>
      </c>
      <c r="B3295" s="1" t="s">
        <v>5298</v>
      </c>
      <c r="C3295" s="1" t="s">
        <v>4737</v>
      </c>
      <c r="D3295" s="1" t="s">
        <v>4739</v>
      </c>
      <c r="E3295" s="1" t="s">
        <v>7</v>
      </c>
    </row>
    <row r="3296" customFormat="false" ht="16" hidden="false" customHeight="false" outlineLevel="0" collapsed="false">
      <c r="A3296" s="1" t="s">
        <v>5299</v>
      </c>
      <c r="B3296" s="1" t="s">
        <v>5298</v>
      </c>
      <c r="C3296" s="1" t="s">
        <v>4737</v>
      </c>
      <c r="D3296" s="1" t="s">
        <v>4741</v>
      </c>
      <c r="E3296" s="1" t="s">
        <v>7</v>
      </c>
    </row>
    <row r="3297" customFormat="false" ht="16" hidden="false" customHeight="false" outlineLevel="0" collapsed="false">
      <c r="A3297" s="1" t="s">
        <v>5300</v>
      </c>
      <c r="B3297" s="1" t="s">
        <v>5298</v>
      </c>
      <c r="C3297" s="1" t="s">
        <v>4737</v>
      </c>
      <c r="D3297" s="1" t="s">
        <v>4743</v>
      </c>
      <c r="E3297" s="1" t="s">
        <v>7</v>
      </c>
    </row>
    <row r="3298" customFormat="false" ht="16" hidden="false" customHeight="false" outlineLevel="0" collapsed="false">
      <c r="A3298" s="1" t="s">
        <v>5301</v>
      </c>
      <c r="B3298" s="1" t="s">
        <v>5298</v>
      </c>
      <c r="C3298" s="1" t="s">
        <v>4737</v>
      </c>
      <c r="D3298" s="1" t="s">
        <v>4745</v>
      </c>
      <c r="E3298" s="1" t="s">
        <v>7</v>
      </c>
    </row>
    <row r="3299" customFormat="false" ht="16" hidden="false" customHeight="false" outlineLevel="0" collapsed="false">
      <c r="A3299" s="1" t="s">
        <v>5302</v>
      </c>
      <c r="B3299" s="1" t="s">
        <v>5298</v>
      </c>
      <c r="C3299" s="1" t="s">
        <v>4737</v>
      </c>
      <c r="D3299" s="1" t="s">
        <v>770</v>
      </c>
      <c r="E3299" s="1" t="s">
        <v>7</v>
      </c>
    </row>
    <row r="3300" customFormat="false" ht="16" hidden="false" customHeight="false" outlineLevel="0" collapsed="false">
      <c r="A3300" s="1" t="s">
        <v>5303</v>
      </c>
      <c r="B3300" s="1" t="s">
        <v>1423</v>
      </c>
      <c r="C3300" s="1" t="s">
        <v>4737</v>
      </c>
      <c r="D3300" s="1" t="s">
        <v>4739</v>
      </c>
      <c r="E3300" s="1" t="s">
        <v>7</v>
      </c>
    </row>
    <row r="3301" customFormat="false" ht="16" hidden="false" customHeight="false" outlineLevel="0" collapsed="false">
      <c r="A3301" s="1" t="s">
        <v>5304</v>
      </c>
      <c r="B3301" s="1" t="s">
        <v>1423</v>
      </c>
      <c r="C3301" s="1" t="s">
        <v>4737</v>
      </c>
      <c r="D3301" s="1" t="s">
        <v>4745</v>
      </c>
      <c r="E3301" s="1" t="s">
        <v>7</v>
      </c>
    </row>
    <row r="3302" customFormat="false" ht="16" hidden="false" customHeight="false" outlineLevel="0" collapsed="false">
      <c r="A3302" s="1" t="s">
        <v>5305</v>
      </c>
      <c r="B3302" s="1" t="s">
        <v>1427</v>
      </c>
      <c r="C3302" s="1" t="s">
        <v>4737</v>
      </c>
      <c r="D3302" s="1" t="s">
        <v>4739</v>
      </c>
      <c r="E3302" s="1" t="s">
        <v>7</v>
      </c>
    </row>
    <row r="3303" customFormat="false" ht="16" hidden="false" customHeight="false" outlineLevel="0" collapsed="false">
      <c r="A3303" s="1" t="s">
        <v>5306</v>
      </c>
      <c r="B3303" s="1" t="s">
        <v>1427</v>
      </c>
      <c r="C3303" s="1" t="s">
        <v>4737</v>
      </c>
      <c r="D3303" s="1" t="s">
        <v>4741</v>
      </c>
      <c r="E3303" s="1" t="s">
        <v>7</v>
      </c>
    </row>
    <row r="3304" customFormat="false" ht="16" hidden="false" customHeight="false" outlineLevel="0" collapsed="false">
      <c r="A3304" s="1" t="s">
        <v>5307</v>
      </c>
      <c r="B3304" s="1" t="s">
        <v>1427</v>
      </c>
      <c r="C3304" s="1" t="s">
        <v>4737</v>
      </c>
      <c r="D3304" s="1" t="s">
        <v>4743</v>
      </c>
      <c r="E3304" s="1" t="s">
        <v>7</v>
      </c>
    </row>
    <row r="3305" customFormat="false" ht="16" hidden="false" customHeight="false" outlineLevel="0" collapsed="false">
      <c r="A3305" s="1" t="s">
        <v>5308</v>
      </c>
      <c r="B3305" s="1" t="s">
        <v>1427</v>
      </c>
      <c r="C3305" s="1" t="s">
        <v>4737</v>
      </c>
      <c r="D3305" s="1" t="s">
        <v>4745</v>
      </c>
      <c r="E3305" s="1" t="s">
        <v>7</v>
      </c>
    </row>
    <row r="3306" customFormat="false" ht="16" hidden="false" customHeight="false" outlineLevel="0" collapsed="false">
      <c r="A3306" s="1" t="s">
        <v>5309</v>
      </c>
      <c r="B3306" s="1" t="s">
        <v>1427</v>
      </c>
      <c r="C3306" s="1" t="s">
        <v>4737</v>
      </c>
      <c r="D3306" s="1" t="s">
        <v>770</v>
      </c>
      <c r="E3306" s="1" t="s">
        <v>7</v>
      </c>
    </row>
    <row r="3307" customFormat="false" ht="16" hidden="false" customHeight="false" outlineLevel="0" collapsed="false">
      <c r="A3307" s="1" t="s">
        <v>5310</v>
      </c>
      <c r="B3307" s="1" t="s">
        <v>5311</v>
      </c>
      <c r="C3307" s="1" t="s">
        <v>4737</v>
      </c>
      <c r="D3307" s="1" t="s">
        <v>770</v>
      </c>
      <c r="E3307" s="1" t="s">
        <v>7</v>
      </c>
    </row>
    <row r="3308" customFormat="false" ht="16" hidden="false" customHeight="false" outlineLevel="0" collapsed="false">
      <c r="A3308" s="1" t="s">
        <v>5312</v>
      </c>
      <c r="B3308" s="1" t="s">
        <v>5313</v>
      </c>
      <c r="C3308" s="1" t="s">
        <v>4737</v>
      </c>
      <c r="D3308" s="1" t="s">
        <v>770</v>
      </c>
      <c r="E3308" s="1" t="s">
        <v>7</v>
      </c>
    </row>
    <row r="3309" customFormat="false" ht="16" hidden="false" customHeight="false" outlineLevel="0" collapsed="false">
      <c r="A3309" s="1" t="s">
        <v>5314</v>
      </c>
      <c r="B3309" s="1" t="s">
        <v>1440</v>
      </c>
      <c r="C3309" s="1" t="s">
        <v>4737</v>
      </c>
      <c r="D3309" s="1" t="s">
        <v>4739</v>
      </c>
      <c r="E3309" s="1" t="s">
        <v>7</v>
      </c>
    </row>
    <row r="3310" customFormat="false" ht="16" hidden="false" customHeight="false" outlineLevel="0" collapsed="false">
      <c r="A3310" s="1" t="s">
        <v>5315</v>
      </c>
      <c r="B3310" s="1" t="s">
        <v>1440</v>
      </c>
      <c r="C3310" s="1" t="s">
        <v>4737</v>
      </c>
      <c r="D3310" s="1" t="s">
        <v>4741</v>
      </c>
      <c r="E3310" s="1" t="s">
        <v>7</v>
      </c>
    </row>
    <row r="3311" customFormat="false" ht="16" hidden="false" customHeight="false" outlineLevel="0" collapsed="false">
      <c r="A3311" s="1" t="s">
        <v>5316</v>
      </c>
      <c r="B3311" s="1" t="s">
        <v>1440</v>
      </c>
      <c r="C3311" s="1" t="s">
        <v>4737</v>
      </c>
      <c r="D3311" s="1" t="s">
        <v>4743</v>
      </c>
      <c r="E3311" s="1" t="s">
        <v>7</v>
      </c>
    </row>
    <row r="3312" customFormat="false" ht="16" hidden="false" customHeight="false" outlineLevel="0" collapsed="false">
      <c r="A3312" s="1" t="s">
        <v>5317</v>
      </c>
      <c r="B3312" s="1" t="s">
        <v>1440</v>
      </c>
      <c r="C3312" s="1" t="s">
        <v>4737</v>
      </c>
      <c r="D3312" s="1" t="s">
        <v>4745</v>
      </c>
      <c r="E3312" s="1" t="s">
        <v>7</v>
      </c>
    </row>
    <row r="3313" customFormat="false" ht="16" hidden="false" customHeight="false" outlineLevel="0" collapsed="false">
      <c r="A3313" s="1" t="s">
        <v>5318</v>
      </c>
      <c r="B3313" s="1" t="s">
        <v>1440</v>
      </c>
      <c r="C3313" s="1" t="s">
        <v>4737</v>
      </c>
      <c r="D3313" s="1" t="s">
        <v>770</v>
      </c>
      <c r="E3313" s="1" t="s">
        <v>7</v>
      </c>
    </row>
    <row r="3314" customFormat="false" ht="16" hidden="false" customHeight="false" outlineLevel="0" collapsed="false">
      <c r="A3314" s="1" t="s">
        <v>5319</v>
      </c>
      <c r="B3314" s="1" t="s">
        <v>1446</v>
      </c>
      <c r="C3314" s="1" t="s">
        <v>4737</v>
      </c>
      <c r="D3314" s="1" t="s">
        <v>770</v>
      </c>
      <c r="E3314" s="1" t="s">
        <v>7</v>
      </c>
    </row>
    <row r="3315" customFormat="false" ht="16" hidden="false" customHeight="false" outlineLevel="0" collapsed="false">
      <c r="A3315" s="1" t="s">
        <v>5320</v>
      </c>
      <c r="B3315" s="1" t="s">
        <v>1456</v>
      </c>
      <c r="C3315" s="1" t="s">
        <v>4737</v>
      </c>
      <c r="D3315" s="1" t="s">
        <v>4739</v>
      </c>
      <c r="E3315" s="1" t="s">
        <v>7</v>
      </c>
    </row>
    <row r="3316" customFormat="false" ht="16" hidden="false" customHeight="false" outlineLevel="0" collapsed="false">
      <c r="A3316" s="1" t="s">
        <v>5321</v>
      </c>
      <c r="B3316" s="1" t="s">
        <v>1456</v>
      </c>
      <c r="C3316" s="1" t="s">
        <v>4737</v>
      </c>
      <c r="D3316" s="1" t="s">
        <v>4741</v>
      </c>
      <c r="E3316" s="1" t="s">
        <v>7</v>
      </c>
    </row>
    <row r="3317" customFormat="false" ht="16" hidden="false" customHeight="false" outlineLevel="0" collapsed="false">
      <c r="A3317" s="1" t="s">
        <v>5322</v>
      </c>
      <c r="B3317" s="1" t="s">
        <v>1456</v>
      </c>
      <c r="C3317" s="1" t="s">
        <v>4737</v>
      </c>
      <c r="D3317" s="1" t="s">
        <v>4743</v>
      </c>
      <c r="E3317" s="1" t="s">
        <v>7</v>
      </c>
    </row>
    <row r="3318" customFormat="false" ht="16" hidden="false" customHeight="false" outlineLevel="0" collapsed="false">
      <c r="A3318" s="1" t="s">
        <v>5323</v>
      </c>
      <c r="B3318" s="1" t="s">
        <v>1456</v>
      </c>
      <c r="C3318" s="1" t="s">
        <v>4737</v>
      </c>
      <c r="D3318" s="1" t="s">
        <v>4745</v>
      </c>
      <c r="E3318" s="1" t="s">
        <v>7</v>
      </c>
    </row>
    <row r="3319" customFormat="false" ht="16" hidden="false" customHeight="false" outlineLevel="0" collapsed="false">
      <c r="A3319" s="1" t="s">
        <v>5324</v>
      </c>
      <c r="B3319" s="1" t="s">
        <v>1456</v>
      </c>
      <c r="C3319" s="1" t="s">
        <v>4737</v>
      </c>
      <c r="D3319" s="1" t="s">
        <v>770</v>
      </c>
      <c r="E3319" s="1" t="s">
        <v>7</v>
      </c>
    </row>
    <row r="3320" customFormat="false" ht="16" hidden="false" customHeight="false" outlineLevel="0" collapsed="false">
      <c r="A3320" s="1" t="s">
        <v>5325</v>
      </c>
      <c r="B3320" s="1" t="s">
        <v>5326</v>
      </c>
      <c r="C3320" s="1" t="s">
        <v>4737</v>
      </c>
      <c r="D3320" s="1" t="s">
        <v>770</v>
      </c>
      <c r="E3320" s="1" t="s">
        <v>7</v>
      </c>
    </row>
    <row r="3321" customFormat="false" ht="16" hidden="false" customHeight="false" outlineLevel="0" collapsed="false">
      <c r="A3321" s="1" t="s">
        <v>5327</v>
      </c>
      <c r="B3321" s="1" t="s">
        <v>5328</v>
      </c>
      <c r="C3321" s="1" t="s">
        <v>4737</v>
      </c>
      <c r="D3321" s="1" t="s">
        <v>4743</v>
      </c>
      <c r="E3321" s="1" t="s">
        <v>7</v>
      </c>
    </row>
    <row r="3322" customFormat="false" ht="16" hidden="false" customHeight="false" outlineLevel="0" collapsed="false">
      <c r="A3322" s="1" t="s">
        <v>5329</v>
      </c>
      <c r="B3322" s="1" t="s">
        <v>1462</v>
      </c>
      <c r="C3322" s="1" t="s">
        <v>4737</v>
      </c>
      <c r="D3322" s="1" t="s">
        <v>4739</v>
      </c>
      <c r="E3322" s="1" t="s">
        <v>7</v>
      </c>
    </row>
    <row r="3323" customFormat="false" ht="16" hidden="false" customHeight="false" outlineLevel="0" collapsed="false">
      <c r="A3323" s="1" t="s">
        <v>5330</v>
      </c>
      <c r="B3323" s="1" t="s">
        <v>1462</v>
      </c>
      <c r="C3323" s="1" t="s">
        <v>4737</v>
      </c>
      <c r="D3323" s="1" t="s">
        <v>4741</v>
      </c>
      <c r="E3323" s="1" t="s">
        <v>7</v>
      </c>
    </row>
    <row r="3324" customFormat="false" ht="16" hidden="false" customHeight="false" outlineLevel="0" collapsed="false">
      <c r="A3324" s="1" t="s">
        <v>5331</v>
      </c>
      <c r="B3324" s="1" t="s">
        <v>1462</v>
      </c>
      <c r="C3324" s="1" t="s">
        <v>4737</v>
      </c>
      <c r="D3324" s="1" t="s">
        <v>4743</v>
      </c>
      <c r="E3324" s="1" t="s">
        <v>7</v>
      </c>
    </row>
    <row r="3325" customFormat="false" ht="16" hidden="false" customHeight="false" outlineLevel="0" collapsed="false">
      <c r="A3325" s="1" t="s">
        <v>5332</v>
      </c>
      <c r="B3325" s="1" t="s">
        <v>1462</v>
      </c>
      <c r="C3325" s="1" t="s">
        <v>4737</v>
      </c>
      <c r="D3325" s="1" t="s">
        <v>4745</v>
      </c>
      <c r="E3325" s="1" t="s">
        <v>7</v>
      </c>
    </row>
    <row r="3326" customFormat="false" ht="16" hidden="false" customHeight="false" outlineLevel="0" collapsed="false">
      <c r="A3326" s="1" t="s">
        <v>5333</v>
      </c>
      <c r="B3326" s="1" t="s">
        <v>1462</v>
      </c>
      <c r="C3326" s="1" t="s">
        <v>4737</v>
      </c>
      <c r="D3326" s="1" t="s">
        <v>770</v>
      </c>
      <c r="E3326" s="1" t="s">
        <v>7</v>
      </c>
    </row>
    <row r="3327" customFormat="false" ht="16" hidden="false" customHeight="false" outlineLevel="0" collapsed="false">
      <c r="A3327" s="1" t="s">
        <v>5334</v>
      </c>
      <c r="B3327" s="1" t="s">
        <v>5335</v>
      </c>
      <c r="C3327" s="1" t="s">
        <v>4737</v>
      </c>
      <c r="D3327" s="1" t="s">
        <v>4743</v>
      </c>
      <c r="E3327" s="1" t="s">
        <v>7</v>
      </c>
    </row>
    <row r="3328" customFormat="false" ht="16" hidden="false" customHeight="false" outlineLevel="0" collapsed="false">
      <c r="A3328" s="1" t="s">
        <v>5336</v>
      </c>
      <c r="B3328" s="1" t="s">
        <v>5337</v>
      </c>
      <c r="C3328" s="1" t="s">
        <v>4737</v>
      </c>
      <c r="D3328" s="1" t="s">
        <v>4743</v>
      </c>
      <c r="E3328" s="1" t="s">
        <v>7</v>
      </c>
    </row>
    <row r="3329" customFormat="false" ht="16" hidden="false" customHeight="false" outlineLevel="0" collapsed="false">
      <c r="A3329" s="1" t="s">
        <v>5338</v>
      </c>
      <c r="B3329" s="1" t="s">
        <v>5339</v>
      </c>
      <c r="C3329" s="1" t="s">
        <v>4737</v>
      </c>
      <c r="D3329" s="1" t="s">
        <v>4739</v>
      </c>
      <c r="E3329" s="1" t="s">
        <v>7</v>
      </c>
    </row>
    <row r="3330" customFormat="false" ht="16" hidden="false" customHeight="false" outlineLevel="0" collapsed="false">
      <c r="A3330" s="1" t="s">
        <v>5340</v>
      </c>
      <c r="B3330" s="1" t="s">
        <v>5339</v>
      </c>
      <c r="C3330" s="1" t="s">
        <v>4737</v>
      </c>
      <c r="D3330" s="1" t="s">
        <v>4741</v>
      </c>
      <c r="E3330" s="1" t="s">
        <v>7</v>
      </c>
    </row>
    <row r="3331" customFormat="false" ht="16" hidden="false" customHeight="false" outlineLevel="0" collapsed="false">
      <c r="A3331" s="1" t="s">
        <v>5341</v>
      </c>
      <c r="B3331" s="1" t="s">
        <v>5339</v>
      </c>
      <c r="C3331" s="1" t="s">
        <v>4737</v>
      </c>
      <c r="D3331" s="1" t="s">
        <v>4743</v>
      </c>
      <c r="E3331" s="1" t="s">
        <v>7</v>
      </c>
    </row>
    <row r="3332" customFormat="false" ht="16" hidden="false" customHeight="false" outlineLevel="0" collapsed="false">
      <c r="A3332" s="1" t="s">
        <v>5342</v>
      </c>
      <c r="B3332" s="1" t="s">
        <v>5339</v>
      </c>
      <c r="C3332" s="1" t="s">
        <v>4737</v>
      </c>
      <c r="D3332" s="1" t="s">
        <v>4745</v>
      </c>
      <c r="E3332" s="1" t="s">
        <v>7</v>
      </c>
    </row>
    <row r="3333" customFormat="false" ht="16" hidden="false" customHeight="false" outlineLevel="0" collapsed="false">
      <c r="A3333" s="1" t="s">
        <v>5343</v>
      </c>
      <c r="B3333" s="1" t="s">
        <v>5339</v>
      </c>
      <c r="C3333" s="1" t="s">
        <v>4737</v>
      </c>
      <c r="D3333" s="1" t="s">
        <v>770</v>
      </c>
      <c r="E3333" s="1" t="s">
        <v>7</v>
      </c>
    </row>
    <row r="3334" customFormat="false" ht="16" hidden="false" customHeight="false" outlineLevel="0" collapsed="false">
      <c r="A3334" s="1" t="s">
        <v>5344</v>
      </c>
      <c r="B3334" s="1" t="s">
        <v>5345</v>
      </c>
      <c r="C3334" s="1" t="s">
        <v>4737</v>
      </c>
      <c r="D3334" s="1" t="s">
        <v>4739</v>
      </c>
      <c r="E3334" s="1" t="s">
        <v>7</v>
      </c>
    </row>
    <row r="3335" customFormat="false" ht="16" hidden="false" customHeight="false" outlineLevel="0" collapsed="false">
      <c r="A3335" s="1" t="s">
        <v>5346</v>
      </c>
      <c r="B3335" s="1" t="s">
        <v>5345</v>
      </c>
      <c r="C3335" s="1" t="s">
        <v>4737</v>
      </c>
      <c r="D3335" s="1" t="s">
        <v>4741</v>
      </c>
      <c r="E3335" s="1" t="s">
        <v>7</v>
      </c>
    </row>
    <row r="3336" customFormat="false" ht="16" hidden="false" customHeight="false" outlineLevel="0" collapsed="false">
      <c r="A3336" s="1" t="s">
        <v>5347</v>
      </c>
      <c r="B3336" s="1" t="s">
        <v>5345</v>
      </c>
      <c r="C3336" s="1" t="s">
        <v>4737</v>
      </c>
      <c r="D3336" s="1" t="s">
        <v>4743</v>
      </c>
      <c r="E3336" s="1" t="s">
        <v>7</v>
      </c>
    </row>
    <row r="3337" customFormat="false" ht="16" hidden="false" customHeight="false" outlineLevel="0" collapsed="false">
      <c r="A3337" s="1" t="s">
        <v>5348</v>
      </c>
      <c r="B3337" s="1" t="s">
        <v>5345</v>
      </c>
      <c r="C3337" s="1" t="s">
        <v>4737</v>
      </c>
      <c r="D3337" s="1" t="s">
        <v>4745</v>
      </c>
      <c r="E3337" s="1" t="s">
        <v>7</v>
      </c>
    </row>
    <row r="3338" customFormat="false" ht="16" hidden="false" customHeight="false" outlineLevel="0" collapsed="false">
      <c r="A3338" s="1" t="s">
        <v>5349</v>
      </c>
      <c r="B3338" s="1" t="s">
        <v>5345</v>
      </c>
      <c r="C3338" s="1" t="s">
        <v>4737</v>
      </c>
      <c r="D3338" s="1" t="s">
        <v>770</v>
      </c>
      <c r="E3338" s="1" t="s">
        <v>7</v>
      </c>
    </row>
    <row r="3339" customFormat="false" ht="16" hidden="false" customHeight="false" outlineLevel="0" collapsed="false">
      <c r="A3339" s="1" t="s">
        <v>5350</v>
      </c>
      <c r="B3339" s="1" t="s">
        <v>5351</v>
      </c>
      <c r="C3339" s="1" t="s">
        <v>4737</v>
      </c>
      <c r="D3339" s="1" t="s">
        <v>770</v>
      </c>
      <c r="E3339" s="1" t="s">
        <v>7</v>
      </c>
    </row>
    <row r="3340" customFormat="false" ht="16" hidden="false" customHeight="false" outlineLevel="0" collapsed="false">
      <c r="A3340" s="1" t="s">
        <v>5352</v>
      </c>
      <c r="B3340" s="1" t="s">
        <v>1468</v>
      </c>
      <c r="C3340" s="1" t="s">
        <v>4737</v>
      </c>
      <c r="D3340" s="1" t="s">
        <v>4739</v>
      </c>
      <c r="E3340" s="1" t="s">
        <v>7</v>
      </c>
    </row>
    <row r="3341" customFormat="false" ht="16" hidden="false" customHeight="false" outlineLevel="0" collapsed="false">
      <c r="A3341" s="1" t="s">
        <v>5353</v>
      </c>
      <c r="B3341" s="1" t="s">
        <v>1468</v>
      </c>
      <c r="C3341" s="1" t="s">
        <v>4737</v>
      </c>
      <c r="D3341" s="1" t="s">
        <v>770</v>
      </c>
      <c r="E3341" s="1" t="s">
        <v>7</v>
      </c>
    </row>
    <row r="3342" customFormat="false" ht="16" hidden="false" customHeight="false" outlineLevel="0" collapsed="false">
      <c r="A3342" s="1" t="s">
        <v>5354</v>
      </c>
      <c r="B3342" s="1" t="s">
        <v>1470</v>
      </c>
      <c r="C3342" s="1" t="s">
        <v>4737</v>
      </c>
      <c r="D3342" s="1" t="s">
        <v>770</v>
      </c>
      <c r="E3342" s="1" t="s">
        <v>7</v>
      </c>
    </row>
    <row r="3343" customFormat="false" ht="16" hidden="false" customHeight="false" outlineLevel="0" collapsed="false">
      <c r="A3343" s="1" t="s">
        <v>5355</v>
      </c>
      <c r="B3343" s="1" t="s">
        <v>1496</v>
      </c>
      <c r="C3343" s="1" t="s">
        <v>4737</v>
      </c>
      <c r="D3343" s="1" t="s">
        <v>4739</v>
      </c>
      <c r="E3343" s="1" t="s">
        <v>7</v>
      </c>
    </row>
    <row r="3344" customFormat="false" ht="16" hidden="false" customHeight="false" outlineLevel="0" collapsed="false">
      <c r="A3344" s="1" t="s">
        <v>5356</v>
      </c>
      <c r="B3344" s="1" t="s">
        <v>1496</v>
      </c>
      <c r="C3344" s="1" t="s">
        <v>4737</v>
      </c>
      <c r="D3344" s="1" t="s">
        <v>4741</v>
      </c>
      <c r="E3344" s="1" t="s">
        <v>7</v>
      </c>
    </row>
    <row r="3345" customFormat="false" ht="16" hidden="false" customHeight="false" outlineLevel="0" collapsed="false">
      <c r="A3345" s="1" t="s">
        <v>5357</v>
      </c>
      <c r="B3345" s="1" t="s">
        <v>1496</v>
      </c>
      <c r="C3345" s="1" t="s">
        <v>4737</v>
      </c>
      <c r="D3345" s="1" t="s">
        <v>4743</v>
      </c>
      <c r="E3345" s="1" t="s">
        <v>7</v>
      </c>
    </row>
    <row r="3346" customFormat="false" ht="16" hidden="false" customHeight="false" outlineLevel="0" collapsed="false">
      <c r="A3346" s="1" t="s">
        <v>5358</v>
      </c>
      <c r="B3346" s="1" t="s">
        <v>1496</v>
      </c>
      <c r="C3346" s="1" t="s">
        <v>4737</v>
      </c>
      <c r="D3346" s="1" t="s">
        <v>4745</v>
      </c>
      <c r="E3346" s="1" t="s">
        <v>7</v>
      </c>
    </row>
    <row r="3347" customFormat="false" ht="16" hidden="false" customHeight="false" outlineLevel="0" collapsed="false">
      <c r="A3347" s="1" t="s">
        <v>5359</v>
      </c>
      <c r="B3347" s="1" t="s">
        <v>1496</v>
      </c>
      <c r="C3347" s="1" t="s">
        <v>4737</v>
      </c>
      <c r="D3347" s="1" t="s">
        <v>770</v>
      </c>
      <c r="E3347" s="1" t="s">
        <v>7</v>
      </c>
    </row>
    <row r="3348" customFormat="false" ht="16" hidden="false" customHeight="false" outlineLevel="0" collapsed="false">
      <c r="A3348" s="1" t="s">
        <v>5360</v>
      </c>
      <c r="B3348" s="1" t="s">
        <v>1532</v>
      </c>
      <c r="C3348" s="1" t="s">
        <v>4737</v>
      </c>
      <c r="D3348" s="1" t="s">
        <v>4739</v>
      </c>
      <c r="E3348" s="1" t="s">
        <v>7</v>
      </c>
    </row>
    <row r="3349" customFormat="false" ht="16" hidden="false" customHeight="false" outlineLevel="0" collapsed="false">
      <c r="A3349" s="1" t="s">
        <v>5361</v>
      </c>
      <c r="B3349" s="1" t="s">
        <v>1532</v>
      </c>
      <c r="C3349" s="1" t="s">
        <v>4737</v>
      </c>
      <c r="D3349" s="1" t="s">
        <v>4741</v>
      </c>
      <c r="E3349" s="1" t="s">
        <v>7</v>
      </c>
    </row>
    <row r="3350" customFormat="false" ht="16" hidden="false" customHeight="false" outlineLevel="0" collapsed="false">
      <c r="A3350" s="1" t="s">
        <v>5362</v>
      </c>
      <c r="B3350" s="1" t="s">
        <v>1532</v>
      </c>
      <c r="C3350" s="1" t="s">
        <v>4737</v>
      </c>
      <c r="D3350" s="1" t="s">
        <v>4743</v>
      </c>
      <c r="E3350" s="1" t="s">
        <v>7</v>
      </c>
    </row>
    <row r="3351" customFormat="false" ht="16" hidden="false" customHeight="false" outlineLevel="0" collapsed="false">
      <c r="A3351" s="1" t="s">
        <v>5363</v>
      </c>
      <c r="B3351" s="1" t="s">
        <v>1532</v>
      </c>
      <c r="C3351" s="1" t="s">
        <v>4737</v>
      </c>
      <c r="D3351" s="1" t="s">
        <v>4745</v>
      </c>
      <c r="E3351" s="1" t="s">
        <v>7</v>
      </c>
    </row>
    <row r="3352" customFormat="false" ht="16" hidden="false" customHeight="false" outlineLevel="0" collapsed="false">
      <c r="A3352" s="1" t="s">
        <v>5364</v>
      </c>
      <c r="B3352" s="1" t="s">
        <v>1532</v>
      </c>
      <c r="C3352" s="1" t="s">
        <v>4737</v>
      </c>
      <c r="D3352" s="1" t="s">
        <v>770</v>
      </c>
      <c r="E3352" s="1" t="s">
        <v>7</v>
      </c>
    </row>
    <row r="3353" customFormat="false" ht="16" hidden="false" customHeight="false" outlineLevel="0" collapsed="false">
      <c r="A3353" s="1" t="s">
        <v>5365</v>
      </c>
      <c r="B3353" s="1" t="s">
        <v>5366</v>
      </c>
      <c r="C3353" s="1" t="s">
        <v>4737</v>
      </c>
      <c r="D3353" s="1" t="s">
        <v>4739</v>
      </c>
      <c r="E3353" s="1" t="s">
        <v>7</v>
      </c>
    </row>
    <row r="3354" customFormat="false" ht="16" hidden="false" customHeight="false" outlineLevel="0" collapsed="false">
      <c r="A3354" s="1" t="s">
        <v>5367</v>
      </c>
      <c r="B3354" s="1" t="s">
        <v>5366</v>
      </c>
      <c r="C3354" s="1" t="s">
        <v>4737</v>
      </c>
      <c r="D3354" s="1" t="s">
        <v>4741</v>
      </c>
      <c r="E3354" s="1" t="s">
        <v>7</v>
      </c>
    </row>
    <row r="3355" customFormat="false" ht="16" hidden="false" customHeight="false" outlineLevel="0" collapsed="false">
      <c r="A3355" s="1" t="s">
        <v>5368</v>
      </c>
      <c r="B3355" s="1" t="s">
        <v>5366</v>
      </c>
      <c r="C3355" s="1" t="s">
        <v>4737</v>
      </c>
      <c r="D3355" s="1" t="s">
        <v>4743</v>
      </c>
      <c r="E3355" s="1" t="s">
        <v>7</v>
      </c>
    </row>
    <row r="3356" customFormat="false" ht="16" hidden="false" customHeight="false" outlineLevel="0" collapsed="false">
      <c r="A3356" s="1" t="s">
        <v>5369</v>
      </c>
      <c r="B3356" s="1" t="s">
        <v>5366</v>
      </c>
      <c r="C3356" s="1" t="s">
        <v>4737</v>
      </c>
      <c r="D3356" s="1" t="s">
        <v>4745</v>
      </c>
      <c r="E3356" s="1" t="s">
        <v>7</v>
      </c>
    </row>
    <row r="3357" customFormat="false" ht="16" hidden="false" customHeight="false" outlineLevel="0" collapsed="false">
      <c r="A3357" s="1" t="s">
        <v>5370</v>
      </c>
      <c r="B3357" s="1" t="s">
        <v>5366</v>
      </c>
      <c r="C3357" s="1" t="s">
        <v>4737</v>
      </c>
      <c r="D3357" s="1" t="s">
        <v>770</v>
      </c>
      <c r="E3357" s="1" t="s">
        <v>7</v>
      </c>
    </row>
    <row r="3358" customFormat="false" ht="16" hidden="false" customHeight="false" outlineLevel="0" collapsed="false">
      <c r="A3358" s="1" t="s">
        <v>5371</v>
      </c>
      <c r="B3358" s="1" t="s">
        <v>1580</v>
      </c>
      <c r="C3358" s="1" t="s">
        <v>4737</v>
      </c>
      <c r="D3358" s="1" t="s">
        <v>4739</v>
      </c>
      <c r="E3358" s="1" t="s">
        <v>7</v>
      </c>
    </row>
    <row r="3359" customFormat="false" ht="16" hidden="false" customHeight="false" outlineLevel="0" collapsed="false">
      <c r="A3359" s="1" t="s">
        <v>5372</v>
      </c>
      <c r="B3359" s="1" t="s">
        <v>1580</v>
      </c>
      <c r="C3359" s="1" t="s">
        <v>4737</v>
      </c>
      <c r="D3359" s="1" t="s">
        <v>4741</v>
      </c>
      <c r="E3359" s="1" t="s">
        <v>7</v>
      </c>
    </row>
    <row r="3360" customFormat="false" ht="16" hidden="false" customHeight="false" outlineLevel="0" collapsed="false">
      <c r="A3360" s="1" t="s">
        <v>5373</v>
      </c>
      <c r="B3360" s="1" t="s">
        <v>1580</v>
      </c>
      <c r="C3360" s="1" t="s">
        <v>4737</v>
      </c>
      <c r="D3360" s="1" t="s">
        <v>4743</v>
      </c>
      <c r="E3360" s="1" t="s">
        <v>7</v>
      </c>
    </row>
    <row r="3361" customFormat="false" ht="16" hidden="false" customHeight="false" outlineLevel="0" collapsed="false">
      <c r="A3361" s="1" t="s">
        <v>5374</v>
      </c>
      <c r="B3361" s="1" t="s">
        <v>1580</v>
      </c>
      <c r="C3361" s="1" t="s">
        <v>4737</v>
      </c>
      <c r="D3361" s="1" t="s">
        <v>4745</v>
      </c>
      <c r="E3361" s="1" t="s">
        <v>7</v>
      </c>
    </row>
    <row r="3362" customFormat="false" ht="16" hidden="false" customHeight="false" outlineLevel="0" collapsed="false">
      <c r="A3362" s="1" t="s">
        <v>5375</v>
      </c>
      <c r="B3362" s="1" t="s">
        <v>1580</v>
      </c>
      <c r="C3362" s="1" t="s">
        <v>4737</v>
      </c>
      <c r="D3362" s="1" t="s">
        <v>770</v>
      </c>
      <c r="E3362" s="1" t="s">
        <v>7</v>
      </c>
    </row>
    <row r="3363" customFormat="false" ht="16" hidden="false" customHeight="false" outlineLevel="0" collapsed="false">
      <c r="A3363" s="1" t="s">
        <v>5376</v>
      </c>
      <c r="B3363" s="1" t="s">
        <v>1586</v>
      </c>
      <c r="C3363" s="1" t="s">
        <v>4737</v>
      </c>
      <c r="D3363" s="1" t="s">
        <v>4739</v>
      </c>
      <c r="E3363" s="1" t="s">
        <v>7</v>
      </c>
    </row>
    <row r="3364" customFormat="false" ht="16" hidden="false" customHeight="false" outlineLevel="0" collapsed="false">
      <c r="A3364" s="1" t="s">
        <v>5377</v>
      </c>
      <c r="B3364" s="1" t="s">
        <v>1586</v>
      </c>
      <c r="C3364" s="1" t="s">
        <v>4737</v>
      </c>
      <c r="D3364" s="1" t="s">
        <v>4741</v>
      </c>
      <c r="E3364" s="1" t="s">
        <v>7</v>
      </c>
    </row>
    <row r="3365" customFormat="false" ht="16" hidden="false" customHeight="false" outlineLevel="0" collapsed="false">
      <c r="A3365" s="1" t="s">
        <v>5378</v>
      </c>
      <c r="B3365" s="1" t="s">
        <v>1586</v>
      </c>
      <c r="C3365" s="1" t="s">
        <v>4737</v>
      </c>
      <c r="D3365" s="1" t="s">
        <v>4743</v>
      </c>
      <c r="E3365" s="1" t="s">
        <v>7</v>
      </c>
    </row>
    <row r="3366" customFormat="false" ht="16" hidden="false" customHeight="false" outlineLevel="0" collapsed="false">
      <c r="A3366" s="1" t="s">
        <v>5379</v>
      </c>
      <c r="B3366" s="1" t="s">
        <v>1586</v>
      </c>
      <c r="C3366" s="1" t="s">
        <v>4737</v>
      </c>
      <c r="D3366" s="1" t="s">
        <v>4745</v>
      </c>
      <c r="E3366" s="1" t="s">
        <v>7</v>
      </c>
    </row>
    <row r="3367" customFormat="false" ht="16" hidden="false" customHeight="false" outlineLevel="0" collapsed="false">
      <c r="A3367" s="1" t="s">
        <v>5380</v>
      </c>
      <c r="B3367" s="1" t="s">
        <v>1586</v>
      </c>
      <c r="C3367" s="1" t="s">
        <v>4737</v>
      </c>
      <c r="D3367" s="1" t="s">
        <v>770</v>
      </c>
      <c r="E3367" s="1" t="s">
        <v>7</v>
      </c>
    </row>
    <row r="3368" customFormat="false" ht="16" hidden="false" customHeight="false" outlineLevel="0" collapsed="false">
      <c r="A3368" s="1" t="s">
        <v>5381</v>
      </c>
      <c r="B3368" s="1" t="s">
        <v>1592</v>
      </c>
      <c r="C3368" s="1" t="s">
        <v>4737</v>
      </c>
      <c r="D3368" s="1" t="s">
        <v>4739</v>
      </c>
      <c r="E3368" s="1" t="s">
        <v>7</v>
      </c>
    </row>
    <row r="3369" customFormat="false" ht="16" hidden="false" customHeight="false" outlineLevel="0" collapsed="false">
      <c r="A3369" s="1" t="s">
        <v>5382</v>
      </c>
      <c r="B3369" s="1" t="s">
        <v>1592</v>
      </c>
      <c r="C3369" s="1" t="s">
        <v>4737</v>
      </c>
      <c r="D3369" s="1" t="s">
        <v>4741</v>
      </c>
      <c r="E3369" s="1" t="s">
        <v>7</v>
      </c>
    </row>
    <row r="3370" customFormat="false" ht="16" hidden="false" customHeight="false" outlineLevel="0" collapsed="false">
      <c r="A3370" s="1" t="s">
        <v>5383</v>
      </c>
      <c r="B3370" s="1" t="s">
        <v>1592</v>
      </c>
      <c r="C3370" s="1" t="s">
        <v>4737</v>
      </c>
      <c r="D3370" s="1" t="s">
        <v>4743</v>
      </c>
      <c r="E3370" s="1" t="s">
        <v>7</v>
      </c>
    </row>
    <row r="3371" customFormat="false" ht="16" hidden="false" customHeight="false" outlineLevel="0" collapsed="false">
      <c r="A3371" s="1" t="s">
        <v>5384</v>
      </c>
      <c r="B3371" s="1" t="s">
        <v>1592</v>
      </c>
      <c r="C3371" s="1" t="s">
        <v>4737</v>
      </c>
      <c r="D3371" s="1" t="s">
        <v>4745</v>
      </c>
      <c r="E3371" s="1" t="s">
        <v>7</v>
      </c>
    </row>
    <row r="3372" customFormat="false" ht="16" hidden="false" customHeight="false" outlineLevel="0" collapsed="false">
      <c r="A3372" s="1" t="s">
        <v>5385</v>
      </c>
      <c r="B3372" s="1" t="s">
        <v>1592</v>
      </c>
      <c r="C3372" s="1" t="s">
        <v>4737</v>
      </c>
      <c r="D3372" s="1" t="s">
        <v>770</v>
      </c>
      <c r="E3372" s="1" t="s">
        <v>7</v>
      </c>
    </row>
    <row r="3373" customFormat="false" ht="16" hidden="false" customHeight="false" outlineLevel="0" collapsed="false">
      <c r="A3373" s="1" t="s">
        <v>5386</v>
      </c>
      <c r="B3373" s="1" t="s">
        <v>1598</v>
      </c>
      <c r="C3373" s="1" t="s">
        <v>4737</v>
      </c>
      <c r="D3373" s="1" t="s">
        <v>4739</v>
      </c>
      <c r="E3373" s="1" t="s">
        <v>7</v>
      </c>
    </row>
    <row r="3374" customFormat="false" ht="16" hidden="false" customHeight="false" outlineLevel="0" collapsed="false">
      <c r="A3374" s="1" t="s">
        <v>5387</v>
      </c>
      <c r="B3374" s="1" t="s">
        <v>1598</v>
      </c>
      <c r="C3374" s="1" t="s">
        <v>4737</v>
      </c>
      <c r="D3374" s="1" t="s">
        <v>4741</v>
      </c>
      <c r="E3374" s="1" t="s">
        <v>7</v>
      </c>
    </row>
    <row r="3375" customFormat="false" ht="16" hidden="false" customHeight="false" outlineLevel="0" collapsed="false">
      <c r="A3375" s="1" t="s">
        <v>5388</v>
      </c>
      <c r="B3375" s="1" t="s">
        <v>1598</v>
      </c>
      <c r="C3375" s="1" t="s">
        <v>4737</v>
      </c>
      <c r="D3375" s="1" t="s">
        <v>4743</v>
      </c>
      <c r="E3375" s="1" t="s">
        <v>7</v>
      </c>
    </row>
    <row r="3376" customFormat="false" ht="16" hidden="false" customHeight="false" outlineLevel="0" collapsed="false">
      <c r="A3376" s="1" t="s">
        <v>5389</v>
      </c>
      <c r="B3376" s="1" t="s">
        <v>1598</v>
      </c>
      <c r="C3376" s="1" t="s">
        <v>4737</v>
      </c>
      <c r="D3376" s="1" t="s">
        <v>4745</v>
      </c>
      <c r="E3376" s="1" t="s">
        <v>7</v>
      </c>
    </row>
    <row r="3377" customFormat="false" ht="16" hidden="false" customHeight="false" outlineLevel="0" collapsed="false">
      <c r="A3377" s="1" t="s">
        <v>5390</v>
      </c>
      <c r="B3377" s="1" t="s">
        <v>1598</v>
      </c>
      <c r="C3377" s="1" t="s">
        <v>4737</v>
      </c>
      <c r="D3377" s="1" t="s">
        <v>770</v>
      </c>
      <c r="E3377" s="1" t="s">
        <v>7</v>
      </c>
    </row>
    <row r="3378" customFormat="false" ht="16" hidden="false" customHeight="false" outlineLevel="0" collapsed="false">
      <c r="A3378" s="1" t="s">
        <v>5391</v>
      </c>
      <c r="B3378" s="1" t="s">
        <v>1604</v>
      </c>
      <c r="C3378" s="1" t="s">
        <v>4737</v>
      </c>
      <c r="D3378" s="1" t="s">
        <v>4739</v>
      </c>
      <c r="E3378" s="1" t="s">
        <v>7</v>
      </c>
    </row>
    <row r="3379" customFormat="false" ht="16" hidden="false" customHeight="false" outlineLevel="0" collapsed="false">
      <c r="A3379" s="1" t="s">
        <v>5392</v>
      </c>
      <c r="B3379" s="1" t="s">
        <v>1604</v>
      </c>
      <c r="C3379" s="1" t="s">
        <v>4737</v>
      </c>
      <c r="D3379" s="1" t="s">
        <v>4741</v>
      </c>
      <c r="E3379" s="1" t="s">
        <v>7</v>
      </c>
    </row>
    <row r="3380" customFormat="false" ht="16" hidden="false" customHeight="false" outlineLevel="0" collapsed="false">
      <c r="A3380" s="1" t="s">
        <v>5393</v>
      </c>
      <c r="B3380" s="1" t="s">
        <v>1604</v>
      </c>
      <c r="C3380" s="1" t="s">
        <v>4737</v>
      </c>
      <c r="D3380" s="1" t="s">
        <v>4743</v>
      </c>
      <c r="E3380" s="1" t="s">
        <v>7</v>
      </c>
    </row>
    <row r="3381" customFormat="false" ht="16" hidden="false" customHeight="false" outlineLevel="0" collapsed="false">
      <c r="A3381" s="1" t="s">
        <v>5394</v>
      </c>
      <c r="B3381" s="1" t="s">
        <v>1604</v>
      </c>
      <c r="C3381" s="1" t="s">
        <v>4737</v>
      </c>
      <c r="D3381" s="1" t="s">
        <v>4745</v>
      </c>
      <c r="E3381" s="1" t="s">
        <v>7</v>
      </c>
    </row>
    <row r="3382" customFormat="false" ht="16" hidden="false" customHeight="false" outlineLevel="0" collapsed="false">
      <c r="A3382" s="1" t="s">
        <v>5395</v>
      </c>
      <c r="B3382" s="1" t="s">
        <v>1604</v>
      </c>
      <c r="C3382" s="1" t="s">
        <v>4737</v>
      </c>
      <c r="D3382" s="1" t="s">
        <v>770</v>
      </c>
      <c r="E3382" s="1" t="s">
        <v>7</v>
      </c>
    </row>
    <row r="3383" customFormat="false" ht="16" hidden="false" customHeight="false" outlineLevel="0" collapsed="false">
      <c r="A3383" s="1" t="s">
        <v>5396</v>
      </c>
      <c r="B3383" s="1" t="s">
        <v>1610</v>
      </c>
      <c r="C3383" s="1" t="s">
        <v>4737</v>
      </c>
      <c r="D3383" s="1" t="s">
        <v>4739</v>
      </c>
      <c r="E3383" s="1" t="s">
        <v>7</v>
      </c>
    </row>
    <row r="3384" customFormat="false" ht="16" hidden="false" customHeight="false" outlineLevel="0" collapsed="false">
      <c r="A3384" s="1" t="s">
        <v>5397</v>
      </c>
      <c r="B3384" s="1" t="s">
        <v>1610</v>
      </c>
      <c r="C3384" s="1" t="s">
        <v>4737</v>
      </c>
      <c r="D3384" s="1" t="s">
        <v>4745</v>
      </c>
      <c r="E3384" s="1" t="s">
        <v>7</v>
      </c>
    </row>
    <row r="3385" customFormat="false" ht="16" hidden="false" customHeight="false" outlineLevel="0" collapsed="false">
      <c r="A3385" s="1" t="s">
        <v>5398</v>
      </c>
      <c r="B3385" s="1" t="s">
        <v>1612</v>
      </c>
      <c r="C3385" s="1" t="s">
        <v>4737</v>
      </c>
      <c r="D3385" s="1" t="s">
        <v>4739</v>
      </c>
      <c r="E3385" s="1" t="s">
        <v>7</v>
      </c>
    </row>
    <row r="3386" customFormat="false" ht="16" hidden="false" customHeight="false" outlineLevel="0" collapsed="false">
      <c r="A3386" s="1" t="s">
        <v>5399</v>
      </c>
      <c r="B3386" s="1" t="s">
        <v>1612</v>
      </c>
      <c r="C3386" s="1" t="s">
        <v>4737</v>
      </c>
      <c r="D3386" s="1" t="s">
        <v>4741</v>
      </c>
      <c r="E3386" s="1" t="s">
        <v>7</v>
      </c>
    </row>
    <row r="3387" customFormat="false" ht="16" hidden="false" customHeight="false" outlineLevel="0" collapsed="false">
      <c r="A3387" s="1" t="s">
        <v>5400</v>
      </c>
      <c r="B3387" s="1" t="s">
        <v>1612</v>
      </c>
      <c r="C3387" s="1" t="s">
        <v>4737</v>
      </c>
      <c r="D3387" s="1" t="s">
        <v>4743</v>
      </c>
      <c r="E3387" s="1" t="s">
        <v>7</v>
      </c>
    </row>
    <row r="3388" customFormat="false" ht="16" hidden="false" customHeight="false" outlineLevel="0" collapsed="false">
      <c r="A3388" s="1" t="s">
        <v>5401</v>
      </c>
      <c r="B3388" s="1" t="s">
        <v>1612</v>
      </c>
      <c r="C3388" s="1" t="s">
        <v>4737</v>
      </c>
      <c r="D3388" s="1" t="s">
        <v>4745</v>
      </c>
      <c r="E3388" s="1" t="s">
        <v>7</v>
      </c>
    </row>
    <row r="3389" customFormat="false" ht="16" hidden="false" customHeight="false" outlineLevel="0" collapsed="false">
      <c r="A3389" s="1" t="s">
        <v>5402</v>
      </c>
      <c r="B3389" s="1" t="s">
        <v>1612</v>
      </c>
      <c r="C3389" s="1" t="s">
        <v>4737</v>
      </c>
      <c r="D3389" s="1" t="s">
        <v>770</v>
      </c>
      <c r="E3389" s="1" t="s">
        <v>7</v>
      </c>
    </row>
    <row r="3390" customFormat="false" ht="16" hidden="false" customHeight="false" outlineLevel="0" collapsed="false">
      <c r="A3390" s="1" t="s">
        <v>5403</v>
      </c>
      <c r="B3390" s="1" t="s">
        <v>1624</v>
      </c>
      <c r="C3390" s="1" t="s">
        <v>4737</v>
      </c>
      <c r="D3390" s="1" t="s">
        <v>4739</v>
      </c>
      <c r="E3390" s="1" t="s">
        <v>7</v>
      </c>
    </row>
    <row r="3391" customFormat="false" ht="16" hidden="false" customHeight="false" outlineLevel="0" collapsed="false">
      <c r="A3391" s="1" t="s">
        <v>5404</v>
      </c>
      <c r="B3391" s="1" t="s">
        <v>1624</v>
      </c>
      <c r="C3391" s="1" t="s">
        <v>4737</v>
      </c>
      <c r="D3391" s="1" t="s">
        <v>4741</v>
      </c>
      <c r="E3391" s="1" t="s">
        <v>7</v>
      </c>
    </row>
    <row r="3392" customFormat="false" ht="16" hidden="false" customHeight="false" outlineLevel="0" collapsed="false">
      <c r="A3392" s="1" t="s">
        <v>5405</v>
      </c>
      <c r="B3392" s="1" t="s">
        <v>1624</v>
      </c>
      <c r="C3392" s="1" t="s">
        <v>4737</v>
      </c>
      <c r="D3392" s="1" t="s">
        <v>4743</v>
      </c>
      <c r="E3392" s="1" t="s">
        <v>7</v>
      </c>
    </row>
    <row r="3393" customFormat="false" ht="16" hidden="false" customHeight="false" outlineLevel="0" collapsed="false">
      <c r="A3393" s="1" t="s">
        <v>5406</v>
      </c>
      <c r="B3393" s="1" t="s">
        <v>1624</v>
      </c>
      <c r="C3393" s="1" t="s">
        <v>4737</v>
      </c>
      <c r="D3393" s="1" t="s">
        <v>4745</v>
      </c>
      <c r="E3393" s="1" t="s">
        <v>7</v>
      </c>
    </row>
    <row r="3394" customFormat="false" ht="16" hidden="false" customHeight="false" outlineLevel="0" collapsed="false">
      <c r="A3394" s="1" t="s">
        <v>5407</v>
      </c>
      <c r="B3394" s="1" t="s">
        <v>1624</v>
      </c>
      <c r="C3394" s="1" t="s">
        <v>4737</v>
      </c>
      <c r="D3394" s="1" t="s">
        <v>770</v>
      </c>
      <c r="E3394" s="1" t="s">
        <v>7</v>
      </c>
    </row>
    <row r="3395" customFormat="false" ht="16" hidden="false" customHeight="false" outlineLevel="0" collapsed="false">
      <c r="A3395" s="1" t="s">
        <v>5408</v>
      </c>
      <c r="B3395" s="1" t="s">
        <v>1632</v>
      </c>
      <c r="C3395" s="1" t="s">
        <v>4737</v>
      </c>
      <c r="D3395" s="1" t="s">
        <v>4739</v>
      </c>
      <c r="E3395" s="1" t="s">
        <v>7</v>
      </c>
    </row>
    <row r="3396" customFormat="false" ht="16" hidden="false" customHeight="false" outlineLevel="0" collapsed="false">
      <c r="A3396" s="1" t="s">
        <v>5409</v>
      </c>
      <c r="B3396" s="1" t="s">
        <v>1632</v>
      </c>
      <c r="C3396" s="1" t="s">
        <v>4737</v>
      </c>
      <c r="D3396" s="1" t="s">
        <v>4741</v>
      </c>
      <c r="E3396" s="1" t="s">
        <v>7</v>
      </c>
    </row>
    <row r="3397" customFormat="false" ht="16" hidden="false" customHeight="false" outlineLevel="0" collapsed="false">
      <c r="A3397" s="1" t="s">
        <v>5410</v>
      </c>
      <c r="B3397" s="1" t="s">
        <v>1632</v>
      </c>
      <c r="C3397" s="1" t="s">
        <v>4737</v>
      </c>
      <c r="D3397" s="1" t="s">
        <v>4743</v>
      </c>
      <c r="E3397" s="1" t="s">
        <v>7</v>
      </c>
    </row>
    <row r="3398" customFormat="false" ht="16" hidden="false" customHeight="false" outlineLevel="0" collapsed="false">
      <c r="A3398" s="1" t="s">
        <v>5411</v>
      </c>
      <c r="B3398" s="1" t="s">
        <v>1632</v>
      </c>
      <c r="C3398" s="1" t="s">
        <v>4737</v>
      </c>
      <c r="D3398" s="1" t="s">
        <v>4745</v>
      </c>
      <c r="E3398" s="1" t="s">
        <v>7</v>
      </c>
    </row>
    <row r="3399" customFormat="false" ht="16" hidden="false" customHeight="false" outlineLevel="0" collapsed="false">
      <c r="A3399" s="1" t="s">
        <v>5412</v>
      </c>
      <c r="B3399" s="1" t="s">
        <v>1632</v>
      </c>
      <c r="C3399" s="1" t="s">
        <v>4737</v>
      </c>
      <c r="D3399" s="1" t="s">
        <v>770</v>
      </c>
      <c r="E3399" s="1" t="s">
        <v>7</v>
      </c>
    </row>
    <row r="3400" customFormat="false" ht="16" hidden="false" customHeight="false" outlineLevel="0" collapsed="false">
      <c r="A3400" s="1" t="s">
        <v>5413</v>
      </c>
      <c r="B3400" s="1" t="s">
        <v>1638</v>
      </c>
      <c r="C3400" s="1" t="s">
        <v>4737</v>
      </c>
      <c r="D3400" s="1" t="s">
        <v>4739</v>
      </c>
      <c r="E3400" s="1" t="s">
        <v>7</v>
      </c>
    </row>
    <row r="3401" customFormat="false" ht="16" hidden="false" customHeight="false" outlineLevel="0" collapsed="false">
      <c r="A3401" s="1" t="s">
        <v>5414</v>
      </c>
      <c r="B3401" s="1" t="s">
        <v>1638</v>
      </c>
      <c r="C3401" s="1" t="s">
        <v>4737</v>
      </c>
      <c r="D3401" s="1" t="s">
        <v>4741</v>
      </c>
      <c r="E3401" s="1" t="s">
        <v>7</v>
      </c>
    </row>
    <row r="3402" customFormat="false" ht="16" hidden="false" customHeight="false" outlineLevel="0" collapsed="false">
      <c r="A3402" s="1" t="s">
        <v>5415</v>
      </c>
      <c r="B3402" s="1" t="s">
        <v>1638</v>
      </c>
      <c r="C3402" s="1" t="s">
        <v>4737</v>
      </c>
      <c r="D3402" s="1" t="s">
        <v>4743</v>
      </c>
      <c r="E3402" s="1" t="s">
        <v>7</v>
      </c>
    </row>
    <row r="3403" customFormat="false" ht="16" hidden="false" customHeight="false" outlineLevel="0" collapsed="false">
      <c r="A3403" s="1" t="s">
        <v>5416</v>
      </c>
      <c r="B3403" s="1" t="s">
        <v>1638</v>
      </c>
      <c r="C3403" s="1" t="s">
        <v>4737</v>
      </c>
      <c r="D3403" s="1" t="s">
        <v>4745</v>
      </c>
      <c r="E3403" s="1" t="s">
        <v>7</v>
      </c>
    </row>
    <row r="3404" customFormat="false" ht="16" hidden="false" customHeight="false" outlineLevel="0" collapsed="false">
      <c r="A3404" s="1" t="s">
        <v>5417</v>
      </c>
      <c r="B3404" s="1" t="s">
        <v>1638</v>
      </c>
      <c r="C3404" s="1" t="s">
        <v>4737</v>
      </c>
      <c r="D3404" s="1" t="s">
        <v>770</v>
      </c>
      <c r="E3404" s="1" t="s">
        <v>7</v>
      </c>
    </row>
    <row r="3405" customFormat="false" ht="16" hidden="false" customHeight="false" outlineLevel="0" collapsed="false">
      <c r="A3405" s="1" t="s">
        <v>5418</v>
      </c>
      <c r="B3405" s="1" t="s">
        <v>1644</v>
      </c>
      <c r="C3405" s="1" t="s">
        <v>4737</v>
      </c>
      <c r="D3405" s="1" t="s">
        <v>4739</v>
      </c>
      <c r="E3405" s="1" t="s">
        <v>7</v>
      </c>
    </row>
    <row r="3406" customFormat="false" ht="16" hidden="false" customHeight="false" outlineLevel="0" collapsed="false">
      <c r="A3406" s="1" t="s">
        <v>5419</v>
      </c>
      <c r="B3406" s="1" t="s">
        <v>1644</v>
      </c>
      <c r="C3406" s="1" t="s">
        <v>4737</v>
      </c>
      <c r="D3406" s="1" t="s">
        <v>4741</v>
      </c>
      <c r="E3406" s="1" t="s">
        <v>7</v>
      </c>
    </row>
    <row r="3407" customFormat="false" ht="16" hidden="false" customHeight="false" outlineLevel="0" collapsed="false">
      <c r="A3407" s="1" t="s">
        <v>5420</v>
      </c>
      <c r="B3407" s="1" t="s">
        <v>1644</v>
      </c>
      <c r="C3407" s="1" t="s">
        <v>4737</v>
      </c>
      <c r="D3407" s="1" t="s">
        <v>4743</v>
      </c>
      <c r="E3407" s="1" t="s">
        <v>7</v>
      </c>
    </row>
    <row r="3408" customFormat="false" ht="16" hidden="false" customHeight="false" outlineLevel="0" collapsed="false">
      <c r="A3408" s="1" t="s">
        <v>5421</v>
      </c>
      <c r="B3408" s="1" t="s">
        <v>1644</v>
      </c>
      <c r="C3408" s="1" t="s">
        <v>4737</v>
      </c>
      <c r="D3408" s="1" t="s">
        <v>4745</v>
      </c>
      <c r="E3408" s="1" t="s">
        <v>7</v>
      </c>
    </row>
    <row r="3409" customFormat="false" ht="16" hidden="false" customHeight="false" outlineLevel="0" collapsed="false">
      <c r="A3409" s="1" t="s">
        <v>5422</v>
      </c>
      <c r="B3409" s="1" t="s">
        <v>1644</v>
      </c>
      <c r="C3409" s="1" t="s">
        <v>4737</v>
      </c>
      <c r="D3409" s="1" t="s">
        <v>770</v>
      </c>
      <c r="E3409" s="1" t="s">
        <v>7</v>
      </c>
    </row>
    <row r="3410" customFormat="false" ht="16" hidden="false" customHeight="false" outlineLevel="0" collapsed="false">
      <c r="A3410" s="1" t="s">
        <v>5423</v>
      </c>
      <c r="B3410" s="1" t="s">
        <v>5424</v>
      </c>
      <c r="C3410" s="1" t="s">
        <v>4737</v>
      </c>
      <c r="D3410" s="1" t="s">
        <v>4739</v>
      </c>
      <c r="E3410" s="1" t="s">
        <v>7</v>
      </c>
    </row>
    <row r="3411" customFormat="false" ht="16" hidden="false" customHeight="false" outlineLevel="0" collapsed="false">
      <c r="A3411" s="1" t="s">
        <v>5425</v>
      </c>
      <c r="B3411" s="1" t="s">
        <v>5424</v>
      </c>
      <c r="C3411" s="1" t="s">
        <v>4737</v>
      </c>
      <c r="D3411" s="1" t="s">
        <v>4741</v>
      </c>
      <c r="E3411" s="1" t="s">
        <v>7</v>
      </c>
    </row>
    <row r="3412" customFormat="false" ht="16" hidden="false" customHeight="false" outlineLevel="0" collapsed="false">
      <c r="A3412" s="1" t="s">
        <v>5426</v>
      </c>
      <c r="B3412" s="1" t="s">
        <v>5424</v>
      </c>
      <c r="C3412" s="1" t="s">
        <v>4737</v>
      </c>
      <c r="D3412" s="1" t="s">
        <v>4743</v>
      </c>
      <c r="E3412" s="1" t="s">
        <v>7</v>
      </c>
    </row>
    <row r="3413" customFormat="false" ht="16" hidden="false" customHeight="false" outlineLevel="0" collapsed="false">
      <c r="A3413" s="1" t="s">
        <v>5427</v>
      </c>
      <c r="B3413" s="1" t="s">
        <v>5424</v>
      </c>
      <c r="C3413" s="1" t="s">
        <v>4737</v>
      </c>
      <c r="D3413" s="1" t="s">
        <v>4745</v>
      </c>
      <c r="E3413" s="1" t="s">
        <v>7</v>
      </c>
    </row>
    <row r="3414" customFormat="false" ht="16" hidden="false" customHeight="false" outlineLevel="0" collapsed="false">
      <c r="A3414" s="1" t="s">
        <v>5428</v>
      </c>
      <c r="B3414" s="1" t="s">
        <v>5424</v>
      </c>
      <c r="C3414" s="1" t="s">
        <v>4737</v>
      </c>
      <c r="D3414" s="1" t="s">
        <v>770</v>
      </c>
      <c r="E3414" s="1" t="s">
        <v>7</v>
      </c>
    </row>
    <row r="3415" customFormat="false" ht="16" hidden="false" customHeight="false" outlineLevel="0" collapsed="false">
      <c r="A3415" s="1" t="s">
        <v>5429</v>
      </c>
      <c r="B3415" s="1" t="s">
        <v>1668</v>
      </c>
      <c r="C3415" s="1" t="s">
        <v>4737</v>
      </c>
      <c r="D3415" s="1" t="s">
        <v>4745</v>
      </c>
      <c r="E3415" s="1" t="s">
        <v>7</v>
      </c>
    </row>
    <row r="3416" customFormat="false" ht="16" hidden="false" customHeight="false" outlineLevel="0" collapsed="false">
      <c r="A3416" s="1" t="s">
        <v>5430</v>
      </c>
      <c r="B3416" s="1" t="s">
        <v>1670</v>
      </c>
      <c r="C3416" s="1" t="s">
        <v>4737</v>
      </c>
      <c r="D3416" s="1" t="s">
        <v>4745</v>
      </c>
      <c r="E3416" s="1" t="s">
        <v>7</v>
      </c>
    </row>
    <row r="3417" customFormat="false" ht="16" hidden="false" customHeight="false" outlineLevel="0" collapsed="false">
      <c r="A3417" s="1" t="s">
        <v>5431</v>
      </c>
      <c r="B3417" s="1" t="s">
        <v>4134</v>
      </c>
      <c r="C3417" s="1" t="s">
        <v>4737</v>
      </c>
      <c r="D3417" s="1" t="s">
        <v>4739</v>
      </c>
      <c r="E3417" s="1" t="s">
        <v>7</v>
      </c>
    </row>
    <row r="3418" customFormat="false" ht="16" hidden="false" customHeight="false" outlineLevel="0" collapsed="false">
      <c r="A3418" s="1" t="s">
        <v>5432</v>
      </c>
      <c r="B3418" s="1" t="s">
        <v>4134</v>
      </c>
      <c r="C3418" s="1" t="s">
        <v>4737</v>
      </c>
      <c r="D3418" s="1" t="s">
        <v>4741</v>
      </c>
      <c r="E3418" s="1" t="s">
        <v>7</v>
      </c>
    </row>
    <row r="3419" customFormat="false" ht="16" hidden="false" customHeight="false" outlineLevel="0" collapsed="false">
      <c r="A3419" s="1" t="s">
        <v>5433</v>
      </c>
      <c r="B3419" s="1" t="s">
        <v>4134</v>
      </c>
      <c r="C3419" s="1" t="s">
        <v>4737</v>
      </c>
      <c r="D3419" s="1" t="s">
        <v>4743</v>
      </c>
      <c r="E3419" s="1" t="s">
        <v>7</v>
      </c>
    </row>
    <row r="3420" customFormat="false" ht="16" hidden="false" customHeight="false" outlineLevel="0" collapsed="false">
      <c r="A3420" s="1" t="s">
        <v>5434</v>
      </c>
      <c r="B3420" s="1" t="s">
        <v>4134</v>
      </c>
      <c r="C3420" s="1" t="s">
        <v>4737</v>
      </c>
      <c r="D3420" s="1" t="s">
        <v>4745</v>
      </c>
      <c r="E3420" s="1" t="s">
        <v>7</v>
      </c>
    </row>
    <row r="3421" customFormat="false" ht="16" hidden="false" customHeight="false" outlineLevel="0" collapsed="false">
      <c r="A3421" s="1" t="s">
        <v>5435</v>
      </c>
      <c r="B3421" s="1" t="s">
        <v>4134</v>
      </c>
      <c r="C3421" s="1" t="s">
        <v>4737</v>
      </c>
      <c r="D3421" s="1" t="s">
        <v>770</v>
      </c>
      <c r="E3421" s="1" t="s">
        <v>7</v>
      </c>
    </row>
    <row r="3422" customFormat="false" ht="16" hidden="false" customHeight="false" outlineLevel="0" collapsed="false">
      <c r="A3422" s="1" t="s">
        <v>5436</v>
      </c>
      <c r="B3422" s="1" t="s">
        <v>1677</v>
      </c>
      <c r="C3422" s="1" t="s">
        <v>4737</v>
      </c>
      <c r="D3422" s="1" t="s">
        <v>4739</v>
      </c>
      <c r="E3422" s="1" t="s">
        <v>7</v>
      </c>
    </row>
    <row r="3423" customFormat="false" ht="16" hidden="false" customHeight="false" outlineLevel="0" collapsed="false">
      <c r="A3423" s="1" t="s">
        <v>5437</v>
      </c>
      <c r="B3423" s="1" t="s">
        <v>1677</v>
      </c>
      <c r="C3423" s="1" t="s">
        <v>4737</v>
      </c>
      <c r="D3423" s="1" t="s">
        <v>4741</v>
      </c>
      <c r="E3423" s="1" t="s">
        <v>7</v>
      </c>
    </row>
    <row r="3424" customFormat="false" ht="16" hidden="false" customHeight="false" outlineLevel="0" collapsed="false">
      <c r="A3424" s="1" t="s">
        <v>5438</v>
      </c>
      <c r="B3424" s="1" t="s">
        <v>1677</v>
      </c>
      <c r="C3424" s="1" t="s">
        <v>4737</v>
      </c>
      <c r="D3424" s="1" t="s">
        <v>4743</v>
      </c>
      <c r="E3424" s="1" t="s">
        <v>7</v>
      </c>
    </row>
    <row r="3425" customFormat="false" ht="16" hidden="false" customHeight="false" outlineLevel="0" collapsed="false">
      <c r="A3425" s="1" t="s">
        <v>5439</v>
      </c>
      <c r="B3425" s="1" t="s">
        <v>1677</v>
      </c>
      <c r="C3425" s="1" t="s">
        <v>4737</v>
      </c>
      <c r="D3425" s="1" t="s">
        <v>4745</v>
      </c>
      <c r="E3425" s="1" t="s">
        <v>7</v>
      </c>
    </row>
    <row r="3426" customFormat="false" ht="16" hidden="false" customHeight="false" outlineLevel="0" collapsed="false">
      <c r="A3426" s="1" t="s">
        <v>5440</v>
      </c>
      <c r="B3426" s="1" t="s">
        <v>1677</v>
      </c>
      <c r="C3426" s="1" t="s">
        <v>4737</v>
      </c>
      <c r="D3426" s="1" t="s">
        <v>770</v>
      </c>
      <c r="E3426" s="1" t="s">
        <v>7</v>
      </c>
    </row>
    <row r="3427" customFormat="false" ht="16" hidden="false" customHeight="false" outlineLevel="0" collapsed="false">
      <c r="A3427" s="1" t="s">
        <v>5441</v>
      </c>
      <c r="B3427" s="1" t="s">
        <v>1685</v>
      </c>
      <c r="C3427" s="1" t="s">
        <v>4737</v>
      </c>
      <c r="D3427" s="1" t="s">
        <v>4739</v>
      </c>
      <c r="E3427" s="1" t="s">
        <v>7</v>
      </c>
    </row>
    <row r="3428" customFormat="false" ht="16" hidden="false" customHeight="false" outlineLevel="0" collapsed="false">
      <c r="A3428" s="1" t="s">
        <v>5442</v>
      </c>
      <c r="B3428" s="1" t="s">
        <v>1685</v>
      </c>
      <c r="C3428" s="1" t="s">
        <v>4737</v>
      </c>
      <c r="D3428" s="1" t="s">
        <v>4741</v>
      </c>
      <c r="E3428" s="1" t="s">
        <v>7</v>
      </c>
    </row>
    <row r="3429" customFormat="false" ht="16" hidden="false" customHeight="false" outlineLevel="0" collapsed="false">
      <c r="A3429" s="1" t="s">
        <v>5443</v>
      </c>
      <c r="B3429" s="1" t="s">
        <v>1685</v>
      </c>
      <c r="C3429" s="1" t="s">
        <v>4737</v>
      </c>
      <c r="D3429" s="1" t="s">
        <v>4743</v>
      </c>
      <c r="E3429" s="1" t="s">
        <v>7</v>
      </c>
    </row>
    <row r="3430" customFormat="false" ht="16" hidden="false" customHeight="false" outlineLevel="0" collapsed="false">
      <c r="A3430" s="1" t="s">
        <v>5444</v>
      </c>
      <c r="B3430" s="1" t="s">
        <v>1685</v>
      </c>
      <c r="C3430" s="1" t="s">
        <v>4737</v>
      </c>
      <c r="D3430" s="1" t="s">
        <v>4745</v>
      </c>
      <c r="E3430" s="1" t="s">
        <v>7</v>
      </c>
    </row>
    <row r="3431" customFormat="false" ht="16" hidden="false" customHeight="false" outlineLevel="0" collapsed="false">
      <c r="A3431" s="1" t="s">
        <v>5445</v>
      </c>
      <c r="B3431" s="1" t="s">
        <v>1685</v>
      </c>
      <c r="C3431" s="1" t="s">
        <v>4737</v>
      </c>
      <c r="D3431" s="1" t="s">
        <v>770</v>
      </c>
      <c r="E3431" s="1" t="s">
        <v>7</v>
      </c>
    </row>
    <row r="3432" customFormat="false" ht="16" hidden="false" customHeight="false" outlineLevel="0" collapsed="false">
      <c r="A3432" s="1" t="s">
        <v>5446</v>
      </c>
      <c r="B3432" s="1" t="s">
        <v>1691</v>
      </c>
      <c r="C3432" s="1" t="s">
        <v>4737</v>
      </c>
      <c r="D3432" s="1" t="s">
        <v>4739</v>
      </c>
      <c r="E3432" s="1" t="s">
        <v>7</v>
      </c>
    </row>
    <row r="3433" customFormat="false" ht="16" hidden="false" customHeight="false" outlineLevel="0" collapsed="false">
      <c r="A3433" s="1" t="s">
        <v>5447</v>
      </c>
      <c r="B3433" s="1" t="s">
        <v>1691</v>
      </c>
      <c r="C3433" s="1" t="s">
        <v>4737</v>
      </c>
      <c r="D3433" s="1" t="s">
        <v>4741</v>
      </c>
      <c r="E3433" s="1" t="s">
        <v>7</v>
      </c>
    </row>
    <row r="3434" customFormat="false" ht="16" hidden="false" customHeight="false" outlineLevel="0" collapsed="false">
      <c r="A3434" s="1" t="s">
        <v>5448</v>
      </c>
      <c r="B3434" s="1" t="s">
        <v>1691</v>
      </c>
      <c r="C3434" s="1" t="s">
        <v>4737</v>
      </c>
      <c r="D3434" s="1" t="s">
        <v>4743</v>
      </c>
      <c r="E3434" s="1" t="s">
        <v>7</v>
      </c>
    </row>
    <row r="3435" customFormat="false" ht="16" hidden="false" customHeight="false" outlineLevel="0" collapsed="false">
      <c r="A3435" s="1" t="s">
        <v>5449</v>
      </c>
      <c r="B3435" s="1" t="s">
        <v>1691</v>
      </c>
      <c r="C3435" s="1" t="s">
        <v>4737</v>
      </c>
      <c r="D3435" s="1" t="s">
        <v>4745</v>
      </c>
      <c r="E3435" s="1" t="s">
        <v>7</v>
      </c>
    </row>
    <row r="3436" customFormat="false" ht="16" hidden="false" customHeight="false" outlineLevel="0" collapsed="false">
      <c r="A3436" s="1" t="s">
        <v>5450</v>
      </c>
      <c r="B3436" s="1" t="s">
        <v>1691</v>
      </c>
      <c r="C3436" s="1" t="s">
        <v>4737</v>
      </c>
      <c r="D3436" s="1" t="s">
        <v>770</v>
      </c>
      <c r="E3436" s="1" t="s">
        <v>7</v>
      </c>
    </row>
    <row r="3437" customFormat="false" ht="16" hidden="false" customHeight="false" outlineLevel="0" collapsed="false">
      <c r="A3437" s="1" t="s">
        <v>5451</v>
      </c>
      <c r="B3437" s="1" t="s">
        <v>5452</v>
      </c>
      <c r="C3437" s="1" t="s">
        <v>4737</v>
      </c>
      <c r="D3437" s="1" t="s">
        <v>4739</v>
      </c>
      <c r="E3437" s="1" t="s">
        <v>7</v>
      </c>
    </row>
    <row r="3438" customFormat="false" ht="16" hidden="false" customHeight="false" outlineLevel="0" collapsed="false">
      <c r="A3438" s="1" t="s">
        <v>5453</v>
      </c>
      <c r="B3438" s="1" t="s">
        <v>5452</v>
      </c>
      <c r="C3438" s="1" t="s">
        <v>4737</v>
      </c>
      <c r="D3438" s="1" t="s">
        <v>4741</v>
      </c>
      <c r="E3438" s="1" t="s">
        <v>7</v>
      </c>
    </row>
    <row r="3439" customFormat="false" ht="16" hidden="false" customHeight="false" outlineLevel="0" collapsed="false">
      <c r="A3439" s="1" t="s">
        <v>5454</v>
      </c>
      <c r="B3439" s="1" t="s">
        <v>5452</v>
      </c>
      <c r="C3439" s="1" t="s">
        <v>4737</v>
      </c>
      <c r="D3439" s="1" t="s">
        <v>4743</v>
      </c>
      <c r="E3439" s="1" t="s">
        <v>7</v>
      </c>
    </row>
    <row r="3440" customFormat="false" ht="16" hidden="false" customHeight="false" outlineLevel="0" collapsed="false">
      <c r="A3440" s="1" t="s">
        <v>5455</v>
      </c>
      <c r="B3440" s="1" t="s">
        <v>5452</v>
      </c>
      <c r="C3440" s="1" t="s">
        <v>4737</v>
      </c>
      <c r="D3440" s="1" t="s">
        <v>4745</v>
      </c>
      <c r="E3440" s="1" t="s">
        <v>7</v>
      </c>
    </row>
    <row r="3441" customFormat="false" ht="16" hidden="false" customHeight="false" outlineLevel="0" collapsed="false">
      <c r="A3441" s="1" t="s">
        <v>5456</v>
      </c>
      <c r="B3441" s="1" t="s">
        <v>5452</v>
      </c>
      <c r="C3441" s="1" t="s">
        <v>4737</v>
      </c>
      <c r="D3441" s="1" t="s">
        <v>770</v>
      </c>
      <c r="E3441" s="1" t="s">
        <v>7</v>
      </c>
    </row>
    <row r="3442" customFormat="false" ht="16" hidden="false" customHeight="false" outlineLevel="0" collapsed="false">
      <c r="A3442" s="1" t="s">
        <v>5457</v>
      </c>
      <c r="B3442" s="1" t="s">
        <v>1697</v>
      </c>
      <c r="C3442" s="1" t="s">
        <v>4737</v>
      </c>
      <c r="D3442" s="1" t="s">
        <v>4739</v>
      </c>
      <c r="E3442" s="1" t="s">
        <v>7</v>
      </c>
    </row>
    <row r="3443" customFormat="false" ht="16" hidden="false" customHeight="false" outlineLevel="0" collapsed="false">
      <c r="A3443" s="1" t="s">
        <v>5458</v>
      </c>
      <c r="B3443" s="1" t="s">
        <v>1697</v>
      </c>
      <c r="C3443" s="1" t="s">
        <v>4737</v>
      </c>
      <c r="D3443" s="1" t="s">
        <v>4741</v>
      </c>
      <c r="E3443" s="1" t="s">
        <v>7</v>
      </c>
    </row>
    <row r="3444" customFormat="false" ht="16" hidden="false" customHeight="false" outlineLevel="0" collapsed="false">
      <c r="A3444" s="1" t="s">
        <v>5459</v>
      </c>
      <c r="B3444" s="1" t="s">
        <v>1697</v>
      </c>
      <c r="C3444" s="1" t="s">
        <v>4737</v>
      </c>
      <c r="D3444" s="1" t="s">
        <v>4743</v>
      </c>
      <c r="E3444" s="1" t="s">
        <v>7</v>
      </c>
    </row>
    <row r="3445" customFormat="false" ht="16" hidden="false" customHeight="false" outlineLevel="0" collapsed="false">
      <c r="A3445" s="1" t="s">
        <v>5460</v>
      </c>
      <c r="B3445" s="1" t="s">
        <v>1697</v>
      </c>
      <c r="C3445" s="1" t="s">
        <v>4737</v>
      </c>
      <c r="D3445" s="1" t="s">
        <v>4745</v>
      </c>
      <c r="E3445" s="1" t="s">
        <v>7</v>
      </c>
    </row>
    <row r="3446" customFormat="false" ht="16" hidden="false" customHeight="false" outlineLevel="0" collapsed="false">
      <c r="A3446" s="1" t="s">
        <v>5461</v>
      </c>
      <c r="B3446" s="1" t="s">
        <v>1697</v>
      </c>
      <c r="C3446" s="1" t="s">
        <v>4737</v>
      </c>
      <c r="D3446" s="1" t="s">
        <v>770</v>
      </c>
      <c r="E3446" s="1" t="s">
        <v>7</v>
      </c>
    </row>
    <row r="3447" customFormat="false" ht="16" hidden="false" customHeight="false" outlineLevel="0" collapsed="false">
      <c r="A3447" s="1" t="s">
        <v>5462</v>
      </c>
      <c r="B3447" s="1" t="s">
        <v>5463</v>
      </c>
      <c r="C3447" s="1" t="s">
        <v>4737</v>
      </c>
      <c r="D3447" s="1" t="s">
        <v>4745</v>
      </c>
      <c r="E3447" s="1" t="s">
        <v>2793</v>
      </c>
    </row>
    <row r="3448" customFormat="false" ht="16" hidden="false" customHeight="false" outlineLevel="0" collapsed="false">
      <c r="A3448" s="1" t="s">
        <v>5464</v>
      </c>
      <c r="B3448" s="1" t="s">
        <v>4174</v>
      </c>
      <c r="C3448" s="1" t="s">
        <v>4737</v>
      </c>
      <c r="D3448" s="1" t="s">
        <v>4739</v>
      </c>
      <c r="E3448" s="1" t="s">
        <v>7</v>
      </c>
    </row>
    <row r="3449" customFormat="false" ht="16" hidden="false" customHeight="false" outlineLevel="0" collapsed="false">
      <c r="A3449" s="1" t="s">
        <v>5465</v>
      </c>
      <c r="B3449" s="1" t="s">
        <v>4174</v>
      </c>
      <c r="C3449" s="1" t="s">
        <v>4737</v>
      </c>
      <c r="D3449" s="1" t="s">
        <v>4741</v>
      </c>
      <c r="E3449" s="1" t="s">
        <v>7</v>
      </c>
    </row>
    <row r="3450" customFormat="false" ht="16" hidden="false" customHeight="false" outlineLevel="0" collapsed="false">
      <c r="A3450" s="1" t="s">
        <v>5466</v>
      </c>
      <c r="B3450" s="1" t="s">
        <v>4174</v>
      </c>
      <c r="C3450" s="1" t="s">
        <v>4737</v>
      </c>
      <c r="D3450" s="1" t="s">
        <v>4743</v>
      </c>
      <c r="E3450" s="1" t="s">
        <v>7</v>
      </c>
    </row>
    <row r="3451" customFormat="false" ht="16" hidden="false" customHeight="false" outlineLevel="0" collapsed="false">
      <c r="A3451" s="1" t="s">
        <v>5467</v>
      </c>
      <c r="B3451" s="1" t="s">
        <v>4174</v>
      </c>
      <c r="C3451" s="1" t="s">
        <v>4737</v>
      </c>
      <c r="D3451" s="1" t="s">
        <v>4745</v>
      </c>
      <c r="E3451" s="1" t="s">
        <v>7</v>
      </c>
    </row>
    <row r="3452" customFormat="false" ht="16" hidden="false" customHeight="false" outlineLevel="0" collapsed="false">
      <c r="A3452" s="1" t="s">
        <v>5468</v>
      </c>
      <c r="B3452" s="1" t="s">
        <v>4174</v>
      </c>
      <c r="C3452" s="1" t="s">
        <v>4737</v>
      </c>
      <c r="D3452" s="1" t="s">
        <v>770</v>
      </c>
      <c r="E3452" s="1" t="s">
        <v>7</v>
      </c>
    </row>
    <row r="3453" customFormat="false" ht="16" hidden="false" customHeight="false" outlineLevel="0" collapsed="false">
      <c r="A3453" s="1" t="s">
        <v>5469</v>
      </c>
      <c r="B3453" s="1" t="s">
        <v>5470</v>
      </c>
      <c r="C3453" s="1" t="s">
        <v>4737</v>
      </c>
      <c r="D3453" s="1" t="s">
        <v>770</v>
      </c>
      <c r="E3453" s="1" t="s">
        <v>7</v>
      </c>
    </row>
    <row r="3454" customFormat="false" ht="16" hidden="false" customHeight="false" outlineLevel="0" collapsed="false">
      <c r="A3454" s="1" t="s">
        <v>5471</v>
      </c>
      <c r="B3454" s="1" t="s">
        <v>5472</v>
      </c>
      <c r="C3454" s="1" t="s">
        <v>4737</v>
      </c>
      <c r="D3454" s="1" t="s">
        <v>4739</v>
      </c>
      <c r="E3454" s="1" t="s">
        <v>7</v>
      </c>
    </row>
    <row r="3455" customFormat="false" ht="16" hidden="false" customHeight="false" outlineLevel="0" collapsed="false">
      <c r="A3455" s="1" t="s">
        <v>5473</v>
      </c>
      <c r="B3455" s="1" t="s">
        <v>5472</v>
      </c>
      <c r="C3455" s="1" t="s">
        <v>4737</v>
      </c>
      <c r="D3455" s="1" t="s">
        <v>4741</v>
      </c>
      <c r="E3455" s="1" t="s">
        <v>7</v>
      </c>
    </row>
    <row r="3456" customFormat="false" ht="16" hidden="false" customHeight="false" outlineLevel="0" collapsed="false">
      <c r="A3456" s="1" t="s">
        <v>5474</v>
      </c>
      <c r="B3456" s="1" t="s">
        <v>5472</v>
      </c>
      <c r="C3456" s="1" t="s">
        <v>4737</v>
      </c>
      <c r="D3456" s="1" t="s">
        <v>4743</v>
      </c>
      <c r="E3456" s="1" t="s">
        <v>7</v>
      </c>
    </row>
    <row r="3457" customFormat="false" ht="16" hidden="false" customHeight="false" outlineLevel="0" collapsed="false">
      <c r="A3457" s="1" t="s">
        <v>5475</v>
      </c>
      <c r="B3457" s="1" t="s">
        <v>5472</v>
      </c>
      <c r="C3457" s="1" t="s">
        <v>4737</v>
      </c>
      <c r="D3457" s="1" t="s">
        <v>4745</v>
      </c>
      <c r="E3457" s="1" t="s">
        <v>7</v>
      </c>
    </row>
    <row r="3458" customFormat="false" ht="16" hidden="false" customHeight="false" outlineLevel="0" collapsed="false">
      <c r="A3458" s="1" t="s">
        <v>5476</v>
      </c>
      <c r="B3458" s="1" t="s">
        <v>5472</v>
      </c>
      <c r="C3458" s="1" t="s">
        <v>4737</v>
      </c>
      <c r="D3458" s="1" t="s">
        <v>770</v>
      </c>
      <c r="E3458" s="1" t="s">
        <v>7</v>
      </c>
    </row>
    <row r="3459" customFormat="false" ht="16" hidden="false" customHeight="false" outlineLevel="0" collapsed="false">
      <c r="A3459" s="1" t="s">
        <v>5477</v>
      </c>
      <c r="B3459" s="1" t="s">
        <v>1711</v>
      </c>
      <c r="C3459" s="1" t="s">
        <v>4737</v>
      </c>
      <c r="D3459" s="1" t="s">
        <v>4739</v>
      </c>
      <c r="E3459" s="1" t="s">
        <v>7</v>
      </c>
    </row>
    <row r="3460" customFormat="false" ht="16" hidden="false" customHeight="false" outlineLevel="0" collapsed="false">
      <c r="A3460" s="1" t="s">
        <v>5478</v>
      </c>
      <c r="B3460" s="1" t="s">
        <v>1711</v>
      </c>
      <c r="C3460" s="1" t="s">
        <v>4737</v>
      </c>
      <c r="D3460" s="1" t="s">
        <v>4745</v>
      </c>
      <c r="E3460" s="1" t="s">
        <v>7</v>
      </c>
    </row>
    <row r="3461" customFormat="false" ht="16" hidden="false" customHeight="false" outlineLevel="0" collapsed="false">
      <c r="A3461" s="1" t="s">
        <v>5479</v>
      </c>
      <c r="B3461" s="1" t="s">
        <v>1711</v>
      </c>
      <c r="C3461" s="1" t="s">
        <v>4737</v>
      </c>
      <c r="D3461" s="1" t="s">
        <v>770</v>
      </c>
      <c r="E3461" s="1" t="s">
        <v>7</v>
      </c>
    </row>
    <row r="3462" customFormat="false" ht="16" hidden="false" customHeight="false" outlineLevel="0" collapsed="false">
      <c r="A3462" s="1" t="s">
        <v>5480</v>
      </c>
      <c r="B3462" s="1" t="s">
        <v>169</v>
      </c>
      <c r="C3462" s="1" t="s">
        <v>4737</v>
      </c>
      <c r="D3462" s="1" t="s">
        <v>4739</v>
      </c>
      <c r="E3462" s="1" t="s">
        <v>7</v>
      </c>
    </row>
    <row r="3463" customFormat="false" ht="16" hidden="false" customHeight="false" outlineLevel="0" collapsed="false">
      <c r="A3463" s="1" t="s">
        <v>5481</v>
      </c>
      <c r="B3463" s="1" t="s">
        <v>169</v>
      </c>
      <c r="C3463" s="1" t="s">
        <v>4737</v>
      </c>
      <c r="D3463" s="1" t="s">
        <v>4741</v>
      </c>
      <c r="E3463" s="1" t="s">
        <v>7</v>
      </c>
    </row>
    <row r="3464" customFormat="false" ht="16" hidden="false" customHeight="false" outlineLevel="0" collapsed="false">
      <c r="A3464" s="1" t="s">
        <v>5482</v>
      </c>
      <c r="B3464" s="1" t="s">
        <v>169</v>
      </c>
      <c r="C3464" s="1" t="s">
        <v>4737</v>
      </c>
      <c r="D3464" s="1" t="s">
        <v>4743</v>
      </c>
      <c r="E3464" s="1" t="s">
        <v>7</v>
      </c>
    </row>
    <row r="3465" customFormat="false" ht="16" hidden="false" customHeight="false" outlineLevel="0" collapsed="false">
      <c r="A3465" s="1" t="s">
        <v>5483</v>
      </c>
      <c r="B3465" s="1" t="s">
        <v>169</v>
      </c>
      <c r="C3465" s="1" t="s">
        <v>4737</v>
      </c>
      <c r="D3465" s="1" t="s">
        <v>4745</v>
      </c>
      <c r="E3465" s="1" t="s">
        <v>7</v>
      </c>
    </row>
    <row r="3466" customFormat="false" ht="16" hidden="false" customHeight="false" outlineLevel="0" collapsed="false">
      <c r="A3466" s="1" t="s">
        <v>5484</v>
      </c>
      <c r="B3466" s="1" t="s">
        <v>169</v>
      </c>
      <c r="C3466" s="1" t="s">
        <v>4737</v>
      </c>
      <c r="D3466" s="1" t="s">
        <v>770</v>
      </c>
      <c r="E3466" s="1" t="s">
        <v>7</v>
      </c>
    </row>
    <row r="3467" customFormat="false" ht="16" hidden="false" customHeight="false" outlineLevel="0" collapsed="false">
      <c r="A3467" s="1" t="s">
        <v>5485</v>
      </c>
      <c r="B3467" s="1" t="s">
        <v>1713</v>
      </c>
      <c r="C3467" s="1" t="s">
        <v>4737</v>
      </c>
      <c r="D3467" s="1" t="s">
        <v>4739</v>
      </c>
      <c r="E3467" s="1" t="s">
        <v>1714</v>
      </c>
    </row>
    <row r="3468" customFormat="false" ht="16" hidden="false" customHeight="false" outlineLevel="0" collapsed="false">
      <c r="A3468" s="1" t="s">
        <v>5486</v>
      </c>
      <c r="B3468" s="1" t="s">
        <v>1713</v>
      </c>
      <c r="C3468" s="1" t="s">
        <v>4737</v>
      </c>
      <c r="D3468" s="1" t="s">
        <v>4741</v>
      </c>
      <c r="E3468" s="1" t="s">
        <v>1714</v>
      </c>
    </row>
    <row r="3469" customFormat="false" ht="16" hidden="false" customHeight="false" outlineLevel="0" collapsed="false">
      <c r="A3469" s="1" t="s">
        <v>5487</v>
      </c>
      <c r="B3469" s="1" t="s">
        <v>1713</v>
      </c>
      <c r="C3469" s="1" t="s">
        <v>4737</v>
      </c>
      <c r="D3469" s="1" t="s">
        <v>4743</v>
      </c>
      <c r="E3469" s="1" t="s">
        <v>1714</v>
      </c>
    </row>
    <row r="3470" customFormat="false" ht="16" hidden="false" customHeight="false" outlineLevel="0" collapsed="false">
      <c r="A3470" s="1" t="s">
        <v>5488</v>
      </c>
      <c r="B3470" s="1" t="s">
        <v>1713</v>
      </c>
      <c r="C3470" s="1" t="s">
        <v>4737</v>
      </c>
      <c r="D3470" s="1" t="s">
        <v>4745</v>
      </c>
      <c r="E3470" s="1" t="s">
        <v>1714</v>
      </c>
    </row>
    <row r="3471" customFormat="false" ht="16" hidden="false" customHeight="false" outlineLevel="0" collapsed="false">
      <c r="A3471" s="1" t="s">
        <v>5489</v>
      </c>
      <c r="B3471" s="1" t="s">
        <v>1713</v>
      </c>
      <c r="C3471" s="1" t="s">
        <v>4737</v>
      </c>
      <c r="D3471" s="1" t="s">
        <v>770</v>
      </c>
      <c r="E3471" s="1" t="s">
        <v>1714</v>
      </c>
    </row>
    <row r="3472" customFormat="false" ht="16" hidden="false" customHeight="false" outlineLevel="0" collapsed="false">
      <c r="A3472" s="1" t="s">
        <v>5490</v>
      </c>
      <c r="B3472" s="1" t="s">
        <v>4200</v>
      </c>
      <c r="C3472" s="1" t="s">
        <v>4737</v>
      </c>
      <c r="D3472" s="1" t="s">
        <v>4739</v>
      </c>
      <c r="E3472" s="1" t="s">
        <v>7</v>
      </c>
    </row>
    <row r="3473" customFormat="false" ht="16" hidden="false" customHeight="false" outlineLevel="0" collapsed="false">
      <c r="A3473" s="1" t="s">
        <v>5491</v>
      </c>
      <c r="B3473" s="1" t="s">
        <v>4200</v>
      </c>
      <c r="C3473" s="1" t="s">
        <v>4737</v>
      </c>
      <c r="D3473" s="1" t="s">
        <v>4741</v>
      </c>
      <c r="E3473" s="1" t="s">
        <v>7</v>
      </c>
    </row>
    <row r="3474" customFormat="false" ht="16" hidden="false" customHeight="false" outlineLevel="0" collapsed="false">
      <c r="A3474" s="1" t="s">
        <v>5492</v>
      </c>
      <c r="B3474" s="1" t="s">
        <v>4200</v>
      </c>
      <c r="C3474" s="1" t="s">
        <v>4737</v>
      </c>
      <c r="D3474" s="1" t="s">
        <v>4743</v>
      </c>
      <c r="E3474" s="1" t="s">
        <v>7</v>
      </c>
    </row>
    <row r="3475" customFormat="false" ht="16" hidden="false" customHeight="false" outlineLevel="0" collapsed="false">
      <c r="A3475" s="1" t="s">
        <v>5493</v>
      </c>
      <c r="B3475" s="1" t="s">
        <v>4200</v>
      </c>
      <c r="C3475" s="1" t="s">
        <v>4737</v>
      </c>
      <c r="D3475" s="1" t="s">
        <v>4745</v>
      </c>
      <c r="E3475" s="1" t="s">
        <v>7</v>
      </c>
    </row>
    <row r="3476" customFormat="false" ht="16" hidden="false" customHeight="false" outlineLevel="0" collapsed="false">
      <c r="A3476" s="1" t="s">
        <v>5494</v>
      </c>
      <c r="B3476" s="1" t="s">
        <v>4200</v>
      </c>
      <c r="C3476" s="1" t="s">
        <v>4737</v>
      </c>
      <c r="D3476" s="1" t="s">
        <v>770</v>
      </c>
      <c r="E3476" s="1" t="s">
        <v>7</v>
      </c>
    </row>
    <row r="3477" customFormat="false" ht="16" hidden="false" customHeight="false" outlineLevel="0" collapsed="false">
      <c r="A3477" s="1" t="s">
        <v>5495</v>
      </c>
      <c r="B3477" s="1" t="s">
        <v>1737</v>
      </c>
      <c r="C3477" s="1" t="s">
        <v>4737</v>
      </c>
      <c r="D3477" s="1" t="s">
        <v>4739</v>
      </c>
      <c r="E3477" s="1" t="s">
        <v>7</v>
      </c>
    </row>
    <row r="3478" customFormat="false" ht="16" hidden="false" customHeight="false" outlineLevel="0" collapsed="false">
      <c r="A3478" s="1" t="s">
        <v>5496</v>
      </c>
      <c r="B3478" s="1" t="s">
        <v>1737</v>
      </c>
      <c r="C3478" s="1" t="s">
        <v>4737</v>
      </c>
      <c r="D3478" s="1" t="s">
        <v>4741</v>
      </c>
      <c r="E3478" s="1" t="s">
        <v>7</v>
      </c>
    </row>
    <row r="3479" customFormat="false" ht="16" hidden="false" customHeight="false" outlineLevel="0" collapsed="false">
      <c r="A3479" s="1" t="s">
        <v>5497</v>
      </c>
      <c r="B3479" s="1" t="s">
        <v>1737</v>
      </c>
      <c r="C3479" s="1" t="s">
        <v>4737</v>
      </c>
      <c r="D3479" s="1" t="s">
        <v>4743</v>
      </c>
      <c r="E3479" s="1" t="s">
        <v>7</v>
      </c>
    </row>
    <row r="3480" customFormat="false" ht="16" hidden="false" customHeight="false" outlineLevel="0" collapsed="false">
      <c r="A3480" s="1" t="s">
        <v>5498</v>
      </c>
      <c r="B3480" s="1" t="s">
        <v>1737</v>
      </c>
      <c r="C3480" s="1" t="s">
        <v>4737</v>
      </c>
      <c r="D3480" s="1" t="s">
        <v>4745</v>
      </c>
      <c r="E3480" s="1" t="s">
        <v>7</v>
      </c>
    </row>
    <row r="3481" customFormat="false" ht="16" hidden="false" customHeight="false" outlineLevel="0" collapsed="false">
      <c r="A3481" s="1" t="s">
        <v>5499</v>
      </c>
      <c r="B3481" s="1" t="s">
        <v>1737</v>
      </c>
      <c r="C3481" s="1" t="s">
        <v>4737</v>
      </c>
      <c r="D3481" s="1" t="s">
        <v>770</v>
      </c>
      <c r="E3481" s="1" t="s">
        <v>7</v>
      </c>
    </row>
    <row r="3482" customFormat="false" ht="16" hidden="false" customHeight="false" outlineLevel="0" collapsed="false">
      <c r="A3482" s="1" t="s">
        <v>5500</v>
      </c>
      <c r="B3482" s="1" t="s">
        <v>5501</v>
      </c>
      <c r="C3482" s="1" t="s">
        <v>4737</v>
      </c>
      <c r="D3482" s="1" t="s">
        <v>4739</v>
      </c>
      <c r="E3482" s="1" t="s">
        <v>7</v>
      </c>
    </row>
    <row r="3483" customFormat="false" ht="16" hidden="false" customHeight="false" outlineLevel="0" collapsed="false">
      <c r="A3483" s="1" t="s">
        <v>5502</v>
      </c>
      <c r="B3483" s="1" t="s">
        <v>5501</v>
      </c>
      <c r="C3483" s="1" t="s">
        <v>4737</v>
      </c>
      <c r="D3483" s="1" t="s">
        <v>4741</v>
      </c>
      <c r="E3483" s="1" t="s">
        <v>7</v>
      </c>
    </row>
    <row r="3484" customFormat="false" ht="16" hidden="false" customHeight="false" outlineLevel="0" collapsed="false">
      <c r="A3484" s="1" t="s">
        <v>5503</v>
      </c>
      <c r="B3484" s="1" t="s">
        <v>5501</v>
      </c>
      <c r="C3484" s="1" t="s">
        <v>4737</v>
      </c>
      <c r="D3484" s="1" t="s">
        <v>4743</v>
      </c>
      <c r="E3484" s="1" t="s">
        <v>7</v>
      </c>
    </row>
    <row r="3485" customFormat="false" ht="16" hidden="false" customHeight="false" outlineLevel="0" collapsed="false">
      <c r="A3485" s="1" t="s">
        <v>5504</v>
      </c>
      <c r="B3485" s="1" t="s">
        <v>5501</v>
      </c>
      <c r="C3485" s="1" t="s">
        <v>4737</v>
      </c>
      <c r="D3485" s="1" t="s">
        <v>4745</v>
      </c>
      <c r="E3485" s="1" t="s">
        <v>7</v>
      </c>
    </row>
    <row r="3486" customFormat="false" ht="16" hidden="false" customHeight="false" outlineLevel="0" collapsed="false">
      <c r="A3486" s="1" t="s">
        <v>5505</v>
      </c>
      <c r="B3486" s="1" t="s">
        <v>5501</v>
      </c>
      <c r="C3486" s="1" t="s">
        <v>4737</v>
      </c>
      <c r="D3486" s="1" t="s">
        <v>770</v>
      </c>
      <c r="E3486" s="1" t="s">
        <v>7</v>
      </c>
    </row>
    <row r="3487" customFormat="false" ht="16" hidden="false" customHeight="false" outlineLevel="0" collapsed="false">
      <c r="A3487" s="1" t="s">
        <v>5506</v>
      </c>
      <c r="B3487" s="1" t="s">
        <v>1749</v>
      </c>
      <c r="C3487" s="1" t="s">
        <v>4737</v>
      </c>
      <c r="D3487" s="1" t="s">
        <v>4739</v>
      </c>
      <c r="E3487" s="1" t="s">
        <v>7</v>
      </c>
    </row>
    <row r="3488" customFormat="false" ht="16" hidden="false" customHeight="false" outlineLevel="0" collapsed="false">
      <c r="A3488" s="1" t="s">
        <v>5507</v>
      </c>
      <c r="B3488" s="1" t="s">
        <v>1749</v>
      </c>
      <c r="C3488" s="1" t="s">
        <v>4737</v>
      </c>
      <c r="D3488" s="1" t="s">
        <v>4741</v>
      </c>
      <c r="E3488" s="1" t="s">
        <v>7</v>
      </c>
    </row>
    <row r="3489" customFormat="false" ht="16" hidden="false" customHeight="false" outlineLevel="0" collapsed="false">
      <c r="A3489" s="1" t="s">
        <v>5508</v>
      </c>
      <c r="B3489" s="1" t="s">
        <v>1749</v>
      </c>
      <c r="C3489" s="1" t="s">
        <v>4737</v>
      </c>
      <c r="D3489" s="1" t="s">
        <v>4743</v>
      </c>
      <c r="E3489" s="1" t="s">
        <v>7</v>
      </c>
    </row>
    <row r="3490" customFormat="false" ht="16" hidden="false" customHeight="false" outlineLevel="0" collapsed="false">
      <c r="A3490" s="1" t="s">
        <v>5509</v>
      </c>
      <c r="B3490" s="1" t="s">
        <v>1749</v>
      </c>
      <c r="C3490" s="1" t="s">
        <v>4737</v>
      </c>
      <c r="D3490" s="1" t="s">
        <v>4745</v>
      </c>
      <c r="E3490" s="1" t="s">
        <v>7</v>
      </c>
    </row>
    <row r="3491" customFormat="false" ht="16" hidden="false" customHeight="false" outlineLevel="0" collapsed="false">
      <c r="A3491" s="1" t="s">
        <v>5510</v>
      </c>
      <c r="B3491" s="1" t="s">
        <v>1749</v>
      </c>
      <c r="C3491" s="1" t="s">
        <v>4737</v>
      </c>
      <c r="D3491" s="1" t="s">
        <v>770</v>
      </c>
      <c r="E3491" s="1" t="s">
        <v>7</v>
      </c>
    </row>
    <row r="3492" customFormat="false" ht="16" hidden="false" customHeight="false" outlineLevel="0" collapsed="false">
      <c r="A3492" s="1" t="s">
        <v>5511</v>
      </c>
      <c r="B3492" s="1" t="s">
        <v>1755</v>
      </c>
      <c r="C3492" s="1" t="s">
        <v>4737</v>
      </c>
      <c r="D3492" s="1" t="s">
        <v>4739</v>
      </c>
      <c r="E3492" s="1" t="s">
        <v>7</v>
      </c>
    </row>
    <row r="3493" customFormat="false" ht="16" hidden="false" customHeight="false" outlineLevel="0" collapsed="false">
      <c r="A3493" s="1" t="s">
        <v>5512</v>
      </c>
      <c r="B3493" s="1" t="s">
        <v>1755</v>
      </c>
      <c r="C3493" s="1" t="s">
        <v>4737</v>
      </c>
      <c r="D3493" s="1" t="s">
        <v>4741</v>
      </c>
      <c r="E3493" s="1" t="s">
        <v>7</v>
      </c>
    </row>
    <row r="3494" customFormat="false" ht="16" hidden="false" customHeight="false" outlineLevel="0" collapsed="false">
      <c r="A3494" s="1" t="s">
        <v>5513</v>
      </c>
      <c r="B3494" s="1" t="s">
        <v>1755</v>
      </c>
      <c r="C3494" s="1" t="s">
        <v>4737</v>
      </c>
      <c r="D3494" s="1" t="s">
        <v>4743</v>
      </c>
      <c r="E3494" s="1" t="s">
        <v>7</v>
      </c>
    </row>
    <row r="3495" customFormat="false" ht="16" hidden="false" customHeight="false" outlineLevel="0" collapsed="false">
      <c r="A3495" s="1" t="s">
        <v>5514</v>
      </c>
      <c r="B3495" s="1" t="s">
        <v>1755</v>
      </c>
      <c r="C3495" s="1" t="s">
        <v>4737</v>
      </c>
      <c r="D3495" s="1" t="s">
        <v>4745</v>
      </c>
      <c r="E3495" s="1" t="s">
        <v>7</v>
      </c>
    </row>
    <row r="3496" customFormat="false" ht="16" hidden="false" customHeight="false" outlineLevel="0" collapsed="false">
      <c r="A3496" s="1" t="s">
        <v>5515</v>
      </c>
      <c r="B3496" s="1" t="s">
        <v>1755</v>
      </c>
      <c r="C3496" s="1" t="s">
        <v>4737</v>
      </c>
      <c r="D3496" s="1" t="s">
        <v>770</v>
      </c>
      <c r="E3496" s="1" t="s">
        <v>7</v>
      </c>
    </row>
    <row r="3497" customFormat="false" ht="16" hidden="false" customHeight="false" outlineLevel="0" collapsed="false">
      <c r="A3497" s="1" t="s">
        <v>5516</v>
      </c>
      <c r="B3497" s="1" t="s">
        <v>1761</v>
      </c>
      <c r="C3497" s="1" t="s">
        <v>4737</v>
      </c>
      <c r="D3497" s="1" t="s">
        <v>4739</v>
      </c>
      <c r="E3497" s="1" t="s">
        <v>7</v>
      </c>
    </row>
    <row r="3498" customFormat="false" ht="16" hidden="false" customHeight="false" outlineLevel="0" collapsed="false">
      <c r="A3498" s="1" t="s">
        <v>5517</v>
      </c>
      <c r="B3498" s="1" t="s">
        <v>1761</v>
      </c>
      <c r="C3498" s="1" t="s">
        <v>4737</v>
      </c>
      <c r="D3498" s="1" t="s">
        <v>4741</v>
      </c>
      <c r="E3498" s="1" t="s">
        <v>7</v>
      </c>
    </row>
    <row r="3499" customFormat="false" ht="16" hidden="false" customHeight="false" outlineLevel="0" collapsed="false">
      <c r="A3499" s="1" t="s">
        <v>5518</v>
      </c>
      <c r="B3499" s="1" t="s">
        <v>1761</v>
      </c>
      <c r="C3499" s="1" t="s">
        <v>4737</v>
      </c>
      <c r="D3499" s="1" t="s">
        <v>4743</v>
      </c>
      <c r="E3499" s="1" t="s">
        <v>7</v>
      </c>
    </row>
    <row r="3500" customFormat="false" ht="16" hidden="false" customHeight="false" outlineLevel="0" collapsed="false">
      <c r="A3500" s="1" t="s">
        <v>5519</v>
      </c>
      <c r="B3500" s="1" t="s">
        <v>1761</v>
      </c>
      <c r="C3500" s="1" t="s">
        <v>4737</v>
      </c>
      <c r="D3500" s="1" t="s">
        <v>4745</v>
      </c>
      <c r="E3500" s="1" t="s">
        <v>7</v>
      </c>
    </row>
    <row r="3501" customFormat="false" ht="16" hidden="false" customHeight="false" outlineLevel="0" collapsed="false">
      <c r="A3501" s="1" t="s">
        <v>5520</v>
      </c>
      <c r="B3501" s="1" t="s">
        <v>1761</v>
      </c>
      <c r="C3501" s="1" t="s">
        <v>4737</v>
      </c>
      <c r="D3501" s="1" t="s">
        <v>770</v>
      </c>
      <c r="E3501" s="1" t="s">
        <v>7</v>
      </c>
    </row>
    <row r="3502" customFormat="false" ht="16" hidden="false" customHeight="false" outlineLevel="0" collapsed="false">
      <c r="A3502" s="1" t="s">
        <v>5521</v>
      </c>
      <c r="B3502" s="1" t="s">
        <v>1773</v>
      </c>
      <c r="C3502" s="1" t="s">
        <v>4737</v>
      </c>
      <c r="D3502" s="1" t="s">
        <v>4739</v>
      </c>
      <c r="E3502" s="1" t="s">
        <v>7</v>
      </c>
    </row>
    <row r="3503" customFormat="false" ht="16" hidden="false" customHeight="false" outlineLevel="0" collapsed="false">
      <c r="A3503" s="1" t="s">
        <v>5522</v>
      </c>
      <c r="B3503" s="1" t="s">
        <v>1773</v>
      </c>
      <c r="C3503" s="1" t="s">
        <v>4737</v>
      </c>
      <c r="D3503" s="1" t="s">
        <v>4741</v>
      </c>
      <c r="E3503" s="1" t="s">
        <v>7</v>
      </c>
    </row>
    <row r="3504" customFormat="false" ht="16" hidden="false" customHeight="false" outlineLevel="0" collapsed="false">
      <c r="A3504" s="1" t="s">
        <v>5523</v>
      </c>
      <c r="B3504" s="1" t="s">
        <v>1773</v>
      </c>
      <c r="C3504" s="1" t="s">
        <v>4737</v>
      </c>
      <c r="D3504" s="1" t="s">
        <v>4743</v>
      </c>
      <c r="E3504" s="1" t="s">
        <v>7</v>
      </c>
    </row>
    <row r="3505" customFormat="false" ht="16" hidden="false" customHeight="false" outlineLevel="0" collapsed="false">
      <c r="A3505" s="1" t="s">
        <v>5524</v>
      </c>
      <c r="B3505" s="1" t="s">
        <v>1773</v>
      </c>
      <c r="C3505" s="1" t="s">
        <v>4737</v>
      </c>
      <c r="D3505" s="1" t="s">
        <v>4745</v>
      </c>
      <c r="E3505" s="1" t="s">
        <v>7</v>
      </c>
    </row>
    <row r="3506" customFormat="false" ht="16" hidden="false" customHeight="false" outlineLevel="0" collapsed="false">
      <c r="A3506" s="1" t="s">
        <v>5525</v>
      </c>
      <c r="B3506" s="1" t="s">
        <v>1773</v>
      </c>
      <c r="C3506" s="1" t="s">
        <v>4737</v>
      </c>
      <c r="D3506" s="1" t="s">
        <v>770</v>
      </c>
      <c r="E3506" s="1" t="s">
        <v>7</v>
      </c>
    </row>
    <row r="3507" customFormat="false" ht="16" hidden="false" customHeight="false" outlineLevel="0" collapsed="false">
      <c r="A3507" s="1" t="s">
        <v>5526</v>
      </c>
      <c r="B3507" s="1" t="s">
        <v>1775</v>
      </c>
      <c r="C3507" s="1" t="s">
        <v>4737</v>
      </c>
      <c r="D3507" s="1" t="s">
        <v>770</v>
      </c>
      <c r="E3507" s="1" t="s">
        <v>7</v>
      </c>
    </row>
    <row r="3508" customFormat="false" ht="16" hidden="false" customHeight="false" outlineLevel="0" collapsed="false">
      <c r="A3508" s="1" t="s">
        <v>5527</v>
      </c>
      <c r="B3508" s="1" t="s">
        <v>5528</v>
      </c>
      <c r="C3508" s="1" t="s">
        <v>4737</v>
      </c>
      <c r="D3508" s="1" t="s">
        <v>4743</v>
      </c>
      <c r="E3508" s="1" t="s">
        <v>7</v>
      </c>
    </row>
    <row r="3509" customFormat="false" ht="16" hidden="false" customHeight="false" outlineLevel="0" collapsed="false">
      <c r="A3509" s="1" t="s">
        <v>5529</v>
      </c>
      <c r="B3509" s="1" t="s">
        <v>1794</v>
      </c>
      <c r="C3509" s="1" t="s">
        <v>4737</v>
      </c>
      <c r="D3509" s="1" t="s">
        <v>4739</v>
      </c>
      <c r="E3509" s="1" t="s">
        <v>7</v>
      </c>
    </row>
    <row r="3510" customFormat="false" ht="16" hidden="false" customHeight="false" outlineLevel="0" collapsed="false">
      <c r="A3510" s="1" t="s">
        <v>5530</v>
      </c>
      <c r="B3510" s="1" t="s">
        <v>1794</v>
      </c>
      <c r="C3510" s="1" t="s">
        <v>4737</v>
      </c>
      <c r="D3510" s="1" t="s">
        <v>4741</v>
      </c>
      <c r="E3510" s="1" t="s">
        <v>7</v>
      </c>
    </row>
    <row r="3511" customFormat="false" ht="16" hidden="false" customHeight="false" outlineLevel="0" collapsed="false">
      <c r="A3511" s="1" t="s">
        <v>5531</v>
      </c>
      <c r="B3511" s="1" t="s">
        <v>1794</v>
      </c>
      <c r="C3511" s="1" t="s">
        <v>4737</v>
      </c>
      <c r="D3511" s="1" t="s">
        <v>4743</v>
      </c>
      <c r="E3511" s="1" t="s">
        <v>7</v>
      </c>
    </row>
    <row r="3512" customFormat="false" ht="16" hidden="false" customHeight="false" outlineLevel="0" collapsed="false">
      <c r="A3512" s="1" t="s">
        <v>5532</v>
      </c>
      <c r="B3512" s="1" t="s">
        <v>1794</v>
      </c>
      <c r="C3512" s="1" t="s">
        <v>4737</v>
      </c>
      <c r="D3512" s="1" t="s">
        <v>4745</v>
      </c>
      <c r="E3512" s="1" t="s">
        <v>7</v>
      </c>
    </row>
    <row r="3513" customFormat="false" ht="16" hidden="false" customHeight="false" outlineLevel="0" collapsed="false">
      <c r="A3513" s="1" t="s">
        <v>5533</v>
      </c>
      <c r="B3513" s="1" t="s">
        <v>1794</v>
      </c>
      <c r="C3513" s="1" t="s">
        <v>4737</v>
      </c>
      <c r="D3513" s="1" t="s">
        <v>770</v>
      </c>
      <c r="E3513" s="1" t="s">
        <v>7</v>
      </c>
    </row>
    <row r="3514" customFormat="false" ht="16" hidden="false" customHeight="false" outlineLevel="0" collapsed="false">
      <c r="A3514" s="1" t="s">
        <v>5534</v>
      </c>
      <c r="B3514" s="1" t="s">
        <v>1800</v>
      </c>
      <c r="C3514" s="1" t="s">
        <v>4737</v>
      </c>
      <c r="D3514" s="1" t="s">
        <v>4739</v>
      </c>
      <c r="E3514" s="1" t="s">
        <v>7</v>
      </c>
    </row>
    <row r="3515" customFormat="false" ht="16" hidden="false" customHeight="false" outlineLevel="0" collapsed="false">
      <c r="A3515" s="1" t="s">
        <v>5535</v>
      </c>
      <c r="B3515" s="1" t="s">
        <v>1800</v>
      </c>
      <c r="C3515" s="1" t="s">
        <v>4737</v>
      </c>
      <c r="D3515" s="1" t="s">
        <v>4741</v>
      </c>
      <c r="E3515" s="1" t="s">
        <v>7</v>
      </c>
    </row>
    <row r="3516" customFormat="false" ht="16" hidden="false" customHeight="false" outlineLevel="0" collapsed="false">
      <c r="A3516" s="1" t="s">
        <v>5536</v>
      </c>
      <c r="B3516" s="1" t="s">
        <v>1800</v>
      </c>
      <c r="C3516" s="1" t="s">
        <v>4737</v>
      </c>
      <c r="D3516" s="1" t="s">
        <v>4743</v>
      </c>
      <c r="E3516" s="1" t="s">
        <v>7</v>
      </c>
    </row>
    <row r="3517" customFormat="false" ht="16" hidden="false" customHeight="false" outlineLevel="0" collapsed="false">
      <c r="A3517" s="1" t="s">
        <v>5537</v>
      </c>
      <c r="B3517" s="1" t="s">
        <v>1800</v>
      </c>
      <c r="C3517" s="1" t="s">
        <v>4737</v>
      </c>
      <c r="D3517" s="1" t="s">
        <v>4745</v>
      </c>
      <c r="E3517" s="1" t="s">
        <v>7</v>
      </c>
    </row>
    <row r="3518" customFormat="false" ht="16" hidden="false" customHeight="false" outlineLevel="0" collapsed="false">
      <c r="A3518" s="1" t="s">
        <v>5538</v>
      </c>
      <c r="B3518" s="1" t="s">
        <v>1800</v>
      </c>
      <c r="C3518" s="1" t="s">
        <v>4737</v>
      </c>
      <c r="D3518" s="1" t="s">
        <v>770</v>
      </c>
      <c r="E3518" s="1" t="s">
        <v>7</v>
      </c>
    </row>
    <row r="3519" customFormat="false" ht="16" hidden="false" customHeight="false" outlineLevel="0" collapsed="false">
      <c r="A3519" s="1" t="s">
        <v>5539</v>
      </c>
      <c r="B3519" s="1" t="s">
        <v>1806</v>
      </c>
      <c r="C3519" s="1" t="s">
        <v>4737</v>
      </c>
      <c r="D3519" s="1" t="s">
        <v>4739</v>
      </c>
      <c r="E3519" s="1" t="s">
        <v>906</v>
      </c>
    </row>
    <row r="3520" customFormat="false" ht="16" hidden="false" customHeight="false" outlineLevel="0" collapsed="false">
      <c r="A3520" s="1" t="s">
        <v>5540</v>
      </c>
      <c r="B3520" s="1" t="s">
        <v>1806</v>
      </c>
      <c r="C3520" s="1" t="s">
        <v>4737</v>
      </c>
      <c r="D3520" s="1" t="s">
        <v>4741</v>
      </c>
      <c r="E3520" s="1" t="s">
        <v>906</v>
      </c>
    </row>
    <row r="3521" customFormat="false" ht="16" hidden="false" customHeight="false" outlineLevel="0" collapsed="false">
      <c r="A3521" s="1" t="s">
        <v>5541</v>
      </c>
      <c r="B3521" s="1" t="s">
        <v>1806</v>
      </c>
      <c r="C3521" s="1" t="s">
        <v>4737</v>
      </c>
      <c r="D3521" s="1" t="s">
        <v>4743</v>
      </c>
      <c r="E3521" s="1" t="s">
        <v>906</v>
      </c>
    </row>
    <row r="3522" customFormat="false" ht="16" hidden="false" customHeight="false" outlineLevel="0" collapsed="false">
      <c r="A3522" s="1" t="s">
        <v>5542</v>
      </c>
      <c r="B3522" s="1" t="s">
        <v>1806</v>
      </c>
      <c r="C3522" s="1" t="s">
        <v>4737</v>
      </c>
      <c r="D3522" s="1" t="s">
        <v>4745</v>
      </c>
      <c r="E3522" s="1" t="s">
        <v>906</v>
      </c>
    </row>
    <row r="3523" customFormat="false" ht="16" hidden="false" customHeight="false" outlineLevel="0" collapsed="false">
      <c r="A3523" s="1" t="s">
        <v>5543</v>
      </c>
      <c r="B3523" s="1" t="s">
        <v>1806</v>
      </c>
      <c r="C3523" s="1" t="s">
        <v>4737</v>
      </c>
      <c r="D3523" s="1" t="s">
        <v>770</v>
      </c>
      <c r="E3523" s="1" t="s">
        <v>906</v>
      </c>
    </row>
    <row r="3524" customFormat="false" ht="16" hidden="false" customHeight="false" outlineLevel="0" collapsed="false">
      <c r="A3524" s="1" t="s">
        <v>5544</v>
      </c>
      <c r="B3524" s="1" t="s">
        <v>5545</v>
      </c>
      <c r="C3524" s="1" t="s">
        <v>4737</v>
      </c>
      <c r="D3524" s="1" t="s">
        <v>4739</v>
      </c>
      <c r="E3524" s="1" t="s">
        <v>7</v>
      </c>
    </row>
    <row r="3525" customFormat="false" ht="16" hidden="false" customHeight="false" outlineLevel="0" collapsed="false">
      <c r="A3525" s="1" t="s">
        <v>5546</v>
      </c>
      <c r="B3525" s="1" t="s">
        <v>5545</v>
      </c>
      <c r="C3525" s="1" t="s">
        <v>4737</v>
      </c>
      <c r="D3525" s="1" t="s">
        <v>4741</v>
      </c>
      <c r="E3525" s="1" t="s">
        <v>7</v>
      </c>
    </row>
    <row r="3526" customFormat="false" ht="16" hidden="false" customHeight="false" outlineLevel="0" collapsed="false">
      <c r="A3526" s="1" t="s">
        <v>5547</v>
      </c>
      <c r="B3526" s="1" t="s">
        <v>5545</v>
      </c>
      <c r="C3526" s="1" t="s">
        <v>4737</v>
      </c>
      <c r="D3526" s="1" t="s">
        <v>4743</v>
      </c>
      <c r="E3526" s="1" t="s">
        <v>7</v>
      </c>
    </row>
    <row r="3527" customFormat="false" ht="16" hidden="false" customHeight="false" outlineLevel="0" collapsed="false">
      <c r="A3527" s="1" t="s">
        <v>5548</v>
      </c>
      <c r="B3527" s="1" t="s">
        <v>5545</v>
      </c>
      <c r="C3527" s="1" t="s">
        <v>4737</v>
      </c>
      <c r="D3527" s="1" t="s">
        <v>4745</v>
      </c>
      <c r="E3527" s="1" t="s">
        <v>7</v>
      </c>
    </row>
    <row r="3528" customFormat="false" ht="16" hidden="false" customHeight="false" outlineLevel="0" collapsed="false">
      <c r="A3528" s="1" t="s">
        <v>5549</v>
      </c>
      <c r="B3528" s="1" t="s">
        <v>5545</v>
      </c>
      <c r="C3528" s="1" t="s">
        <v>4737</v>
      </c>
      <c r="D3528" s="1" t="s">
        <v>770</v>
      </c>
      <c r="E3528" s="1" t="s">
        <v>7</v>
      </c>
    </row>
    <row r="3529" customFormat="false" ht="16" hidden="false" customHeight="false" outlineLevel="0" collapsed="false">
      <c r="A3529" s="1" t="s">
        <v>5550</v>
      </c>
      <c r="B3529" s="1" t="s">
        <v>5551</v>
      </c>
      <c r="C3529" s="1" t="s">
        <v>4737</v>
      </c>
      <c r="D3529" s="1" t="s">
        <v>4739</v>
      </c>
      <c r="E3529" s="1" t="s">
        <v>7</v>
      </c>
    </row>
    <row r="3530" customFormat="false" ht="16" hidden="false" customHeight="false" outlineLevel="0" collapsed="false">
      <c r="A3530" s="1" t="s">
        <v>5552</v>
      </c>
      <c r="B3530" s="1" t="s">
        <v>5551</v>
      </c>
      <c r="C3530" s="1" t="s">
        <v>4737</v>
      </c>
      <c r="D3530" s="1" t="s">
        <v>4741</v>
      </c>
      <c r="E3530" s="1" t="s">
        <v>7</v>
      </c>
    </row>
    <row r="3531" customFormat="false" ht="16" hidden="false" customHeight="false" outlineLevel="0" collapsed="false">
      <c r="A3531" s="1" t="s">
        <v>5553</v>
      </c>
      <c r="B3531" s="1" t="s">
        <v>5551</v>
      </c>
      <c r="C3531" s="1" t="s">
        <v>4737</v>
      </c>
      <c r="D3531" s="1" t="s">
        <v>4743</v>
      </c>
      <c r="E3531" s="1" t="s">
        <v>7</v>
      </c>
    </row>
    <row r="3532" customFormat="false" ht="16" hidden="false" customHeight="false" outlineLevel="0" collapsed="false">
      <c r="A3532" s="1" t="s">
        <v>5554</v>
      </c>
      <c r="B3532" s="1" t="s">
        <v>5551</v>
      </c>
      <c r="C3532" s="1" t="s">
        <v>4737</v>
      </c>
      <c r="D3532" s="1" t="s">
        <v>4745</v>
      </c>
      <c r="E3532" s="1" t="s">
        <v>7</v>
      </c>
    </row>
    <row r="3533" customFormat="false" ht="16" hidden="false" customHeight="false" outlineLevel="0" collapsed="false">
      <c r="A3533" s="1" t="s">
        <v>5555</v>
      </c>
      <c r="B3533" s="1" t="s">
        <v>5551</v>
      </c>
      <c r="C3533" s="1" t="s">
        <v>4737</v>
      </c>
      <c r="D3533" s="1" t="s">
        <v>770</v>
      </c>
      <c r="E3533" s="1" t="s">
        <v>7</v>
      </c>
    </row>
    <row r="3534" customFormat="false" ht="16" hidden="false" customHeight="false" outlineLevel="0" collapsed="false">
      <c r="A3534" s="1" t="s">
        <v>5556</v>
      </c>
      <c r="B3534" s="1" t="s">
        <v>1818</v>
      </c>
      <c r="C3534" s="1" t="s">
        <v>4737</v>
      </c>
      <c r="D3534" s="1" t="s">
        <v>4739</v>
      </c>
      <c r="E3534" s="1" t="s">
        <v>7</v>
      </c>
    </row>
    <row r="3535" customFormat="false" ht="16" hidden="false" customHeight="false" outlineLevel="0" collapsed="false">
      <c r="A3535" s="1" t="s">
        <v>5557</v>
      </c>
      <c r="B3535" s="1" t="s">
        <v>1818</v>
      </c>
      <c r="C3535" s="1" t="s">
        <v>4737</v>
      </c>
      <c r="D3535" s="1" t="s">
        <v>4741</v>
      </c>
      <c r="E3535" s="1" t="s">
        <v>7</v>
      </c>
    </row>
    <row r="3536" customFormat="false" ht="16" hidden="false" customHeight="false" outlineLevel="0" collapsed="false">
      <c r="A3536" s="1" t="s">
        <v>5558</v>
      </c>
      <c r="B3536" s="1" t="s">
        <v>1818</v>
      </c>
      <c r="C3536" s="1" t="s">
        <v>4737</v>
      </c>
      <c r="D3536" s="1" t="s">
        <v>4743</v>
      </c>
      <c r="E3536" s="1" t="s">
        <v>7</v>
      </c>
    </row>
    <row r="3537" customFormat="false" ht="16" hidden="false" customHeight="false" outlineLevel="0" collapsed="false">
      <c r="A3537" s="1" t="s">
        <v>5559</v>
      </c>
      <c r="B3537" s="1" t="s">
        <v>1818</v>
      </c>
      <c r="C3537" s="1" t="s">
        <v>4737</v>
      </c>
      <c r="D3537" s="1" t="s">
        <v>4745</v>
      </c>
      <c r="E3537" s="1" t="s">
        <v>7</v>
      </c>
    </row>
    <row r="3538" customFormat="false" ht="16" hidden="false" customHeight="false" outlineLevel="0" collapsed="false">
      <c r="A3538" s="1" t="s">
        <v>5560</v>
      </c>
      <c r="B3538" s="1" t="s">
        <v>1818</v>
      </c>
      <c r="C3538" s="1" t="s">
        <v>4737</v>
      </c>
      <c r="D3538" s="1" t="s">
        <v>770</v>
      </c>
      <c r="E3538" s="1" t="s">
        <v>7</v>
      </c>
    </row>
    <row r="3539" customFormat="false" ht="16" hidden="false" customHeight="false" outlineLevel="0" collapsed="false">
      <c r="A3539" s="1" t="s">
        <v>5561</v>
      </c>
      <c r="B3539" s="1" t="s">
        <v>4226</v>
      </c>
      <c r="C3539" s="1" t="s">
        <v>4737</v>
      </c>
      <c r="D3539" s="1" t="s">
        <v>4739</v>
      </c>
      <c r="E3539" s="1" t="s">
        <v>7</v>
      </c>
    </row>
    <row r="3540" customFormat="false" ht="16" hidden="false" customHeight="false" outlineLevel="0" collapsed="false">
      <c r="A3540" s="1" t="s">
        <v>5562</v>
      </c>
      <c r="B3540" s="1" t="s">
        <v>4226</v>
      </c>
      <c r="C3540" s="1" t="s">
        <v>4737</v>
      </c>
      <c r="D3540" s="1" t="s">
        <v>4741</v>
      </c>
      <c r="E3540" s="1" t="s">
        <v>7</v>
      </c>
    </row>
    <row r="3541" customFormat="false" ht="16" hidden="false" customHeight="false" outlineLevel="0" collapsed="false">
      <c r="A3541" s="1" t="s">
        <v>5563</v>
      </c>
      <c r="B3541" s="1" t="s">
        <v>4226</v>
      </c>
      <c r="C3541" s="1" t="s">
        <v>4737</v>
      </c>
      <c r="D3541" s="1" t="s">
        <v>4743</v>
      </c>
      <c r="E3541" s="1" t="s">
        <v>7</v>
      </c>
    </row>
    <row r="3542" customFormat="false" ht="16" hidden="false" customHeight="false" outlineLevel="0" collapsed="false">
      <c r="A3542" s="1" t="s">
        <v>5564</v>
      </c>
      <c r="B3542" s="1" t="s">
        <v>4226</v>
      </c>
      <c r="C3542" s="1" t="s">
        <v>4737</v>
      </c>
      <c r="D3542" s="1" t="s">
        <v>4745</v>
      </c>
      <c r="E3542" s="1" t="s">
        <v>7</v>
      </c>
    </row>
    <row r="3543" customFormat="false" ht="16" hidden="false" customHeight="false" outlineLevel="0" collapsed="false">
      <c r="A3543" s="1" t="s">
        <v>5565</v>
      </c>
      <c r="B3543" s="1" t="s">
        <v>4226</v>
      </c>
      <c r="C3543" s="1" t="s">
        <v>4737</v>
      </c>
      <c r="D3543" s="1" t="s">
        <v>770</v>
      </c>
      <c r="E3543" s="1" t="s">
        <v>7</v>
      </c>
    </row>
    <row r="3544" customFormat="false" ht="16" hidden="false" customHeight="false" outlineLevel="0" collapsed="false">
      <c r="A3544" s="1" t="s">
        <v>5566</v>
      </c>
      <c r="B3544" s="1" t="s">
        <v>4228</v>
      </c>
      <c r="C3544" s="1" t="s">
        <v>4737</v>
      </c>
      <c r="D3544" s="1" t="s">
        <v>4739</v>
      </c>
      <c r="E3544" s="1" t="s">
        <v>7</v>
      </c>
    </row>
    <row r="3545" customFormat="false" ht="16" hidden="false" customHeight="false" outlineLevel="0" collapsed="false">
      <c r="A3545" s="1" t="s">
        <v>5567</v>
      </c>
      <c r="B3545" s="1" t="s">
        <v>4228</v>
      </c>
      <c r="C3545" s="1" t="s">
        <v>4737</v>
      </c>
      <c r="D3545" s="1" t="s">
        <v>4741</v>
      </c>
      <c r="E3545" s="1" t="s">
        <v>7</v>
      </c>
    </row>
    <row r="3546" customFormat="false" ht="16" hidden="false" customHeight="false" outlineLevel="0" collapsed="false">
      <c r="A3546" s="1" t="s">
        <v>5568</v>
      </c>
      <c r="B3546" s="1" t="s">
        <v>4228</v>
      </c>
      <c r="C3546" s="1" t="s">
        <v>4737</v>
      </c>
      <c r="D3546" s="1" t="s">
        <v>4743</v>
      </c>
      <c r="E3546" s="1" t="s">
        <v>7</v>
      </c>
    </row>
    <row r="3547" customFormat="false" ht="16" hidden="false" customHeight="false" outlineLevel="0" collapsed="false">
      <c r="A3547" s="1" t="s">
        <v>5569</v>
      </c>
      <c r="B3547" s="1" t="s">
        <v>4228</v>
      </c>
      <c r="C3547" s="1" t="s">
        <v>4737</v>
      </c>
      <c r="D3547" s="1" t="s">
        <v>4745</v>
      </c>
      <c r="E3547" s="1" t="s">
        <v>7</v>
      </c>
    </row>
    <row r="3548" customFormat="false" ht="16" hidden="false" customHeight="false" outlineLevel="0" collapsed="false">
      <c r="A3548" s="1" t="s">
        <v>5570</v>
      </c>
      <c r="B3548" s="1" t="s">
        <v>4228</v>
      </c>
      <c r="C3548" s="1" t="s">
        <v>4737</v>
      </c>
      <c r="D3548" s="1" t="s">
        <v>770</v>
      </c>
      <c r="E3548" s="1" t="s">
        <v>7</v>
      </c>
    </row>
    <row r="3549" customFormat="false" ht="16" hidden="false" customHeight="false" outlineLevel="0" collapsed="false">
      <c r="A3549" s="1" t="s">
        <v>5571</v>
      </c>
      <c r="B3549" s="1" t="s">
        <v>1825</v>
      </c>
      <c r="C3549" s="1" t="s">
        <v>4737</v>
      </c>
      <c r="D3549" s="1" t="s">
        <v>4739</v>
      </c>
      <c r="E3549" s="1" t="s">
        <v>906</v>
      </c>
    </row>
    <row r="3550" customFormat="false" ht="16" hidden="false" customHeight="false" outlineLevel="0" collapsed="false">
      <c r="A3550" s="1" t="s">
        <v>5572</v>
      </c>
      <c r="B3550" s="1" t="s">
        <v>1825</v>
      </c>
      <c r="C3550" s="1" t="s">
        <v>4737</v>
      </c>
      <c r="D3550" s="1" t="s">
        <v>4741</v>
      </c>
      <c r="E3550" s="1" t="s">
        <v>906</v>
      </c>
    </row>
    <row r="3551" customFormat="false" ht="16" hidden="false" customHeight="false" outlineLevel="0" collapsed="false">
      <c r="A3551" s="1" t="s">
        <v>5573</v>
      </c>
      <c r="B3551" s="1" t="s">
        <v>1825</v>
      </c>
      <c r="C3551" s="1" t="s">
        <v>4737</v>
      </c>
      <c r="D3551" s="1" t="s">
        <v>4743</v>
      </c>
      <c r="E3551" s="1" t="s">
        <v>906</v>
      </c>
    </row>
    <row r="3552" customFormat="false" ht="16" hidden="false" customHeight="false" outlineLevel="0" collapsed="false">
      <c r="A3552" s="1" t="s">
        <v>5574</v>
      </c>
      <c r="B3552" s="1" t="s">
        <v>1825</v>
      </c>
      <c r="C3552" s="1" t="s">
        <v>4737</v>
      </c>
      <c r="D3552" s="1" t="s">
        <v>4745</v>
      </c>
      <c r="E3552" s="1" t="s">
        <v>906</v>
      </c>
    </row>
    <row r="3553" customFormat="false" ht="16" hidden="false" customHeight="false" outlineLevel="0" collapsed="false">
      <c r="A3553" s="1" t="s">
        <v>5575</v>
      </c>
      <c r="B3553" s="1" t="s">
        <v>1825</v>
      </c>
      <c r="C3553" s="1" t="s">
        <v>4737</v>
      </c>
      <c r="D3553" s="1" t="s">
        <v>770</v>
      </c>
      <c r="E3553" s="1" t="s">
        <v>906</v>
      </c>
    </row>
    <row r="3554" customFormat="false" ht="16" hidden="false" customHeight="false" outlineLevel="0" collapsed="false">
      <c r="A3554" s="1" t="s">
        <v>5576</v>
      </c>
      <c r="B3554" s="1" t="s">
        <v>1831</v>
      </c>
      <c r="C3554" s="1" t="s">
        <v>4737</v>
      </c>
      <c r="D3554" s="1" t="s">
        <v>4739</v>
      </c>
      <c r="E3554" s="1" t="s">
        <v>906</v>
      </c>
    </row>
    <row r="3555" customFormat="false" ht="16" hidden="false" customHeight="false" outlineLevel="0" collapsed="false">
      <c r="A3555" s="1" t="s">
        <v>5577</v>
      </c>
      <c r="B3555" s="1" t="s">
        <v>1831</v>
      </c>
      <c r="C3555" s="1" t="s">
        <v>4737</v>
      </c>
      <c r="D3555" s="1" t="s">
        <v>4741</v>
      </c>
      <c r="E3555" s="1" t="s">
        <v>906</v>
      </c>
    </row>
    <row r="3556" customFormat="false" ht="16" hidden="false" customHeight="false" outlineLevel="0" collapsed="false">
      <c r="A3556" s="1" t="s">
        <v>5578</v>
      </c>
      <c r="B3556" s="1" t="s">
        <v>1831</v>
      </c>
      <c r="C3556" s="1" t="s">
        <v>4737</v>
      </c>
      <c r="D3556" s="1" t="s">
        <v>4743</v>
      </c>
      <c r="E3556" s="1" t="s">
        <v>906</v>
      </c>
    </row>
    <row r="3557" customFormat="false" ht="16" hidden="false" customHeight="false" outlineLevel="0" collapsed="false">
      <c r="A3557" s="1" t="s">
        <v>5579</v>
      </c>
      <c r="B3557" s="1" t="s">
        <v>1831</v>
      </c>
      <c r="C3557" s="1" t="s">
        <v>4737</v>
      </c>
      <c r="D3557" s="1" t="s">
        <v>4745</v>
      </c>
      <c r="E3557" s="1" t="s">
        <v>906</v>
      </c>
    </row>
    <row r="3558" customFormat="false" ht="16" hidden="false" customHeight="false" outlineLevel="0" collapsed="false">
      <c r="A3558" s="1" t="s">
        <v>5580</v>
      </c>
      <c r="B3558" s="1" t="s">
        <v>1831</v>
      </c>
      <c r="C3558" s="1" t="s">
        <v>4737</v>
      </c>
      <c r="D3558" s="1" t="s">
        <v>770</v>
      </c>
      <c r="E3558" s="1" t="s">
        <v>906</v>
      </c>
    </row>
    <row r="3559" customFormat="false" ht="16" hidden="false" customHeight="false" outlineLevel="0" collapsed="false">
      <c r="A3559" s="1" t="s">
        <v>5581</v>
      </c>
      <c r="B3559" s="1" t="s">
        <v>1837</v>
      </c>
      <c r="C3559" s="1" t="s">
        <v>4737</v>
      </c>
      <c r="D3559" s="1" t="s">
        <v>4739</v>
      </c>
      <c r="E3559" s="1" t="s">
        <v>906</v>
      </c>
    </row>
    <row r="3560" customFormat="false" ht="16" hidden="false" customHeight="false" outlineLevel="0" collapsed="false">
      <c r="A3560" s="1" t="s">
        <v>5582</v>
      </c>
      <c r="B3560" s="1" t="s">
        <v>1837</v>
      </c>
      <c r="C3560" s="1" t="s">
        <v>4737</v>
      </c>
      <c r="D3560" s="1" t="s">
        <v>4741</v>
      </c>
      <c r="E3560" s="1" t="s">
        <v>906</v>
      </c>
    </row>
    <row r="3561" customFormat="false" ht="16" hidden="false" customHeight="false" outlineLevel="0" collapsed="false">
      <c r="A3561" s="1" t="s">
        <v>5583</v>
      </c>
      <c r="B3561" s="1" t="s">
        <v>1837</v>
      </c>
      <c r="C3561" s="1" t="s">
        <v>4737</v>
      </c>
      <c r="D3561" s="1" t="s">
        <v>4743</v>
      </c>
      <c r="E3561" s="1" t="s">
        <v>906</v>
      </c>
    </row>
    <row r="3562" customFormat="false" ht="16" hidden="false" customHeight="false" outlineLevel="0" collapsed="false">
      <c r="A3562" s="1" t="s">
        <v>5584</v>
      </c>
      <c r="B3562" s="1" t="s">
        <v>1837</v>
      </c>
      <c r="C3562" s="1" t="s">
        <v>4737</v>
      </c>
      <c r="D3562" s="1" t="s">
        <v>4745</v>
      </c>
      <c r="E3562" s="1" t="s">
        <v>906</v>
      </c>
    </row>
    <row r="3563" customFormat="false" ht="16" hidden="false" customHeight="false" outlineLevel="0" collapsed="false">
      <c r="A3563" s="1" t="s">
        <v>5585</v>
      </c>
      <c r="B3563" s="1" t="s">
        <v>1837</v>
      </c>
      <c r="C3563" s="1" t="s">
        <v>4737</v>
      </c>
      <c r="D3563" s="1" t="s">
        <v>770</v>
      </c>
      <c r="E3563" s="1" t="s">
        <v>906</v>
      </c>
    </row>
    <row r="3564" customFormat="false" ht="16" hidden="false" customHeight="false" outlineLevel="0" collapsed="false">
      <c r="A3564" s="1" t="s">
        <v>5586</v>
      </c>
      <c r="B3564" s="1" t="s">
        <v>47</v>
      </c>
      <c r="C3564" s="1" t="s">
        <v>4737</v>
      </c>
      <c r="D3564" s="1" t="s">
        <v>4739</v>
      </c>
      <c r="E3564" s="1" t="s">
        <v>7</v>
      </c>
    </row>
    <row r="3565" customFormat="false" ht="16" hidden="false" customHeight="false" outlineLevel="0" collapsed="false">
      <c r="A3565" s="1" t="s">
        <v>5587</v>
      </c>
      <c r="B3565" s="1" t="s">
        <v>5588</v>
      </c>
      <c r="C3565" s="1" t="s">
        <v>4737</v>
      </c>
      <c r="D3565" s="1" t="s">
        <v>4739</v>
      </c>
      <c r="E3565" s="1" t="s">
        <v>7</v>
      </c>
    </row>
    <row r="3566" customFormat="false" ht="16" hidden="false" customHeight="false" outlineLevel="0" collapsed="false">
      <c r="A3566" s="1" t="s">
        <v>5589</v>
      </c>
      <c r="B3566" s="1" t="s">
        <v>5588</v>
      </c>
      <c r="C3566" s="1" t="s">
        <v>4737</v>
      </c>
      <c r="D3566" s="1" t="s">
        <v>4741</v>
      </c>
      <c r="E3566" s="1" t="s">
        <v>7</v>
      </c>
    </row>
    <row r="3567" customFormat="false" ht="16" hidden="false" customHeight="false" outlineLevel="0" collapsed="false">
      <c r="A3567" s="1" t="s">
        <v>5590</v>
      </c>
      <c r="B3567" s="1" t="s">
        <v>5588</v>
      </c>
      <c r="C3567" s="1" t="s">
        <v>4737</v>
      </c>
      <c r="D3567" s="1" t="s">
        <v>4743</v>
      </c>
      <c r="E3567" s="1" t="s">
        <v>7</v>
      </c>
    </row>
    <row r="3568" customFormat="false" ht="16" hidden="false" customHeight="false" outlineLevel="0" collapsed="false">
      <c r="A3568" s="1" t="s">
        <v>5591</v>
      </c>
      <c r="B3568" s="1" t="s">
        <v>5588</v>
      </c>
      <c r="C3568" s="1" t="s">
        <v>4737</v>
      </c>
      <c r="D3568" s="1" t="s">
        <v>4745</v>
      </c>
      <c r="E3568" s="1" t="s">
        <v>7</v>
      </c>
    </row>
    <row r="3569" customFormat="false" ht="16" hidden="false" customHeight="false" outlineLevel="0" collapsed="false">
      <c r="A3569" s="1" t="s">
        <v>5592</v>
      </c>
      <c r="B3569" s="1" t="s">
        <v>5588</v>
      </c>
      <c r="C3569" s="1" t="s">
        <v>4737</v>
      </c>
      <c r="D3569" s="1" t="s">
        <v>770</v>
      </c>
      <c r="E3569" s="1" t="s">
        <v>7</v>
      </c>
    </row>
    <row r="3570" customFormat="false" ht="16" hidden="false" customHeight="false" outlineLevel="0" collapsed="false">
      <c r="A3570" s="1" t="s">
        <v>5593</v>
      </c>
      <c r="B3570" s="1" t="s">
        <v>1854</v>
      </c>
      <c r="C3570" s="1" t="s">
        <v>4737</v>
      </c>
      <c r="D3570" s="1" t="s">
        <v>4739</v>
      </c>
      <c r="E3570" s="1" t="s">
        <v>906</v>
      </c>
    </row>
    <row r="3571" customFormat="false" ht="16" hidden="false" customHeight="false" outlineLevel="0" collapsed="false">
      <c r="A3571" s="1" t="s">
        <v>5594</v>
      </c>
      <c r="B3571" s="1" t="s">
        <v>1854</v>
      </c>
      <c r="C3571" s="1" t="s">
        <v>4737</v>
      </c>
      <c r="D3571" s="1" t="s">
        <v>4741</v>
      </c>
      <c r="E3571" s="1" t="s">
        <v>906</v>
      </c>
    </row>
    <row r="3572" customFormat="false" ht="16" hidden="false" customHeight="false" outlineLevel="0" collapsed="false">
      <c r="A3572" s="1" t="s">
        <v>5595</v>
      </c>
      <c r="B3572" s="1" t="s">
        <v>1854</v>
      </c>
      <c r="C3572" s="1" t="s">
        <v>4737</v>
      </c>
      <c r="D3572" s="1" t="s">
        <v>4743</v>
      </c>
      <c r="E3572" s="1" t="s">
        <v>906</v>
      </c>
    </row>
    <row r="3573" customFormat="false" ht="16" hidden="false" customHeight="false" outlineLevel="0" collapsed="false">
      <c r="A3573" s="1" t="s">
        <v>5596</v>
      </c>
      <c r="B3573" s="1" t="s">
        <v>1854</v>
      </c>
      <c r="C3573" s="1" t="s">
        <v>4737</v>
      </c>
      <c r="D3573" s="1" t="s">
        <v>4745</v>
      </c>
      <c r="E3573" s="1" t="s">
        <v>906</v>
      </c>
    </row>
    <row r="3574" customFormat="false" ht="16" hidden="false" customHeight="false" outlineLevel="0" collapsed="false">
      <c r="A3574" s="1" t="s">
        <v>5597</v>
      </c>
      <c r="B3574" s="1" t="s">
        <v>1854</v>
      </c>
      <c r="C3574" s="1" t="s">
        <v>4737</v>
      </c>
      <c r="D3574" s="1" t="s">
        <v>770</v>
      </c>
      <c r="E3574" s="1" t="s">
        <v>906</v>
      </c>
    </row>
    <row r="3575" customFormat="false" ht="16" hidden="false" customHeight="false" outlineLevel="0" collapsed="false">
      <c r="A3575" s="1" t="s">
        <v>5598</v>
      </c>
      <c r="B3575" s="1" t="s">
        <v>1874</v>
      </c>
      <c r="C3575" s="1" t="s">
        <v>4737</v>
      </c>
      <c r="D3575" s="1" t="s">
        <v>4739</v>
      </c>
      <c r="E3575" s="1" t="s">
        <v>7</v>
      </c>
    </row>
    <row r="3576" customFormat="false" ht="16" hidden="false" customHeight="false" outlineLevel="0" collapsed="false">
      <c r="A3576" s="1" t="s">
        <v>5599</v>
      </c>
      <c r="B3576" s="1" t="s">
        <v>1874</v>
      </c>
      <c r="C3576" s="1" t="s">
        <v>4737</v>
      </c>
      <c r="D3576" s="1" t="s">
        <v>4741</v>
      </c>
      <c r="E3576" s="1" t="s">
        <v>7</v>
      </c>
    </row>
    <row r="3577" customFormat="false" ht="16" hidden="false" customHeight="false" outlineLevel="0" collapsed="false">
      <c r="A3577" s="1" t="s">
        <v>5600</v>
      </c>
      <c r="B3577" s="1" t="s">
        <v>1874</v>
      </c>
      <c r="C3577" s="1" t="s">
        <v>4737</v>
      </c>
      <c r="D3577" s="1" t="s">
        <v>4743</v>
      </c>
      <c r="E3577" s="1" t="s">
        <v>7</v>
      </c>
    </row>
    <row r="3578" customFormat="false" ht="16" hidden="false" customHeight="false" outlineLevel="0" collapsed="false">
      <c r="A3578" s="1" t="s">
        <v>5601</v>
      </c>
      <c r="B3578" s="1" t="s">
        <v>1874</v>
      </c>
      <c r="C3578" s="1" t="s">
        <v>4737</v>
      </c>
      <c r="D3578" s="1" t="s">
        <v>4745</v>
      </c>
      <c r="E3578" s="1" t="s">
        <v>7</v>
      </c>
    </row>
    <row r="3579" customFormat="false" ht="16" hidden="false" customHeight="false" outlineLevel="0" collapsed="false">
      <c r="A3579" s="1" t="s">
        <v>5602</v>
      </c>
      <c r="B3579" s="1" t="s">
        <v>1874</v>
      </c>
      <c r="C3579" s="1" t="s">
        <v>4737</v>
      </c>
      <c r="D3579" s="1" t="s">
        <v>770</v>
      </c>
      <c r="E3579" s="1" t="s">
        <v>7</v>
      </c>
    </row>
    <row r="3580" customFormat="false" ht="16" hidden="false" customHeight="false" outlineLevel="0" collapsed="false">
      <c r="A3580" s="1" t="s">
        <v>5603</v>
      </c>
      <c r="B3580" s="1" t="s">
        <v>1880</v>
      </c>
      <c r="C3580" s="1" t="s">
        <v>4737</v>
      </c>
      <c r="D3580" s="1" t="s">
        <v>4739</v>
      </c>
      <c r="E3580" s="1" t="s">
        <v>906</v>
      </c>
    </row>
    <row r="3581" customFormat="false" ht="16" hidden="false" customHeight="false" outlineLevel="0" collapsed="false">
      <c r="A3581" s="1" t="s">
        <v>5604</v>
      </c>
      <c r="B3581" s="1" t="s">
        <v>1880</v>
      </c>
      <c r="C3581" s="1" t="s">
        <v>4737</v>
      </c>
      <c r="D3581" s="1" t="s">
        <v>4741</v>
      </c>
      <c r="E3581" s="1" t="s">
        <v>906</v>
      </c>
    </row>
    <row r="3582" customFormat="false" ht="16" hidden="false" customHeight="false" outlineLevel="0" collapsed="false">
      <c r="A3582" s="1" t="s">
        <v>5605</v>
      </c>
      <c r="B3582" s="1" t="s">
        <v>1880</v>
      </c>
      <c r="C3582" s="1" t="s">
        <v>4737</v>
      </c>
      <c r="D3582" s="1" t="s">
        <v>4743</v>
      </c>
      <c r="E3582" s="1" t="s">
        <v>906</v>
      </c>
    </row>
    <row r="3583" customFormat="false" ht="16" hidden="false" customHeight="false" outlineLevel="0" collapsed="false">
      <c r="A3583" s="1" t="s">
        <v>5606</v>
      </c>
      <c r="B3583" s="1" t="s">
        <v>1880</v>
      </c>
      <c r="C3583" s="1" t="s">
        <v>4737</v>
      </c>
      <c r="D3583" s="1" t="s">
        <v>4745</v>
      </c>
      <c r="E3583" s="1" t="s">
        <v>906</v>
      </c>
    </row>
    <row r="3584" customFormat="false" ht="16" hidden="false" customHeight="false" outlineLevel="0" collapsed="false">
      <c r="A3584" s="1" t="s">
        <v>5607</v>
      </c>
      <c r="B3584" s="1" t="s">
        <v>1880</v>
      </c>
      <c r="C3584" s="1" t="s">
        <v>4737</v>
      </c>
      <c r="D3584" s="1" t="s">
        <v>770</v>
      </c>
      <c r="E3584" s="1" t="s">
        <v>906</v>
      </c>
    </row>
    <row r="3585" customFormat="false" ht="16" hidden="false" customHeight="false" outlineLevel="0" collapsed="false">
      <c r="A3585" s="1" t="s">
        <v>5608</v>
      </c>
      <c r="B3585" s="1" t="s">
        <v>1910</v>
      </c>
      <c r="C3585" s="1" t="s">
        <v>4737</v>
      </c>
      <c r="D3585" s="1" t="s">
        <v>4739</v>
      </c>
      <c r="E3585" s="1" t="s">
        <v>7</v>
      </c>
    </row>
    <row r="3586" customFormat="false" ht="16" hidden="false" customHeight="false" outlineLevel="0" collapsed="false">
      <c r="A3586" s="1" t="s">
        <v>5609</v>
      </c>
      <c r="B3586" s="1" t="s">
        <v>1910</v>
      </c>
      <c r="C3586" s="1" t="s">
        <v>4737</v>
      </c>
      <c r="D3586" s="1" t="s">
        <v>4741</v>
      </c>
      <c r="E3586" s="1" t="s">
        <v>7</v>
      </c>
    </row>
    <row r="3587" customFormat="false" ht="16" hidden="false" customHeight="false" outlineLevel="0" collapsed="false">
      <c r="A3587" s="1" t="s">
        <v>5610</v>
      </c>
      <c r="B3587" s="1" t="s">
        <v>1910</v>
      </c>
      <c r="C3587" s="1" t="s">
        <v>4737</v>
      </c>
      <c r="D3587" s="1" t="s">
        <v>4743</v>
      </c>
      <c r="E3587" s="1" t="s">
        <v>7</v>
      </c>
    </row>
    <row r="3588" customFormat="false" ht="16" hidden="false" customHeight="false" outlineLevel="0" collapsed="false">
      <c r="A3588" s="1" t="s">
        <v>5611</v>
      </c>
      <c r="B3588" s="1" t="s">
        <v>1910</v>
      </c>
      <c r="C3588" s="1" t="s">
        <v>4737</v>
      </c>
      <c r="D3588" s="1" t="s">
        <v>4745</v>
      </c>
      <c r="E3588" s="1" t="s">
        <v>7</v>
      </c>
    </row>
    <row r="3589" customFormat="false" ht="16" hidden="false" customHeight="false" outlineLevel="0" collapsed="false">
      <c r="A3589" s="1" t="s">
        <v>5612</v>
      </c>
      <c r="B3589" s="1" t="s">
        <v>1910</v>
      </c>
      <c r="C3589" s="1" t="s">
        <v>4737</v>
      </c>
      <c r="D3589" s="1" t="s">
        <v>770</v>
      </c>
      <c r="E3589" s="1" t="s">
        <v>7</v>
      </c>
    </row>
    <row r="3590" customFormat="false" ht="16" hidden="false" customHeight="false" outlineLevel="0" collapsed="false">
      <c r="A3590" s="1" t="s">
        <v>5613</v>
      </c>
      <c r="B3590" s="1" t="s">
        <v>1918</v>
      </c>
      <c r="C3590" s="1" t="s">
        <v>4737</v>
      </c>
      <c r="D3590" s="1" t="s">
        <v>4739</v>
      </c>
      <c r="E3590" s="1" t="s">
        <v>7</v>
      </c>
    </row>
    <row r="3591" customFormat="false" ht="16" hidden="false" customHeight="false" outlineLevel="0" collapsed="false">
      <c r="A3591" s="1" t="s">
        <v>5614</v>
      </c>
      <c r="B3591" s="1" t="s">
        <v>1918</v>
      </c>
      <c r="C3591" s="1" t="s">
        <v>4737</v>
      </c>
      <c r="D3591" s="1" t="s">
        <v>4745</v>
      </c>
      <c r="E3591" s="1" t="s">
        <v>7</v>
      </c>
    </row>
    <row r="3592" customFormat="false" ht="16" hidden="false" customHeight="false" outlineLevel="0" collapsed="false">
      <c r="A3592" s="1" t="s">
        <v>5615</v>
      </c>
      <c r="B3592" s="1" t="s">
        <v>1925</v>
      </c>
      <c r="C3592" s="1" t="s">
        <v>4737</v>
      </c>
      <c r="D3592" s="1" t="s">
        <v>4739</v>
      </c>
      <c r="E3592" s="1" t="s">
        <v>906</v>
      </c>
    </row>
    <row r="3593" customFormat="false" ht="16" hidden="false" customHeight="false" outlineLevel="0" collapsed="false">
      <c r="A3593" s="1" t="s">
        <v>5616</v>
      </c>
      <c r="B3593" s="1" t="s">
        <v>1925</v>
      </c>
      <c r="C3593" s="1" t="s">
        <v>4737</v>
      </c>
      <c r="D3593" s="1" t="s">
        <v>4741</v>
      </c>
      <c r="E3593" s="1" t="s">
        <v>906</v>
      </c>
    </row>
    <row r="3594" customFormat="false" ht="16" hidden="false" customHeight="false" outlineLevel="0" collapsed="false">
      <c r="A3594" s="1" t="s">
        <v>5617</v>
      </c>
      <c r="B3594" s="1" t="s">
        <v>1925</v>
      </c>
      <c r="C3594" s="1" t="s">
        <v>4737</v>
      </c>
      <c r="D3594" s="1" t="s">
        <v>4743</v>
      </c>
      <c r="E3594" s="1" t="s">
        <v>906</v>
      </c>
    </row>
    <row r="3595" customFormat="false" ht="16" hidden="false" customHeight="false" outlineLevel="0" collapsed="false">
      <c r="A3595" s="1" t="s">
        <v>5618</v>
      </c>
      <c r="B3595" s="1" t="s">
        <v>1925</v>
      </c>
      <c r="C3595" s="1" t="s">
        <v>4737</v>
      </c>
      <c r="D3595" s="1" t="s">
        <v>4745</v>
      </c>
      <c r="E3595" s="1" t="s">
        <v>906</v>
      </c>
    </row>
    <row r="3596" customFormat="false" ht="16" hidden="false" customHeight="false" outlineLevel="0" collapsed="false">
      <c r="A3596" s="1" t="s">
        <v>5619</v>
      </c>
      <c r="B3596" s="1" t="s">
        <v>1925</v>
      </c>
      <c r="C3596" s="1" t="s">
        <v>4737</v>
      </c>
      <c r="D3596" s="1" t="s">
        <v>770</v>
      </c>
      <c r="E3596" s="1" t="s">
        <v>906</v>
      </c>
    </row>
    <row r="3597" customFormat="false" ht="16" hidden="false" customHeight="false" outlineLevel="0" collapsed="false">
      <c r="A3597" s="1" t="s">
        <v>5620</v>
      </c>
      <c r="B3597" s="1" t="s">
        <v>1931</v>
      </c>
      <c r="C3597" s="1" t="s">
        <v>4737</v>
      </c>
      <c r="D3597" s="1" t="s">
        <v>770</v>
      </c>
      <c r="E3597" s="1" t="s">
        <v>7</v>
      </c>
    </row>
    <row r="3598" customFormat="false" ht="16" hidden="false" customHeight="false" outlineLevel="0" collapsed="false">
      <c r="A3598" s="1" t="s">
        <v>5621</v>
      </c>
      <c r="B3598" s="1" t="s">
        <v>59</v>
      </c>
      <c r="C3598" s="1" t="s">
        <v>4737</v>
      </c>
      <c r="D3598" s="1" t="s">
        <v>4739</v>
      </c>
      <c r="E3598" s="1" t="s">
        <v>7</v>
      </c>
    </row>
    <row r="3599" customFormat="false" ht="16" hidden="false" customHeight="false" outlineLevel="0" collapsed="false">
      <c r="A3599" s="1" t="s">
        <v>5622</v>
      </c>
      <c r="B3599" s="1" t="s">
        <v>59</v>
      </c>
      <c r="C3599" s="1" t="s">
        <v>4737</v>
      </c>
      <c r="D3599" s="1" t="s">
        <v>4741</v>
      </c>
      <c r="E3599" s="1" t="s">
        <v>7</v>
      </c>
    </row>
    <row r="3600" customFormat="false" ht="16" hidden="false" customHeight="false" outlineLevel="0" collapsed="false">
      <c r="A3600" s="1" t="s">
        <v>5623</v>
      </c>
      <c r="B3600" s="1" t="s">
        <v>59</v>
      </c>
      <c r="C3600" s="1" t="s">
        <v>4737</v>
      </c>
      <c r="D3600" s="1" t="s">
        <v>4743</v>
      </c>
      <c r="E3600" s="1" t="s">
        <v>7</v>
      </c>
    </row>
    <row r="3601" customFormat="false" ht="16" hidden="false" customHeight="false" outlineLevel="0" collapsed="false">
      <c r="A3601" s="1" t="s">
        <v>5624</v>
      </c>
      <c r="B3601" s="1" t="s">
        <v>59</v>
      </c>
      <c r="C3601" s="1" t="s">
        <v>4737</v>
      </c>
      <c r="D3601" s="1" t="s">
        <v>4745</v>
      </c>
      <c r="E3601" s="1" t="s">
        <v>7</v>
      </c>
    </row>
    <row r="3602" customFormat="false" ht="16" hidden="false" customHeight="false" outlineLevel="0" collapsed="false">
      <c r="A3602" s="1" t="s">
        <v>5625</v>
      </c>
      <c r="B3602" s="1" t="s">
        <v>59</v>
      </c>
      <c r="C3602" s="1" t="s">
        <v>4737</v>
      </c>
      <c r="D3602" s="1" t="s">
        <v>770</v>
      </c>
      <c r="E3602" s="1" t="s">
        <v>7</v>
      </c>
    </row>
    <row r="3603" customFormat="false" ht="16" hidden="false" customHeight="false" outlineLevel="0" collapsed="false">
      <c r="A3603" s="1" t="s">
        <v>5626</v>
      </c>
      <c r="B3603" s="1" t="s">
        <v>1938</v>
      </c>
      <c r="C3603" s="1" t="s">
        <v>4737</v>
      </c>
      <c r="D3603" s="1" t="s">
        <v>4739</v>
      </c>
      <c r="E3603" s="1" t="s">
        <v>906</v>
      </c>
    </row>
    <row r="3604" customFormat="false" ht="16" hidden="false" customHeight="false" outlineLevel="0" collapsed="false">
      <c r="A3604" s="1" t="s">
        <v>5627</v>
      </c>
      <c r="B3604" s="1" t="s">
        <v>1938</v>
      </c>
      <c r="C3604" s="1" t="s">
        <v>4737</v>
      </c>
      <c r="D3604" s="1" t="s">
        <v>4741</v>
      </c>
      <c r="E3604" s="1" t="s">
        <v>906</v>
      </c>
    </row>
    <row r="3605" customFormat="false" ht="16" hidden="false" customHeight="false" outlineLevel="0" collapsed="false">
      <c r="A3605" s="1" t="s">
        <v>5628</v>
      </c>
      <c r="B3605" s="1" t="s">
        <v>1938</v>
      </c>
      <c r="C3605" s="1" t="s">
        <v>4737</v>
      </c>
      <c r="D3605" s="1" t="s">
        <v>4743</v>
      </c>
      <c r="E3605" s="1" t="s">
        <v>906</v>
      </c>
    </row>
    <row r="3606" customFormat="false" ht="16" hidden="false" customHeight="false" outlineLevel="0" collapsed="false">
      <c r="A3606" s="1" t="s">
        <v>5629</v>
      </c>
      <c r="B3606" s="1" t="s">
        <v>1938</v>
      </c>
      <c r="C3606" s="1" t="s">
        <v>4737</v>
      </c>
      <c r="D3606" s="1" t="s">
        <v>4745</v>
      </c>
      <c r="E3606" s="1" t="s">
        <v>906</v>
      </c>
    </row>
    <row r="3607" customFormat="false" ht="16" hidden="false" customHeight="false" outlineLevel="0" collapsed="false">
      <c r="A3607" s="1" t="s">
        <v>5630</v>
      </c>
      <c r="B3607" s="1" t="s">
        <v>1938</v>
      </c>
      <c r="C3607" s="1" t="s">
        <v>4737</v>
      </c>
      <c r="D3607" s="1" t="s">
        <v>770</v>
      </c>
      <c r="E3607" s="1" t="s">
        <v>906</v>
      </c>
    </row>
    <row r="3608" customFormat="false" ht="16" hidden="false" customHeight="false" outlineLevel="0" collapsed="false">
      <c r="A3608" s="1" t="s">
        <v>5631</v>
      </c>
      <c r="B3608" s="1" t="s">
        <v>65</v>
      </c>
      <c r="C3608" s="1" t="s">
        <v>4737</v>
      </c>
      <c r="D3608" s="1" t="s">
        <v>4739</v>
      </c>
      <c r="E3608" s="1" t="s">
        <v>7</v>
      </c>
    </row>
    <row r="3609" customFormat="false" ht="16" hidden="false" customHeight="false" outlineLevel="0" collapsed="false">
      <c r="A3609" s="1" t="s">
        <v>5632</v>
      </c>
      <c r="B3609" s="1" t="s">
        <v>5633</v>
      </c>
      <c r="C3609" s="1" t="s">
        <v>4737</v>
      </c>
      <c r="D3609" s="1" t="s">
        <v>4739</v>
      </c>
      <c r="E3609" s="1" t="s">
        <v>7</v>
      </c>
    </row>
    <row r="3610" customFormat="false" ht="16" hidden="false" customHeight="false" outlineLevel="0" collapsed="false">
      <c r="A3610" s="1" t="s">
        <v>5634</v>
      </c>
      <c r="B3610" s="1" t="s">
        <v>5633</v>
      </c>
      <c r="C3610" s="1" t="s">
        <v>4737</v>
      </c>
      <c r="D3610" s="1" t="s">
        <v>4741</v>
      </c>
      <c r="E3610" s="1" t="s">
        <v>7</v>
      </c>
    </row>
    <row r="3611" customFormat="false" ht="16" hidden="false" customHeight="false" outlineLevel="0" collapsed="false">
      <c r="A3611" s="1" t="s">
        <v>5635</v>
      </c>
      <c r="B3611" s="1" t="s">
        <v>5633</v>
      </c>
      <c r="C3611" s="1" t="s">
        <v>4737</v>
      </c>
      <c r="D3611" s="1" t="s">
        <v>4743</v>
      </c>
      <c r="E3611" s="1" t="s">
        <v>7</v>
      </c>
    </row>
    <row r="3612" customFormat="false" ht="16" hidden="false" customHeight="false" outlineLevel="0" collapsed="false">
      <c r="A3612" s="1" t="s">
        <v>5636</v>
      </c>
      <c r="B3612" s="1" t="s">
        <v>5633</v>
      </c>
      <c r="C3612" s="1" t="s">
        <v>4737</v>
      </c>
      <c r="D3612" s="1" t="s">
        <v>4745</v>
      </c>
      <c r="E3612" s="1" t="s">
        <v>7</v>
      </c>
    </row>
    <row r="3613" customFormat="false" ht="16" hidden="false" customHeight="false" outlineLevel="0" collapsed="false">
      <c r="A3613" s="1" t="s">
        <v>5637</v>
      </c>
      <c r="B3613" s="1" t="s">
        <v>5633</v>
      </c>
      <c r="C3613" s="1" t="s">
        <v>4737</v>
      </c>
      <c r="D3613" s="1" t="s">
        <v>770</v>
      </c>
      <c r="E3613" s="1" t="s">
        <v>7</v>
      </c>
    </row>
    <row r="3614" customFormat="false" ht="16" hidden="false" customHeight="false" outlineLevel="0" collapsed="false">
      <c r="A3614" s="1" t="s">
        <v>5638</v>
      </c>
      <c r="B3614" s="1" t="s">
        <v>1951</v>
      </c>
      <c r="C3614" s="1" t="s">
        <v>4737</v>
      </c>
      <c r="D3614" s="1" t="s">
        <v>4739</v>
      </c>
      <c r="E3614" s="1" t="s">
        <v>7</v>
      </c>
    </row>
    <row r="3615" customFormat="false" ht="16" hidden="false" customHeight="false" outlineLevel="0" collapsed="false">
      <c r="A3615" s="1" t="s">
        <v>5639</v>
      </c>
      <c r="B3615" s="1" t="s">
        <v>1951</v>
      </c>
      <c r="C3615" s="1" t="s">
        <v>4737</v>
      </c>
      <c r="D3615" s="1" t="s">
        <v>4745</v>
      </c>
      <c r="E3615" s="1" t="s">
        <v>7</v>
      </c>
    </row>
    <row r="3616" customFormat="false" ht="16" hidden="false" customHeight="false" outlineLevel="0" collapsed="false">
      <c r="A3616" s="1" t="s">
        <v>5640</v>
      </c>
      <c r="B3616" s="1" t="s">
        <v>1953</v>
      </c>
      <c r="C3616" s="1" t="s">
        <v>4737</v>
      </c>
      <c r="D3616" s="1" t="s">
        <v>4739</v>
      </c>
      <c r="E3616" s="1" t="s">
        <v>7</v>
      </c>
    </row>
    <row r="3617" customFormat="false" ht="16" hidden="false" customHeight="false" outlineLevel="0" collapsed="false">
      <c r="A3617" s="1" t="s">
        <v>5641</v>
      </c>
      <c r="B3617" s="1" t="s">
        <v>1953</v>
      </c>
      <c r="C3617" s="1" t="s">
        <v>4737</v>
      </c>
      <c r="D3617" s="1" t="s">
        <v>4745</v>
      </c>
      <c r="E3617" s="1" t="s">
        <v>7</v>
      </c>
    </row>
    <row r="3618" customFormat="false" ht="16" hidden="false" customHeight="false" outlineLevel="0" collapsed="false">
      <c r="A3618" s="1" t="s">
        <v>5642</v>
      </c>
      <c r="B3618" s="1" t="s">
        <v>51</v>
      </c>
      <c r="C3618" s="1" t="s">
        <v>4737</v>
      </c>
      <c r="D3618" s="1" t="s">
        <v>4739</v>
      </c>
      <c r="E3618" s="1" t="s">
        <v>7</v>
      </c>
    </row>
    <row r="3619" customFormat="false" ht="16" hidden="false" customHeight="false" outlineLevel="0" collapsed="false">
      <c r="A3619" s="1" t="s">
        <v>5643</v>
      </c>
      <c r="B3619" s="1" t="s">
        <v>51</v>
      </c>
      <c r="C3619" s="1" t="s">
        <v>4737</v>
      </c>
      <c r="D3619" s="1" t="s">
        <v>4741</v>
      </c>
      <c r="E3619" s="1" t="s">
        <v>7</v>
      </c>
    </row>
    <row r="3620" customFormat="false" ht="16" hidden="false" customHeight="false" outlineLevel="0" collapsed="false">
      <c r="A3620" s="1" t="s">
        <v>5644</v>
      </c>
      <c r="B3620" s="1" t="s">
        <v>51</v>
      </c>
      <c r="C3620" s="1" t="s">
        <v>4737</v>
      </c>
      <c r="D3620" s="1" t="s">
        <v>4743</v>
      </c>
      <c r="E3620" s="1" t="s">
        <v>7</v>
      </c>
    </row>
    <row r="3621" customFormat="false" ht="16" hidden="false" customHeight="false" outlineLevel="0" collapsed="false">
      <c r="A3621" s="1" t="s">
        <v>5645</v>
      </c>
      <c r="B3621" s="1" t="s">
        <v>51</v>
      </c>
      <c r="C3621" s="1" t="s">
        <v>4737</v>
      </c>
      <c r="D3621" s="1" t="s">
        <v>4745</v>
      </c>
      <c r="E3621" s="1" t="s">
        <v>7</v>
      </c>
    </row>
    <row r="3622" customFormat="false" ht="16" hidden="false" customHeight="false" outlineLevel="0" collapsed="false">
      <c r="A3622" s="1" t="s">
        <v>5646</v>
      </c>
      <c r="B3622" s="1" t="s">
        <v>51</v>
      </c>
      <c r="C3622" s="1" t="s">
        <v>4737</v>
      </c>
      <c r="D3622" s="1" t="s">
        <v>770</v>
      </c>
      <c r="E3622" s="1" t="s">
        <v>7</v>
      </c>
    </row>
    <row r="3623" customFormat="false" ht="16" hidden="false" customHeight="false" outlineLevel="0" collapsed="false">
      <c r="A3623" s="1" t="s">
        <v>5647</v>
      </c>
      <c r="B3623" s="1" t="s">
        <v>5648</v>
      </c>
      <c r="C3623" s="1" t="s">
        <v>4737</v>
      </c>
      <c r="D3623" s="1" t="s">
        <v>770</v>
      </c>
      <c r="E3623" s="1" t="s">
        <v>7</v>
      </c>
    </row>
    <row r="3624" customFormat="false" ht="16" hidden="false" customHeight="false" outlineLevel="0" collapsed="false">
      <c r="A3624" s="1" t="s">
        <v>5649</v>
      </c>
      <c r="B3624" s="1" t="s">
        <v>53</v>
      </c>
      <c r="C3624" s="1" t="s">
        <v>4737</v>
      </c>
      <c r="D3624" s="1" t="s">
        <v>4739</v>
      </c>
      <c r="E3624" s="1" t="s">
        <v>7</v>
      </c>
    </row>
    <row r="3625" customFormat="false" ht="16" hidden="false" customHeight="false" outlineLevel="0" collapsed="false">
      <c r="A3625" s="1" t="s">
        <v>5650</v>
      </c>
      <c r="B3625" s="1" t="s">
        <v>53</v>
      </c>
      <c r="C3625" s="1" t="s">
        <v>4737</v>
      </c>
      <c r="D3625" s="1" t="s">
        <v>4741</v>
      </c>
      <c r="E3625" s="1" t="s">
        <v>7</v>
      </c>
    </row>
    <row r="3626" customFormat="false" ht="16" hidden="false" customHeight="false" outlineLevel="0" collapsed="false">
      <c r="A3626" s="1" t="s">
        <v>5651</v>
      </c>
      <c r="B3626" s="1" t="s">
        <v>53</v>
      </c>
      <c r="C3626" s="1" t="s">
        <v>4737</v>
      </c>
      <c r="D3626" s="1" t="s">
        <v>4743</v>
      </c>
      <c r="E3626" s="1" t="s">
        <v>7</v>
      </c>
    </row>
    <row r="3627" customFormat="false" ht="16" hidden="false" customHeight="false" outlineLevel="0" collapsed="false">
      <c r="A3627" s="1" t="s">
        <v>5652</v>
      </c>
      <c r="B3627" s="1" t="s">
        <v>53</v>
      </c>
      <c r="C3627" s="1" t="s">
        <v>4737</v>
      </c>
      <c r="D3627" s="1" t="s">
        <v>4745</v>
      </c>
      <c r="E3627" s="1" t="s">
        <v>7</v>
      </c>
    </row>
    <row r="3628" customFormat="false" ht="16" hidden="false" customHeight="false" outlineLevel="0" collapsed="false">
      <c r="A3628" s="1" t="s">
        <v>5653</v>
      </c>
      <c r="B3628" s="1" t="s">
        <v>53</v>
      </c>
      <c r="C3628" s="1" t="s">
        <v>4737</v>
      </c>
      <c r="D3628" s="1" t="s">
        <v>770</v>
      </c>
      <c r="E3628" s="1" t="s">
        <v>7</v>
      </c>
    </row>
    <row r="3629" customFormat="false" ht="16" hidden="false" customHeight="false" outlineLevel="0" collapsed="false">
      <c r="A3629" s="1" t="s">
        <v>5654</v>
      </c>
      <c r="B3629" s="1" t="s">
        <v>1965</v>
      </c>
      <c r="C3629" s="1" t="s">
        <v>4737</v>
      </c>
      <c r="D3629" s="1" t="s">
        <v>4739</v>
      </c>
      <c r="E3629" s="1" t="s">
        <v>906</v>
      </c>
    </row>
    <row r="3630" customFormat="false" ht="16" hidden="false" customHeight="false" outlineLevel="0" collapsed="false">
      <c r="A3630" s="1" t="s">
        <v>5655</v>
      </c>
      <c r="B3630" s="1" t="s">
        <v>1965</v>
      </c>
      <c r="C3630" s="1" t="s">
        <v>4737</v>
      </c>
      <c r="D3630" s="1" t="s">
        <v>4741</v>
      </c>
      <c r="E3630" s="1" t="s">
        <v>906</v>
      </c>
    </row>
    <row r="3631" customFormat="false" ht="16" hidden="false" customHeight="false" outlineLevel="0" collapsed="false">
      <c r="A3631" s="1" t="s">
        <v>5656</v>
      </c>
      <c r="B3631" s="1" t="s">
        <v>1965</v>
      </c>
      <c r="C3631" s="1" t="s">
        <v>4737</v>
      </c>
      <c r="D3631" s="1" t="s">
        <v>4743</v>
      </c>
      <c r="E3631" s="1" t="s">
        <v>906</v>
      </c>
    </row>
    <row r="3632" customFormat="false" ht="16" hidden="false" customHeight="false" outlineLevel="0" collapsed="false">
      <c r="A3632" s="1" t="s">
        <v>5657</v>
      </c>
      <c r="B3632" s="1" t="s">
        <v>1965</v>
      </c>
      <c r="C3632" s="1" t="s">
        <v>4737</v>
      </c>
      <c r="D3632" s="1" t="s">
        <v>4745</v>
      </c>
      <c r="E3632" s="1" t="s">
        <v>906</v>
      </c>
    </row>
    <row r="3633" customFormat="false" ht="16" hidden="false" customHeight="false" outlineLevel="0" collapsed="false">
      <c r="A3633" s="1" t="s">
        <v>5658</v>
      </c>
      <c r="B3633" s="1" t="s">
        <v>1965</v>
      </c>
      <c r="C3633" s="1" t="s">
        <v>4737</v>
      </c>
      <c r="D3633" s="1" t="s">
        <v>770</v>
      </c>
      <c r="E3633" s="1" t="s">
        <v>906</v>
      </c>
    </row>
    <row r="3634" customFormat="false" ht="16" hidden="false" customHeight="false" outlineLevel="0" collapsed="false">
      <c r="A3634" s="1" t="s">
        <v>5659</v>
      </c>
      <c r="B3634" s="1" t="s">
        <v>5660</v>
      </c>
      <c r="C3634" s="1" t="s">
        <v>4737</v>
      </c>
      <c r="D3634" s="1" t="s">
        <v>4739</v>
      </c>
      <c r="E3634" s="1" t="s">
        <v>906</v>
      </c>
    </row>
    <row r="3635" customFormat="false" ht="16" hidden="false" customHeight="false" outlineLevel="0" collapsed="false">
      <c r="A3635" s="1" t="s">
        <v>5661</v>
      </c>
      <c r="B3635" s="1" t="s">
        <v>5660</v>
      </c>
      <c r="C3635" s="1" t="s">
        <v>4737</v>
      </c>
      <c r="D3635" s="1" t="s">
        <v>4741</v>
      </c>
      <c r="E3635" s="1" t="s">
        <v>906</v>
      </c>
    </row>
    <row r="3636" customFormat="false" ht="16" hidden="false" customHeight="false" outlineLevel="0" collapsed="false">
      <c r="A3636" s="1" t="s">
        <v>5662</v>
      </c>
      <c r="B3636" s="1" t="s">
        <v>5660</v>
      </c>
      <c r="C3636" s="1" t="s">
        <v>4737</v>
      </c>
      <c r="D3636" s="1" t="s">
        <v>4743</v>
      </c>
      <c r="E3636" s="1" t="s">
        <v>906</v>
      </c>
    </row>
    <row r="3637" customFormat="false" ht="16" hidden="false" customHeight="false" outlineLevel="0" collapsed="false">
      <c r="A3637" s="1" t="s">
        <v>5663</v>
      </c>
      <c r="B3637" s="1" t="s">
        <v>5660</v>
      </c>
      <c r="C3637" s="1" t="s">
        <v>4737</v>
      </c>
      <c r="D3637" s="1" t="s">
        <v>4745</v>
      </c>
      <c r="E3637" s="1" t="s">
        <v>906</v>
      </c>
    </row>
    <row r="3638" customFormat="false" ht="16" hidden="false" customHeight="false" outlineLevel="0" collapsed="false">
      <c r="A3638" s="1" t="s">
        <v>5664</v>
      </c>
      <c r="B3638" s="1" t="s">
        <v>5660</v>
      </c>
      <c r="C3638" s="1" t="s">
        <v>4737</v>
      </c>
      <c r="D3638" s="1" t="s">
        <v>770</v>
      </c>
      <c r="E3638" s="1" t="s">
        <v>906</v>
      </c>
    </row>
    <row r="3639" customFormat="false" ht="16" hidden="false" customHeight="false" outlineLevel="0" collapsed="false">
      <c r="A3639" s="1" t="s">
        <v>5665</v>
      </c>
      <c r="B3639" s="1" t="s">
        <v>49</v>
      </c>
      <c r="C3639" s="1" t="s">
        <v>4737</v>
      </c>
      <c r="D3639" s="1" t="s">
        <v>4739</v>
      </c>
      <c r="E3639" s="1" t="s">
        <v>7</v>
      </c>
    </row>
    <row r="3640" customFormat="false" ht="16" hidden="false" customHeight="false" outlineLevel="0" collapsed="false">
      <c r="A3640" s="1" t="s">
        <v>5666</v>
      </c>
      <c r="B3640" s="1" t="s">
        <v>49</v>
      </c>
      <c r="C3640" s="1" t="s">
        <v>4737</v>
      </c>
      <c r="D3640" s="1" t="s">
        <v>4741</v>
      </c>
      <c r="E3640" s="1" t="s">
        <v>7</v>
      </c>
    </row>
    <row r="3641" customFormat="false" ht="16" hidden="false" customHeight="false" outlineLevel="0" collapsed="false">
      <c r="A3641" s="1" t="s">
        <v>5667</v>
      </c>
      <c r="B3641" s="1" t="s">
        <v>49</v>
      </c>
      <c r="C3641" s="1" t="s">
        <v>4737</v>
      </c>
      <c r="D3641" s="1" t="s">
        <v>4743</v>
      </c>
      <c r="E3641" s="1" t="s">
        <v>7</v>
      </c>
    </row>
    <row r="3642" customFormat="false" ht="16" hidden="false" customHeight="false" outlineLevel="0" collapsed="false">
      <c r="A3642" s="1" t="s">
        <v>5668</v>
      </c>
      <c r="B3642" s="1" t="s">
        <v>49</v>
      </c>
      <c r="C3642" s="1" t="s">
        <v>4737</v>
      </c>
      <c r="D3642" s="1" t="s">
        <v>4745</v>
      </c>
      <c r="E3642" s="1" t="s">
        <v>7</v>
      </c>
    </row>
    <row r="3643" customFormat="false" ht="16" hidden="false" customHeight="false" outlineLevel="0" collapsed="false">
      <c r="A3643" s="1" t="s">
        <v>5669</v>
      </c>
      <c r="B3643" s="1" t="s">
        <v>49</v>
      </c>
      <c r="C3643" s="1" t="s">
        <v>4737</v>
      </c>
      <c r="D3643" s="1" t="s">
        <v>770</v>
      </c>
      <c r="E3643" s="1" t="s">
        <v>7</v>
      </c>
    </row>
    <row r="3644" customFormat="false" ht="16" hidden="false" customHeight="false" outlineLevel="0" collapsed="false">
      <c r="A3644" s="1" t="s">
        <v>5670</v>
      </c>
      <c r="B3644" s="1" t="s">
        <v>2012</v>
      </c>
      <c r="C3644" s="1" t="s">
        <v>4737</v>
      </c>
      <c r="D3644" s="1" t="s">
        <v>4739</v>
      </c>
      <c r="E3644" s="1" t="s">
        <v>7</v>
      </c>
    </row>
    <row r="3645" customFormat="false" ht="16" hidden="false" customHeight="false" outlineLevel="0" collapsed="false">
      <c r="A3645" s="1" t="s">
        <v>5671</v>
      </c>
      <c r="B3645" s="1" t="s">
        <v>2012</v>
      </c>
      <c r="C3645" s="1" t="s">
        <v>4737</v>
      </c>
      <c r="D3645" s="1" t="s">
        <v>4741</v>
      </c>
      <c r="E3645" s="1" t="s">
        <v>7</v>
      </c>
    </row>
    <row r="3646" customFormat="false" ht="16" hidden="false" customHeight="false" outlineLevel="0" collapsed="false">
      <c r="A3646" s="1" t="s">
        <v>5672</v>
      </c>
      <c r="B3646" s="1" t="s">
        <v>2012</v>
      </c>
      <c r="C3646" s="1" t="s">
        <v>4737</v>
      </c>
      <c r="D3646" s="1" t="s">
        <v>4743</v>
      </c>
      <c r="E3646" s="1" t="s">
        <v>7</v>
      </c>
    </row>
    <row r="3647" customFormat="false" ht="16" hidden="false" customHeight="false" outlineLevel="0" collapsed="false">
      <c r="A3647" s="1" t="s">
        <v>5673</v>
      </c>
      <c r="B3647" s="1" t="s">
        <v>2012</v>
      </c>
      <c r="C3647" s="1" t="s">
        <v>4737</v>
      </c>
      <c r="D3647" s="1" t="s">
        <v>4745</v>
      </c>
      <c r="E3647" s="1" t="s">
        <v>7</v>
      </c>
    </row>
    <row r="3648" customFormat="false" ht="16" hidden="false" customHeight="false" outlineLevel="0" collapsed="false">
      <c r="A3648" s="1" t="s">
        <v>5674</v>
      </c>
      <c r="B3648" s="1" t="s">
        <v>2012</v>
      </c>
      <c r="C3648" s="1" t="s">
        <v>4737</v>
      </c>
      <c r="D3648" s="1" t="s">
        <v>770</v>
      </c>
      <c r="E3648" s="1" t="s">
        <v>7</v>
      </c>
    </row>
    <row r="3649" customFormat="false" ht="16" hidden="false" customHeight="false" outlineLevel="0" collapsed="false">
      <c r="A3649" s="1" t="s">
        <v>5675</v>
      </c>
      <c r="B3649" s="1" t="s">
        <v>2024</v>
      </c>
      <c r="C3649" s="1" t="s">
        <v>4737</v>
      </c>
      <c r="D3649" s="1" t="s">
        <v>4739</v>
      </c>
      <c r="E3649" s="1" t="s">
        <v>7</v>
      </c>
    </row>
    <row r="3650" customFormat="false" ht="16" hidden="false" customHeight="false" outlineLevel="0" collapsed="false">
      <c r="A3650" s="1" t="s">
        <v>5676</v>
      </c>
      <c r="B3650" s="1" t="s">
        <v>2024</v>
      </c>
      <c r="C3650" s="1" t="s">
        <v>4737</v>
      </c>
      <c r="D3650" s="1" t="s">
        <v>4741</v>
      </c>
      <c r="E3650" s="1" t="s">
        <v>7</v>
      </c>
    </row>
    <row r="3651" customFormat="false" ht="16" hidden="false" customHeight="false" outlineLevel="0" collapsed="false">
      <c r="A3651" s="1" t="s">
        <v>5677</v>
      </c>
      <c r="B3651" s="1" t="s">
        <v>2024</v>
      </c>
      <c r="C3651" s="1" t="s">
        <v>4737</v>
      </c>
      <c r="D3651" s="1" t="s">
        <v>4743</v>
      </c>
      <c r="E3651" s="1" t="s">
        <v>7</v>
      </c>
    </row>
    <row r="3652" customFormat="false" ht="16" hidden="false" customHeight="false" outlineLevel="0" collapsed="false">
      <c r="A3652" s="1" t="s">
        <v>5678</v>
      </c>
      <c r="B3652" s="1" t="s">
        <v>2024</v>
      </c>
      <c r="C3652" s="1" t="s">
        <v>4737</v>
      </c>
      <c r="D3652" s="1" t="s">
        <v>4745</v>
      </c>
      <c r="E3652" s="1" t="s">
        <v>7</v>
      </c>
    </row>
    <row r="3653" customFormat="false" ht="16" hidden="false" customHeight="false" outlineLevel="0" collapsed="false">
      <c r="A3653" s="1" t="s">
        <v>5679</v>
      </c>
      <c r="B3653" s="1" t="s">
        <v>2024</v>
      </c>
      <c r="C3653" s="1" t="s">
        <v>4737</v>
      </c>
      <c r="D3653" s="1" t="s">
        <v>770</v>
      </c>
      <c r="E3653" s="1" t="s">
        <v>7</v>
      </c>
    </row>
    <row r="3654" customFormat="false" ht="16" hidden="false" customHeight="false" outlineLevel="0" collapsed="false">
      <c r="A3654" s="1" t="s">
        <v>5680</v>
      </c>
      <c r="B3654" s="1" t="s">
        <v>2061</v>
      </c>
      <c r="C3654" s="1" t="s">
        <v>4737</v>
      </c>
      <c r="D3654" s="1" t="s">
        <v>4739</v>
      </c>
      <c r="E3654" s="1" t="s">
        <v>7</v>
      </c>
    </row>
    <row r="3655" customFormat="false" ht="16" hidden="false" customHeight="false" outlineLevel="0" collapsed="false">
      <c r="A3655" s="1" t="s">
        <v>5681</v>
      </c>
      <c r="B3655" s="1" t="s">
        <v>2061</v>
      </c>
      <c r="C3655" s="1" t="s">
        <v>4737</v>
      </c>
      <c r="D3655" s="1" t="s">
        <v>4741</v>
      </c>
      <c r="E3655" s="1" t="s">
        <v>7</v>
      </c>
    </row>
    <row r="3656" customFormat="false" ht="16" hidden="false" customHeight="false" outlineLevel="0" collapsed="false">
      <c r="A3656" s="1" t="s">
        <v>5682</v>
      </c>
      <c r="B3656" s="1" t="s">
        <v>2061</v>
      </c>
      <c r="C3656" s="1" t="s">
        <v>4737</v>
      </c>
      <c r="D3656" s="1" t="s">
        <v>4743</v>
      </c>
      <c r="E3656" s="1" t="s">
        <v>7</v>
      </c>
    </row>
    <row r="3657" customFormat="false" ht="16" hidden="false" customHeight="false" outlineLevel="0" collapsed="false">
      <c r="A3657" s="1" t="s">
        <v>5683</v>
      </c>
      <c r="B3657" s="1" t="s">
        <v>2061</v>
      </c>
      <c r="C3657" s="1" t="s">
        <v>4737</v>
      </c>
      <c r="D3657" s="1" t="s">
        <v>4745</v>
      </c>
      <c r="E3657" s="1" t="s">
        <v>7</v>
      </c>
    </row>
    <row r="3658" customFormat="false" ht="16" hidden="false" customHeight="false" outlineLevel="0" collapsed="false">
      <c r="A3658" s="1" t="s">
        <v>5684</v>
      </c>
      <c r="B3658" s="1" t="s">
        <v>2061</v>
      </c>
      <c r="C3658" s="1" t="s">
        <v>4737</v>
      </c>
      <c r="D3658" s="1" t="s">
        <v>770</v>
      </c>
      <c r="E3658" s="1" t="s">
        <v>7</v>
      </c>
    </row>
    <row r="3659" customFormat="false" ht="16" hidden="false" customHeight="false" outlineLevel="0" collapsed="false">
      <c r="A3659" s="1" t="s">
        <v>5685</v>
      </c>
      <c r="B3659" s="1" t="s">
        <v>2091</v>
      </c>
      <c r="C3659" s="1" t="s">
        <v>4737</v>
      </c>
      <c r="D3659" s="1" t="s">
        <v>4739</v>
      </c>
      <c r="E3659" s="1" t="s">
        <v>7</v>
      </c>
    </row>
    <row r="3660" customFormat="false" ht="16" hidden="false" customHeight="false" outlineLevel="0" collapsed="false">
      <c r="A3660" s="1" t="s">
        <v>5686</v>
      </c>
      <c r="B3660" s="1" t="s">
        <v>2091</v>
      </c>
      <c r="C3660" s="1" t="s">
        <v>4737</v>
      </c>
      <c r="D3660" s="1" t="s">
        <v>4741</v>
      </c>
      <c r="E3660" s="1" t="s">
        <v>7</v>
      </c>
    </row>
    <row r="3661" customFormat="false" ht="16" hidden="false" customHeight="false" outlineLevel="0" collapsed="false">
      <c r="A3661" s="1" t="s">
        <v>5687</v>
      </c>
      <c r="B3661" s="1" t="s">
        <v>2091</v>
      </c>
      <c r="C3661" s="1" t="s">
        <v>4737</v>
      </c>
      <c r="D3661" s="1" t="s">
        <v>4743</v>
      </c>
      <c r="E3661" s="1" t="s">
        <v>7</v>
      </c>
    </row>
    <row r="3662" customFormat="false" ht="16" hidden="false" customHeight="false" outlineLevel="0" collapsed="false">
      <c r="A3662" s="1" t="s">
        <v>5688</v>
      </c>
      <c r="B3662" s="1" t="s">
        <v>2091</v>
      </c>
      <c r="C3662" s="1" t="s">
        <v>4737</v>
      </c>
      <c r="D3662" s="1" t="s">
        <v>4745</v>
      </c>
      <c r="E3662" s="1" t="s">
        <v>7</v>
      </c>
    </row>
    <row r="3663" customFormat="false" ht="16" hidden="false" customHeight="false" outlineLevel="0" collapsed="false">
      <c r="A3663" s="1" t="s">
        <v>5689</v>
      </c>
      <c r="B3663" s="1" t="s">
        <v>2091</v>
      </c>
      <c r="C3663" s="1" t="s">
        <v>4737</v>
      </c>
      <c r="D3663" s="1" t="s">
        <v>770</v>
      </c>
      <c r="E3663" s="1" t="s">
        <v>7</v>
      </c>
    </row>
    <row r="3664" customFormat="false" ht="16" hidden="false" customHeight="false" outlineLevel="0" collapsed="false">
      <c r="A3664" s="1" t="s">
        <v>5690</v>
      </c>
      <c r="B3664" s="1" t="s">
        <v>2097</v>
      </c>
      <c r="C3664" s="1" t="s">
        <v>4737</v>
      </c>
      <c r="D3664" s="1" t="s">
        <v>4739</v>
      </c>
      <c r="E3664" s="1" t="s">
        <v>7</v>
      </c>
    </row>
    <row r="3665" customFormat="false" ht="16" hidden="false" customHeight="false" outlineLevel="0" collapsed="false">
      <c r="A3665" s="1" t="s">
        <v>5691</v>
      </c>
      <c r="B3665" s="1" t="s">
        <v>2097</v>
      </c>
      <c r="C3665" s="1" t="s">
        <v>4737</v>
      </c>
      <c r="D3665" s="1" t="s">
        <v>4745</v>
      </c>
      <c r="E3665" s="1" t="s">
        <v>7</v>
      </c>
    </row>
    <row r="3666" customFormat="false" ht="16" hidden="false" customHeight="false" outlineLevel="0" collapsed="false">
      <c r="A3666" s="1" t="s">
        <v>5692</v>
      </c>
      <c r="B3666" s="1" t="s">
        <v>2099</v>
      </c>
      <c r="C3666" s="1" t="s">
        <v>4737</v>
      </c>
      <c r="D3666" s="1" t="s">
        <v>4739</v>
      </c>
      <c r="E3666" s="1" t="s">
        <v>7</v>
      </c>
    </row>
    <row r="3667" customFormat="false" ht="16" hidden="false" customHeight="false" outlineLevel="0" collapsed="false">
      <c r="A3667" s="1" t="s">
        <v>5693</v>
      </c>
      <c r="B3667" s="1" t="s">
        <v>2099</v>
      </c>
      <c r="C3667" s="1" t="s">
        <v>4737</v>
      </c>
      <c r="D3667" s="1" t="s">
        <v>4741</v>
      </c>
      <c r="E3667" s="1" t="s">
        <v>7</v>
      </c>
    </row>
    <row r="3668" customFormat="false" ht="16" hidden="false" customHeight="false" outlineLevel="0" collapsed="false">
      <c r="A3668" s="1" t="s">
        <v>5694</v>
      </c>
      <c r="B3668" s="1" t="s">
        <v>2099</v>
      </c>
      <c r="C3668" s="1" t="s">
        <v>4737</v>
      </c>
      <c r="D3668" s="1" t="s">
        <v>4743</v>
      </c>
      <c r="E3668" s="1" t="s">
        <v>7</v>
      </c>
    </row>
    <row r="3669" customFormat="false" ht="16" hidden="false" customHeight="false" outlineLevel="0" collapsed="false">
      <c r="A3669" s="1" t="s">
        <v>5695</v>
      </c>
      <c r="B3669" s="1" t="s">
        <v>2099</v>
      </c>
      <c r="C3669" s="1" t="s">
        <v>4737</v>
      </c>
      <c r="D3669" s="1" t="s">
        <v>4745</v>
      </c>
      <c r="E3669" s="1" t="s">
        <v>7</v>
      </c>
    </row>
    <row r="3670" customFormat="false" ht="16" hidden="false" customHeight="false" outlineLevel="0" collapsed="false">
      <c r="A3670" s="1" t="s">
        <v>5696</v>
      </c>
      <c r="B3670" s="1" t="s">
        <v>2099</v>
      </c>
      <c r="C3670" s="1" t="s">
        <v>4737</v>
      </c>
      <c r="D3670" s="1" t="s">
        <v>770</v>
      </c>
      <c r="E3670" s="1" t="s">
        <v>7</v>
      </c>
    </row>
    <row r="3671" customFormat="false" ht="16" hidden="false" customHeight="false" outlineLevel="0" collapsed="false">
      <c r="A3671" s="1" t="s">
        <v>5697</v>
      </c>
      <c r="B3671" s="1" t="s">
        <v>2105</v>
      </c>
      <c r="C3671" s="1" t="s">
        <v>4737</v>
      </c>
      <c r="D3671" s="1" t="s">
        <v>4739</v>
      </c>
      <c r="E3671" s="1" t="s">
        <v>7</v>
      </c>
    </row>
    <row r="3672" customFormat="false" ht="16" hidden="false" customHeight="false" outlineLevel="0" collapsed="false">
      <c r="A3672" s="1" t="s">
        <v>5698</v>
      </c>
      <c r="B3672" s="1" t="s">
        <v>2105</v>
      </c>
      <c r="C3672" s="1" t="s">
        <v>4737</v>
      </c>
      <c r="D3672" s="1" t="s">
        <v>4741</v>
      </c>
      <c r="E3672" s="1" t="s">
        <v>7</v>
      </c>
    </row>
    <row r="3673" customFormat="false" ht="16" hidden="false" customHeight="false" outlineLevel="0" collapsed="false">
      <c r="A3673" s="1" t="s">
        <v>5699</v>
      </c>
      <c r="B3673" s="1" t="s">
        <v>2105</v>
      </c>
      <c r="C3673" s="1" t="s">
        <v>4737</v>
      </c>
      <c r="D3673" s="1" t="s">
        <v>4743</v>
      </c>
      <c r="E3673" s="1" t="s">
        <v>7</v>
      </c>
    </row>
    <row r="3674" customFormat="false" ht="16" hidden="false" customHeight="false" outlineLevel="0" collapsed="false">
      <c r="A3674" s="1" t="s">
        <v>5700</v>
      </c>
      <c r="B3674" s="1" t="s">
        <v>2105</v>
      </c>
      <c r="C3674" s="1" t="s">
        <v>4737</v>
      </c>
      <c r="D3674" s="1" t="s">
        <v>4745</v>
      </c>
      <c r="E3674" s="1" t="s">
        <v>7</v>
      </c>
    </row>
    <row r="3675" customFormat="false" ht="16" hidden="false" customHeight="false" outlineLevel="0" collapsed="false">
      <c r="A3675" s="1" t="s">
        <v>5701</v>
      </c>
      <c r="B3675" s="1" t="s">
        <v>2105</v>
      </c>
      <c r="C3675" s="1" t="s">
        <v>4737</v>
      </c>
      <c r="D3675" s="1" t="s">
        <v>770</v>
      </c>
      <c r="E3675" s="1" t="s">
        <v>7</v>
      </c>
    </row>
    <row r="3676" customFormat="false" ht="16" hidden="false" customHeight="false" outlineLevel="0" collapsed="false">
      <c r="A3676" s="1" t="s">
        <v>5702</v>
      </c>
      <c r="B3676" s="1" t="s">
        <v>2111</v>
      </c>
      <c r="C3676" s="1" t="s">
        <v>4737</v>
      </c>
      <c r="D3676" s="1" t="s">
        <v>4739</v>
      </c>
      <c r="E3676" s="1" t="s">
        <v>7</v>
      </c>
    </row>
    <row r="3677" customFormat="false" ht="16" hidden="false" customHeight="false" outlineLevel="0" collapsed="false">
      <c r="A3677" s="1" t="s">
        <v>5703</v>
      </c>
      <c r="B3677" s="1" t="s">
        <v>2111</v>
      </c>
      <c r="C3677" s="1" t="s">
        <v>4737</v>
      </c>
      <c r="D3677" s="1" t="s">
        <v>4741</v>
      </c>
      <c r="E3677" s="1" t="s">
        <v>7</v>
      </c>
    </row>
    <row r="3678" customFormat="false" ht="16" hidden="false" customHeight="false" outlineLevel="0" collapsed="false">
      <c r="A3678" s="1" t="s">
        <v>5704</v>
      </c>
      <c r="B3678" s="1" t="s">
        <v>2111</v>
      </c>
      <c r="C3678" s="1" t="s">
        <v>4737</v>
      </c>
      <c r="D3678" s="1" t="s">
        <v>4743</v>
      </c>
      <c r="E3678" s="1" t="s">
        <v>7</v>
      </c>
    </row>
    <row r="3679" customFormat="false" ht="16" hidden="false" customHeight="false" outlineLevel="0" collapsed="false">
      <c r="A3679" s="1" t="s">
        <v>5705</v>
      </c>
      <c r="B3679" s="1" t="s">
        <v>2111</v>
      </c>
      <c r="C3679" s="1" t="s">
        <v>4737</v>
      </c>
      <c r="D3679" s="1" t="s">
        <v>4745</v>
      </c>
      <c r="E3679" s="1" t="s">
        <v>7</v>
      </c>
    </row>
    <row r="3680" customFormat="false" ht="16" hidden="false" customHeight="false" outlineLevel="0" collapsed="false">
      <c r="A3680" s="1" t="s">
        <v>5706</v>
      </c>
      <c r="B3680" s="1" t="s">
        <v>2111</v>
      </c>
      <c r="C3680" s="1" t="s">
        <v>4737</v>
      </c>
      <c r="D3680" s="1" t="s">
        <v>770</v>
      </c>
      <c r="E3680" s="1" t="s">
        <v>7</v>
      </c>
    </row>
    <row r="3681" customFormat="false" ht="16" hidden="false" customHeight="false" outlineLevel="0" collapsed="false">
      <c r="A3681" s="1" t="s">
        <v>5707</v>
      </c>
      <c r="B3681" s="1" t="s">
        <v>2117</v>
      </c>
      <c r="C3681" s="1" t="s">
        <v>4737</v>
      </c>
      <c r="D3681" s="1" t="s">
        <v>4739</v>
      </c>
      <c r="E3681" s="1" t="s">
        <v>7</v>
      </c>
    </row>
    <row r="3682" customFormat="false" ht="16" hidden="false" customHeight="false" outlineLevel="0" collapsed="false">
      <c r="A3682" s="1" t="s">
        <v>5708</v>
      </c>
      <c r="B3682" s="1" t="s">
        <v>2117</v>
      </c>
      <c r="C3682" s="1" t="s">
        <v>4737</v>
      </c>
      <c r="D3682" s="1" t="s">
        <v>4741</v>
      </c>
      <c r="E3682" s="1" t="s">
        <v>7</v>
      </c>
    </row>
    <row r="3683" customFormat="false" ht="16" hidden="false" customHeight="false" outlineLevel="0" collapsed="false">
      <c r="A3683" s="1" t="s">
        <v>5709</v>
      </c>
      <c r="B3683" s="1" t="s">
        <v>2117</v>
      </c>
      <c r="C3683" s="1" t="s">
        <v>4737</v>
      </c>
      <c r="D3683" s="1" t="s">
        <v>4743</v>
      </c>
      <c r="E3683" s="1" t="s">
        <v>7</v>
      </c>
    </row>
    <row r="3684" customFormat="false" ht="16" hidden="false" customHeight="false" outlineLevel="0" collapsed="false">
      <c r="A3684" s="1" t="s">
        <v>5710</v>
      </c>
      <c r="B3684" s="1" t="s">
        <v>2117</v>
      </c>
      <c r="C3684" s="1" t="s">
        <v>4737</v>
      </c>
      <c r="D3684" s="1" t="s">
        <v>4745</v>
      </c>
      <c r="E3684" s="1" t="s">
        <v>7</v>
      </c>
    </row>
    <row r="3685" customFormat="false" ht="16" hidden="false" customHeight="false" outlineLevel="0" collapsed="false">
      <c r="A3685" s="1" t="s">
        <v>5711</v>
      </c>
      <c r="B3685" s="1" t="s">
        <v>2117</v>
      </c>
      <c r="C3685" s="1" t="s">
        <v>4737</v>
      </c>
      <c r="D3685" s="1" t="s">
        <v>770</v>
      </c>
      <c r="E3685" s="1" t="s">
        <v>7</v>
      </c>
    </row>
    <row r="3686" customFormat="false" ht="16" hidden="false" customHeight="false" outlineLevel="0" collapsed="false">
      <c r="A3686" s="1" t="s">
        <v>5712</v>
      </c>
      <c r="B3686" s="1" t="s">
        <v>2123</v>
      </c>
      <c r="C3686" s="1" t="s">
        <v>4737</v>
      </c>
      <c r="D3686" s="1" t="s">
        <v>4745</v>
      </c>
      <c r="E3686" s="1" t="s">
        <v>7</v>
      </c>
    </row>
    <row r="3687" customFormat="false" ht="16" hidden="false" customHeight="false" outlineLevel="0" collapsed="false">
      <c r="A3687" s="1" t="s">
        <v>5713</v>
      </c>
      <c r="B3687" s="1" t="s">
        <v>2129</v>
      </c>
      <c r="C3687" s="1" t="s">
        <v>4737</v>
      </c>
      <c r="D3687" s="1" t="s">
        <v>4739</v>
      </c>
      <c r="E3687" s="1" t="s">
        <v>7</v>
      </c>
    </row>
    <row r="3688" customFormat="false" ht="16" hidden="false" customHeight="false" outlineLevel="0" collapsed="false">
      <c r="A3688" s="1" t="s">
        <v>5714</v>
      </c>
      <c r="B3688" s="1" t="s">
        <v>2129</v>
      </c>
      <c r="C3688" s="1" t="s">
        <v>4737</v>
      </c>
      <c r="D3688" s="1" t="s">
        <v>4741</v>
      </c>
      <c r="E3688" s="1" t="s">
        <v>7</v>
      </c>
    </row>
    <row r="3689" customFormat="false" ht="16" hidden="false" customHeight="false" outlineLevel="0" collapsed="false">
      <c r="A3689" s="1" t="s">
        <v>5715</v>
      </c>
      <c r="B3689" s="1" t="s">
        <v>2129</v>
      </c>
      <c r="C3689" s="1" t="s">
        <v>4737</v>
      </c>
      <c r="D3689" s="1" t="s">
        <v>4743</v>
      </c>
      <c r="E3689" s="1" t="s">
        <v>7</v>
      </c>
    </row>
    <row r="3690" customFormat="false" ht="16" hidden="false" customHeight="false" outlineLevel="0" collapsed="false">
      <c r="A3690" s="1" t="s">
        <v>5716</v>
      </c>
      <c r="B3690" s="1" t="s">
        <v>2129</v>
      </c>
      <c r="C3690" s="1" t="s">
        <v>4737</v>
      </c>
      <c r="D3690" s="1" t="s">
        <v>4745</v>
      </c>
      <c r="E3690" s="1" t="s">
        <v>7</v>
      </c>
    </row>
    <row r="3691" customFormat="false" ht="16" hidden="false" customHeight="false" outlineLevel="0" collapsed="false">
      <c r="A3691" s="1" t="s">
        <v>5717</v>
      </c>
      <c r="B3691" s="1" t="s">
        <v>2129</v>
      </c>
      <c r="C3691" s="1" t="s">
        <v>4737</v>
      </c>
      <c r="D3691" s="1" t="s">
        <v>770</v>
      </c>
      <c r="E3691" s="1" t="s">
        <v>7</v>
      </c>
    </row>
    <row r="3692" customFormat="false" ht="16" hidden="false" customHeight="false" outlineLevel="0" collapsed="false">
      <c r="A3692" s="1" t="s">
        <v>5718</v>
      </c>
      <c r="B3692" s="1" t="s">
        <v>5719</v>
      </c>
      <c r="C3692" s="1" t="s">
        <v>4737</v>
      </c>
      <c r="D3692" s="1" t="s">
        <v>4739</v>
      </c>
      <c r="E3692" s="1" t="s">
        <v>7</v>
      </c>
    </row>
    <row r="3693" customFormat="false" ht="16" hidden="false" customHeight="false" outlineLevel="0" collapsed="false">
      <c r="A3693" s="1" t="s">
        <v>5720</v>
      </c>
      <c r="B3693" s="1" t="s">
        <v>5719</v>
      </c>
      <c r="C3693" s="1" t="s">
        <v>4737</v>
      </c>
      <c r="D3693" s="1" t="s">
        <v>4741</v>
      </c>
      <c r="E3693" s="1" t="s">
        <v>7</v>
      </c>
    </row>
    <row r="3694" customFormat="false" ht="16" hidden="false" customHeight="false" outlineLevel="0" collapsed="false">
      <c r="A3694" s="1" t="s">
        <v>5721</v>
      </c>
      <c r="B3694" s="1" t="s">
        <v>5719</v>
      </c>
      <c r="C3694" s="1" t="s">
        <v>4737</v>
      </c>
      <c r="D3694" s="1" t="s">
        <v>4743</v>
      </c>
      <c r="E3694" s="1" t="s">
        <v>7</v>
      </c>
    </row>
    <row r="3695" customFormat="false" ht="16" hidden="false" customHeight="false" outlineLevel="0" collapsed="false">
      <c r="A3695" s="1" t="s">
        <v>5722</v>
      </c>
      <c r="B3695" s="1" t="s">
        <v>5719</v>
      </c>
      <c r="C3695" s="1" t="s">
        <v>4737</v>
      </c>
      <c r="D3695" s="1" t="s">
        <v>4745</v>
      </c>
      <c r="E3695" s="1" t="s">
        <v>7</v>
      </c>
    </row>
    <row r="3696" customFormat="false" ht="16" hidden="false" customHeight="false" outlineLevel="0" collapsed="false">
      <c r="A3696" s="1" t="s">
        <v>5723</v>
      </c>
      <c r="B3696" s="1" t="s">
        <v>5719</v>
      </c>
      <c r="C3696" s="1" t="s">
        <v>4737</v>
      </c>
      <c r="D3696" s="1" t="s">
        <v>770</v>
      </c>
      <c r="E3696" s="1" t="s">
        <v>7</v>
      </c>
    </row>
    <row r="3697" customFormat="false" ht="16" hidden="false" customHeight="false" outlineLevel="0" collapsed="false">
      <c r="A3697" s="1" t="s">
        <v>5724</v>
      </c>
      <c r="B3697" s="1" t="s">
        <v>2145</v>
      </c>
      <c r="C3697" s="1" t="s">
        <v>4737</v>
      </c>
      <c r="D3697" s="1" t="s">
        <v>4739</v>
      </c>
      <c r="E3697" s="1" t="s">
        <v>7</v>
      </c>
    </row>
    <row r="3698" customFormat="false" ht="16" hidden="false" customHeight="false" outlineLevel="0" collapsed="false">
      <c r="A3698" s="1" t="s">
        <v>5725</v>
      </c>
      <c r="B3698" s="1" t="s">
        <v>2145</v>
      </c>
      <c r="C3698" s="1" t="s">
        <v>4737</v>
      </c>
      <c r="D3698" s="1" t="s">
        <v>4745</v>
      </c>
      <c r="E3698" s="1" t="s">
        <v>7</v>
      </c>
    </row>
    <row r="3699" customFormat="false" ht="16" hidden="false" customHeight="false" outlineLevel="0" collapsed="false">
      <c r="A3699" s="1" t="s">
        <v>5726</v>
      </c>
      <c r="B3699" s="1" t="s">
        <v>55</v>
      </c>
      <c r="C3699" s="1" t="s">
        <v>4737</v>
      </c>
      <c r="D3699" s="1" t="s">
        <v>4739</v>
      </c>
      <c r="E3699" s="1" t="s">
        <v>7</v>
      </c>
    </row>
    <row r="3700" customFormat="false" ht="16" hidden="false" customHeight="false" outlineLevel="0" collapsed="false">
      <c r="A3700" s="1" t="s">
        <v>5727</v>
      </c>
      <c r="B3700" s="1" t="s">
        <v>55</v>
      </c>
      <c r="C3700" s="1" t="s">
        <v>4737</v>
      </c>
      <c r="D3700" s="1" t="s">
        <v>4741</v>
      </c>
      <c r="E3700" s="1" t="s">
        <v>7</v>
      </c>
    </row>
    <row r="3701" customFormat="false" ht="16" hidden="false" customHeight="false" outlineLevel="0" collapsed="false">
      <c r="A3701" s="1" t="s">
        <v>5728</v>
      </c>
      <c r="B3701" s="1" t="s">
        <v>55</v>
      </c>
      <c r="C3701" s="1" t="s">
        <v>4737</v>
      </c>
      <c r="D3701" s="1" t="s">
        <v>4743</v>
      </c>
      <c r="E3701" s="1" t="s">
        <v>7</v>
      </c>
    </row>
    <row r="3702" customFormat="false" ht="16" hidden="false" customHeight="false" outlineLevel="0" collapsed="false">
      <c r="A3702" s="1" t="s">
        <v>5729</v>
      </c>
      <c r="B3702" s="1" t="s">
        <v>55</v>
      </c>
      <c r="C3702" s="1" t="s">
        <v>4737</v>
      </c>
      <c r="D3702" s="1" t="s">
        <v>4745</v>
      </c>
      <c r="E3702" s="1" t="s">
        <v>7</v>
      </c>
    </row>
    <row r="3703" customFormat="false" ht="16" hidden="false" customHeight="false" outlineLevel="0" collapsed="false">
      <c r="A3703" s="1" t="s">
        <v>5730</v>
      </c>
      <c r="B3703" s="1" t="s">
        <v>55</v>
      </c>
      <c r="C3703" s="1" t="s">
        <v>4737</v>
      </c>
      <c r="D3703" s="1" t="s">
        <v>770</v>
      </c>
      <c r="E3703" s="1" t="s">
        <v>7</v>
      </c>
    </row>
    <row r="3704" customFormat="false" ht="16" hidden="false" customHeight="false" outlineLevel="0" collapsed="false">
      <c r="A3704" s="1" t="s">
        <v>5731</v>
      </c>
      <c r="B3704" s="1" t="s">
        <v>5732</v>
      </c>
      <c r="C3704" s="1" t="s">
        <v>4737</v>
      </c>
      <c r="D3704" s="1" t="s">
        <v>4739</v>
      </c>
      <c r="E3704" s="1" t="s">
        <v>906</v>
      </c>
    </row>
    <row r="3705" customFormat="false" ht="16" hidden="false" customHeight="false" outlineLevel="0" collapsed="false">
      <c r="A3705" s="1" t="s">
        <v>5733</v>
      </c>
      <c r="B3705" s="1" t="s">
        <v>5732</v>
      </c>
      <c r="C3705" s="1" t="s">
        <v>4737</v>
      </c>
      <c r="D3705" s="1" t="s">
        <v>4741</v>
      </c>
      <c r="E3705" s="1" t="s">
        <v>906</v>
      </c>
    </row>
    <row r="3706" customFormat="false" ht="16" hidden="false" customHeight="false" outlineLevel="0" collapsed="false">
      <c r="A3706" s="1" t="s">
        <v>5734</v>
      </c>
      <c r="B3706" s="1" t="s">
        <v>5732</v>
      </c>
      <c r="C3706" s="1" t="s">
        <v>4737</v>
      </c>
      <c r="D3706" s="1" t="s">
        <v>4743</v>
      </c>
      <c r="E3706" s="1" t="s">
        <v>906</v>
      </c>
    </row>
    <row r="3707" customFormat="false" ht="16" hidden="false" customHeight="false" outlineLevel="0" collapsed="false">
      <c r="A3707" s="1" t="s">
        <v>5735</v>
      </c>
      <c r="B3707" s="1" t="s">
        <v>5732</v>
      </c>
      <c r="C3707" s="1" t="s">
        <v>4737</v>
      </c>
      <c r="D3707" s="1" t="s">
        <v>4745</v>
      </c>
      <c r="E3707" s="1" t="s">
        <v>906</v>
      </c>
    </row>
    <row r="3708" customFormat="false" ht="16" hidden="false" customHeight="false" outlineLevel="0" collapsed="false">
      <c r="A3708" s="1" t="s">
        <v>5736</v>
      </c>
      <c r="B3708" s="1" t="s">
        <v>5732</v>
      </c>
      <c r="C3708" s="1" t="s">
        <v>4737</v>
      </c>
      <c r="D3708" s="1" t="s">
        <v>770</v>
      </c>
      <c r="E3708" s="1" t="s">
        <v>906</v>
      </c>
    </row>
    <row r="3709" customFormat="false" ht="16" hidden="false" customHeight="false" outlineLevel="0" collapsed="false">
      <c r="A3709" s="1" t="s">
        <v>5737</v>
      </c>
      <c r="B3709" s="1" t="s">
        <v>5738</v>
      </c>
      <c r="C3709" s="1" t="s">
        <v>4737</v>
      </c>
      <c r="D3709" s="1" t="s">
        <v>4743</v>
      </c>
      <c r="E3709" s="1" t="s">
        <v>7</v>
      </c>
    </row>
    <row r="3710" customFormat="false" ht="16" hidden="false" customHeight="false" outlineLevel="0" collapsed="false">
      <c r="A3710" s="1" t="s">
        <v>5739</v>
      </c>
      <c r="B3710" s="1" t="s">
        <v>2154</v>
      </c>
      <c r="C3710" s="1" t="s">
        <v>4737</v>
      </c>
      <c r="D3710" s="1" t="s">
        <v>4739</v>
      </c>
      <c r="E3710" s="1" t="s">
        <v>7</v>
      </c>
    </row>
    <row r="3711" customFormat="false" ht="16" hidden="false" customHeight="false" outlineLevel="0" collapsed="false">
      <c r="A3711" s="1" t="s">
        <v>5740</v>
      </c>
      <c r="B3711" s="1" t="s">
        <v>2154</v>
      </c>
      <c r="C3711" s="1" t="s">
        <v>4737</v>
      </c>
      <c r="D3711" s="1" t="s">
        <v>4741</v>
      </c>
      <c r="E3711" s="1" t="s">
        <v>7</v>
      </c>
    </row>
    <row r="3712" customFormat="false" ht="16" hidden="false" customHeight="false" outlineLevel="0" collapsed="false">
      <c r="A3712" s="1" t="s">
        <v>5741</v>
      </c>
      <c r="B3712" s="1" t="s">
        <v>2154</v>
      </c>
      <c r="C3712" s="1" t="s">
        <v>4737</v>
      </c>
      <c r="D3712" s="1" t="s">
        <v>4743</v>
      </c>
      <c r="E3712" s="1" t="s">
        <v>7</v>
      </c>
    </row>
    <row r="3713" customFormat="false" ht="16" hidden="false" customHeight="false" outlineLevel="0" collapsed="false">
      <c r="A3713" s="1" t="s">
        <v>5742</v>
      </c>
      <c r="B3713" s="1" t="s">
        <v>2154</v>
      </c>
      <c r="C3713" s="1" t="s">
        <v>4737</v>
      </c>
      <c r="D3713" s="1" t="s">
        <v>4745</v>
      </c>
      <c r="E3713" s="1" t="s">
        <v>7</v>
      </c>
    </row>
    <row r="3714" customFormat="false" ht="16" hidden="false" customHeight="false" outlineLevel="0" collapsed="false">
      <c r="A3714" s="1" t="s">
        <v>5743</v>
      </c>
      <c r="B3714" s="1" t="s">
        <v>2154</v>
      </c>
      <c r="C3714" s="1" t="s">
        <v>4737</v>
      </c>
      <c r="D3714" s="1" t="s">
        <v>770</v>
      </c>
      <c r="E3714" s="1" t="s">
        <v>7</v>
      </c>
    </row>
    <row r="3715" customFormat="false" ht="16" hidden="false" customHeight="false" outlineLevel="0" collapsed="false">
      <c r="A3715" s="1" t="s">
        <v>5744</v>
      </c>
      <c r="B3715" s="1" t="s">
        <v>2160</v>
      </c>
      <c r="C3715" s="1" t="s">
        <v>4737</v>
      </c>
      <c r="D3715" s="1" t="s">
        <v>770</v>
      </c>
      <c r="E3715" s="1" t="s">
        <v>7</v>
      </c>
    </row>
    <row r="3716" customFormat="false" ht="16" hidden="false" customHeight="false" outlineLevel="0" collapsed="false">
      <c r="A3716" s="1" t="s">
        <v>5745</v>
      </c>
      <c r="B3716" s="1" t="s">
        <v>5746</v>
      </c>
      <c r="C3716" s="1" t="s">
        <v>4737</v>
      </c>
      <c r="D3716" s="1" t="s">
        <v>4743</v>
      </c>
      <c r="E3716" s="1" t="s">
        <v>7</v>
      </c>
    </row>
    <row r="3717" customFormat="false" ht="16" hidden="false" customHeight="false" outlineLevel="0" collapsed="false">
      <c r="A3717" s="1" t="s">
        <v>5747</v>
      </c>
      <c r="B3717" s="1" t="s">
        <v>2178</v>
      </c>
      <c r="C3717" s="1" t="s">
        <v>4737</v>
      </c>
      <c r="D3717" s="1" t="s">
        <v>4745</v>
      </c>
      <c r="E3717" s="1" t="s">
        <v>7</v>
      </c>
    </row>
    <row r="3718" customFormat="false" ht="16" hidden="false" customHeight="false" outlineLevel="0" collapsed="false">
      <c r="A3718" s="1" t="s">
        <v>5748</v>
      </c>
      <c r="B3718" s="1" t="s">
        <v>2182</v>
      </c>
      <c r="C3718" s="1" t="s">
        <v>4737</v>
      </c>
      <c r="D3718" s="1" t="s">
        <v>4739</v>
      </c>
      <c r="E3718" s="1" t="s">
        <v>906</v>
      </c>
    </row>
    <row r="3719" customFormat="false" ht="16" hidden="false" customHeight="false" outlineLevel="0" collapsed="false">
      <c r="A3719" s="1" t="s">
        <v>5749</v>
      </c>
      <c r="B3719" s="1" t="s">
        <v>2182</v>
      </c>
      <c r="C3719" s="1" t="s">
        <v>4737</v>
      </c>
      <c r="D3719" s="1" t="s">
        <v>4741</v>
      </c>
      <c r="E3719" s="1" t="s">
        <v>906</v>
      </c>
    </row>
    <row r="3720" customFormat="false" ht="16" hidden="false" customHeight="false" outlineLevel="0" collapsed="false">
      <c r="A3720" s="1" t="s">
        <v>5750</v>
      </c>
      <c r="B3720" s="1" t="s">
        <v>2182</v>
      </c>
      <c r="C3720" s="1" t="s">
        <v>4737</v>
      </c>
      <c r="D3720" s="1" t="s">
        <v>4743</v>
      </c>
      <c r="E3720" s="1" t="s">
        <v>906</v>
      </c>
    </row>
    <row r="3721" customFormat="false" ht="16" hidden="false" customHeight="false" outlineLevel="0" collapsed="false">
      <c r="A3721" s="1" t="s">
        <v>5751</v>
      </c>
      <c r="B3721" s="1" t="s">
        <v>2182</v>
      </c>
      <c r="C3721" s="1" t="s">
        <v>4737</v>
      </c>
      <c r="D3721" s="1" t="s">
        <v>4745</v>
      </c>
      <c r="E3721" s="1" t="s">
        <v>906</v>
      </c>
    </row>
    <row r="3722" customFormat="false" ht="16" hidden="false" customHeight="false" outlineLevel="0" collapsed="false">
      <c r="A3722" s="1" t="s">
        <v>5752</v>
      </c>
      <c r="B3722" s="1" t="s">
        <v>2182</v>
      </c>
      <c r="C3722" s="1" t="s">
        <v>4737</v>
      </c>
      <c r="D3722" s="1" t="s">
        <v>770</v>
      </c>
      <c r="E3722" s="1" t="s">
        <v>906</v>
      </c>
    </row>
    <row r="3723" customFormat="false" ht="16" hidden="false" customHeight="false" outlineLevel="0" collapsed="false">
      <c r="A3723" s="1" t="s">
        <v>5753</v>
      </c>
      <c r="B3723" s="1" t="s">
        <v>57</v>
      </c>
      <c r="C3723" s="1" t="s">
        <v>4737</v>
      </c>
      <c r="D3723" s="1" t="s">
        <v>4739</v>
      </c>
      <c r="E3723" s="1" t="s">
        <v>7</v>
      </c>
    </row>
    <row r="3724" customFormat="false" ht="16" hidden="false" customHeight="false" outlineLevel="0" collapsed="false">
      <c r="A3724" s="1" t="s">
        <v>5754</v>
      </c>
      <c r="B3724" s="1" t="s">
        <v>5755</v>
      </c>
      <c r="C3724" s="1" t="s">
        <v>4737</v>
      </c>
      <c r="D3724" s="1" t="s">
        <v>4739</v>
      </c>
      <c r="E3724" s="1" t="s">
        <v>7</v>
      </c>
    </row>
    <row r="3725" customFormat="false" ht="16" hidden="false" customHeight="false" outlineLevel="0" collapsed="false">
      <c r="A3725" s="1" t="s">
        <v>5756</v>
      </c>
      <c r="B3725" s="1" t="s">
        <v>5755</v>
      </c>
      <c r="C3725" s="1" t="s">
        <v>4737</v>
      </c>
      <c r="D3725" s="1" t="s">
        <v>4741</v>
      </c>
      <c r="E3725" s="1" t="s">
        <v>7</v>
      </c>
    </row>
    <row r="3726" customFormat="false" ht="16" hidden="false" customHeight="false" outlineLevel="0" collapsed="false">
      <c r="A3726" s="1" t="s">
        <v>5757</v>
      </c>
      <c r="B3726" s="1" t="s">
        <v>5755</v>
      </c>
      <c r="C3726" s="1" t="s">
        <v>4737</v>
      </c>
      <c r="D3726" s="1" t="s">
        <v>4743</v>
      </c>
      <c r="E3726" s="1" t="s">
        <v>7</v>
      </c>
    </row>
    <row r="3727" customFormat="false" ht="16" hidden="false" customHeight="false" outlineLevel="0" collapsed="false">
      <c r="A3727" s="1" t="s">
        <v>5758</v>
      </c>
      <c r="B3727" s="1" t="s">
        <v>5755</v>
      </c>
      <c r="C3727" s="1" t="s">
        <v>4737</v>
      </c>
      <c r="D3727" s="1" t="s">
        <v>4745</v>
      </c>
      <c r="E3727" s="1" t="s">
        <v>7</v>
      </c>
    </row>
    <row r="3728" customFormat="false" ht="16" hidden="false" customHeight="false" outlineLevel="0" collapsed="false">
      <c r="A3728" s="1" t="s">
        <v>5759</v>
      </c>
      <c r="B3728" s="1" t="s">
        <v>5755</v>
      </c>
      <c r="C3728" s="1" t="s">
        <v>4737</v>
      </c>
      <c r="D3728" s="1" t="s">
        <v>770</v>
      </c>
      <c r="E3728" s="1" t="s">
        <v>7</v>
      </c>
    </row>
    <row r="3729" customFormat="false" ht="16" hidden="false" customHeight="false" outlineLevel="0" collapsed="false">
      <c r="A3729" s="1" t="s">
        <v>5760</v>
      </c>
      <c r="B3729" s="1" t="s">
        <v>2193</v>
      </c>
      <c r="C3729" s="1" t="s">
        <v>4737</v>
      </c>
      <c r="D3729" s="1" t="s">
        <v>4739</v>
      </c>
      <c r="E3729" s="1" t="s">
        <v>906</v>
      </c>
    </row>
    <row r="3730" customFormat="false" ht="16" hidden="false" customHeight="false" outlineLevel="0" collapsed="false">
      <c r="A3730" s="1" t="s">
        <v>5761</v>
      </c>
      <c r="B3730" s="1" t="s">
        <v>2193</v>
      </c>
      <c r="C3730" s="1" t="s">
        <v>4737</v>
      </c>
      <c r="D3730" s="1" t="s">
        <v>4741</v>
      </c>
      <c r="E3730" s="1" t="s">
        <v>906</v>
      </c>
    </row>
    <row r="3731" customFormat="false" ht="16" hidden="false" customHeight="false" outlineLevel="0" collapsed="false">
      <c r="A3731" s="1" t="s">
        <v>5762</v>
      </c>
      <c r="B3731" s="1" t="s">
        <v>2193</v>
      </c>
      <c r="C3731" s="1" t="s">
        <v>4737</v>
      </c>
      <c r="D3731" s="1" t="s">
        <v>4743</v>
      </c>
      <c r="E3731" s="1" t="s">
        <v>906</v>
      </c>
    </row>
    <row r="3732" customFormat="false" ht="16" hidden="false" customHeight="false" outlineLevel="0" collapsed="false">
      <c r="A3732" s="1" t="s">
        <v>5763</v>
      </c>
      <c r="B3732" s="1" t="s">
        <v>2193</v>
      </c>
      <c r="C3732" s="1" t="s">
        <v>4737</v>
      </c>
      <c r="D3732" s="1" t="s">
        <v>4745</v>
      </c>
      <c r="E3732" s="1" t="s">
        <v>906</v>
      </c>
    </row>
    <row r="3733" customFormat="false" ht="16" hidden="false" customHeight="false" outlineLevel="0" collapsed="false">
      <c r="A3733" s="1" t="s">
        <v>5764</v>
      </c>
      <c r="B3733" s="1" t="s">
        <v>2193</v>
      </c>
      <c r="C3733" s="1" t="s">
        <v>4737</v>
      </c>
      <c r="D3733" s="1" t="s">
        <v>770</v>
      </c>
      <c r="E3733" s="1" t="s">
        <v>906</v>
      </c>
    </row>
    <row r="3734" customFormat="false" ht="16" hidden="false" customHeight="false" outlineLevel="0" collapsed="false">
      <c r="A3734" s="1" t="s">
        <v>5765</v>
      </c>
      <c r="B3734" s="1" t="s">
        <v>2199</v>
      </c>
      <c r="C3734" s="1" t="s">
        <v>4737</v>
      </c>
      <c r="D3734" s="1" t="s">
        <v>4739</v>
      </c>
      <c r="E3734" s="1" t="s">
        <v>7</v>
      </c>
    </row>
    <row r="3735" customFormat="false" ht="16" hidden="false" customHeight="false" outlineLevel="0" collapsed="false">
      <c r="A3735" s="1" t="s">
        <v>5766</v>
      </c>
      <c r="B3735" s="1" t="s">
        <v>2199</v>
      </c>
      <c r="C3735" s="1" t="s">
        <v>4737</v>
      </c>
      <c r="D3735" s="1" t="s">
        <v>4741</v>
      </c>
      <c r="E3735" s="1" t="s">
        <v>7</v>
      </c>
    </row>
    <row r="3736" customFormat="false" ht="16" hidden="false" customHeight="false" outlineLevel="0" collapsed="false">
      <c r="A3736" s="1" t="s">
        <v>5767</v>
      </c>
      <c r="B3736" s="1" t="s">
        <v>2199</v>
      </c>
      <c r="C3736" s="1" t="s">
        <v>4737</v>
      </c>
      <c r="D3736" s="1" t="s">
        <v>4743</v>
      </c>
      <c r="E3736" s="1" t="s">
        <v>7</v>
      </c>
    </row>
    <row r="3737" customFormat="false" ht="16" hidden="false" customHeight="false" outlineLevel="0" collapsed="false">
      <c r="A3737" s="1" t="s">
        <v>5768</v>
      </c>
      <c r="B3737" s="1" t="s">
        <v>2199</v>
      </c>
      <c r="C3737" s="1" t="s">
        <v>4737</v>
      </c>
      <c r="D3737" s="1" t="s">
        <v>4745</v>
      </c>
      <c r="E3737" s="1" t="s">
        <v>7</v>
      </c>
    </row>
    <row r="3738" customFormat="false" ht="16" hidden="false" customHeight="false" outlineLevel="0" collapsed="false">
      <c r="A3738" s="1" t="s">
        <v>5769</v>
      </c>
      <c r="B3738" s="1" t="s">
        <v>2199</v>
      </c>
      <c r="C3738" s="1" t="s">
        <v>4737</v>
      </c>
      <c r="D3738" s="1" t="s">
        <v>770</v>
      </c>
      <c r="E3738" s="1" t="s">
        <v>7</v>
      </c>
    </row>
    <row r="3739" customFormat="false" ht="16" hidden="false" customHeight="false" outlineLevel="0" collapsed="false">
      <c r="A3739" s="1" t="s">
        <v>5770</v>
      </c>
      <c r="B3739" s="1" t="s">
        <v>5771</v>
      </c>
      <c r="C3739" s="1" t="s">
        <v>4737</v>
      </c>
      <c r="D3739" s="1" t="s">
        <v>4739</v>
      </c>
      <c r="E3739" s="1" t="s">
        <v>7</v>
      </c>
    </row>
    <row r="3740" customFormat="false" ht="16" hidden="false" customHeight="false" outlineLevel="0" collapsed="false">
      <c r="A3740" s="1" t="s">
        <v>5772</v>
      </c>
      <c r="B3740" s="1" t="s">
        <v>5771</v>
      </c>
      <c r="C3740" s="1" t="s">
        <v>4737</v>
      </c>
      <c r="D3740" s="1" t="s">
        <v>4741</v>
      </c>
      <c r="E3740" s="1" t="s">
        <v>7</v>
      </c>
    </row>
    <row r="3741" customFormat="false" ht="16" hidden="false" customHeight="false" outlineLevel="0" collapsed="false">
      <c r="A3741" s="1" t="s">
        <v>5773</v>
      </c>
      <c r="B3741" s="1" t="s">
        <v>5771</v>
      </c>
      <c r="C3741" s="1" t="s">
        <v>4737</v>
      </c>
      <c r="D3741" s="1" t="s">
        <v>4743</v>
      </c>
      <c r="E3741" s="1" t="s">
        <v>7</v>
      </c>
    </row>
    <row r="3742" customFormat="false" ht="16" hidden="false" customHeight="false" outlineLevel="0" collapsed="false">
      <c r="A3742" s="1" t="s">
        <v>5774</v>
      </c>
      <c r="B3742" s="1" t="s">
        <v>5771</v>
      </c>
      <c r="C3742" s="1" t="s">
        <v>4737</v>
      </c>
      <c r="D3742" s="1" t="s">
        <v>4745</v>
      </c>
      <c r="E3742" s="1" t="s">
        <v>7</v>
      </c>
    </row>
    <row r="3743" customFormat="false" ht="16" hidden="false" customHeight="false" outlineLevel="0" collapsed="false">
      <c r="A3743" s="1" t="s">
        <v>5775</v>
      </c>
      <c r="B3743" s="1" t="s">
        <v>5771</v>
      </c>
      <c r="C3743" s="1" t="s">
        <v>4737</v>
      </c>
      <c r="D3743" s="1" t="s">
        <v>770</v>
      </c>
      <c r="E3743" s="1" t="s">
        <v>7</v>
      </c>
    </row>
    <row r="3744" customFormat="false" ht="16" hidden="false" customHeight="false" outlineLevel="0" collapsed="false">
      <c r="A3744" s="1" t="s">
        <v>5776</v>
      </c>
      <c r="B3744" s="1" t="s">
        <v>2207</v>
      </c>
      <c r="C3744" s="1" t="s">
        <v>4737</v>
      </c>
      <c r="D3744" s="1" t="s">
        <v>4739</v>
      </c>
      <c r="E3744" s="1" t="s">
        <v>7</v>
      </c>
    </row>
    <row r="3745" customFormat="false" ht="16" hidden="false" customHeight="false" outlineLevel="0" collapsed="false">
      <c r="A3745" s="1" t="s">
        <v>5777</v>
      </c>
      <c r="B3745" s="1" t="s">
        <v>2207</v>
      </c>
      <c r="C3745" s="1" t="s">
        <v>4737</v>
      </c>
      <c r="D3745" s="1" t="s">
        <v>4741</v>
      </c>
      <c r="E3745" s="1" t="s">
        <v>7</v>
      </c>
    </row>
    <row r="3746" customFormat="false" ht="16" hidden="false" customHeight="false" outlineLevel="0" collapsed="false">
      <c r="A3746" s="1" t="s">
        <v>5778</v>
      </c>
      <c r="B3746" s="1" t="s">
        <v>2207</v>
      </c>
      <c r="C3746" s="1" t="s">
        <v>4737</v>
      </c>
      <c r="D3746" s="1" t="s">
        <v>4743</v>
      </c>
      <c r="E3746" s="1" t="s">
        <v>7</v>
      </c>
    </row>
    <row r="3747" customFormat="false" ht="16" hidden="false" customHeight="false" outlineLevel="0" collapsed="false">
      <c r="A3747" s="1" t="s">
        <v>5779</v>
      </c>
      <c r="B3747" s="1" t="s">
        <v>2207</v>
      </c>
      <c r="C3747" s="1" t="s">
        <v>4737</v>
      </c>
      <c r="D3747" s="1" t="s">
        <v>4745</v>
      </c>
      <c r="E3747" s="1" t="s">
        <v>7</v>
      </c>
    </row>
    <row r="3748" customFormat="false" ht="16" hidden="false" customHeight="false" outlineLevel="0" collapsed="false">
      <c r="A3748" s="1" t="s">
        <v>5780</v>
      </c>
      <c r="B3748" s="1" t="s">
        <v>2207</v>
      </c>
      <c r="C3748" s="1" t="s">
        <v>4737</v>
      </c>
      <c r="D3748" s="1" t="s">
        <v>770</v>
      </c>
      <c r="E3748" s="1" t="s">
        <v>7</v>
      </c>
    </row>
    <row r="3749" customFormat="false" ht="16" hidden="false" customHeight="false" outlineLevel="0" collapsed="false">
      <c r="A3749" s="1" t="s">
        <v>5781</v>
      </c>
      <c r="B3749" s="1" t="s">
        <v>21</v>
      </c>
      <c r="C3749" s="1" t="s">
        <v>4737</v>
      </c>
      <c r="D3749" s="1" t="s">
        <v>4739</v>
      </c>
      <c r="E3749" s="1" t="s">
        <v>7</v>
      </c>
    </row>
    <row r="3750" customFormat="false" ht="16" hidden="false" customHeight="false" outlineLevel="0" collapsed="false">
      <c r="A3750" s="1" t="s">
        <v>5782</v>
      </c>
      <c r="B3750" s="1" t="s">
        <v>21</v>
      </c>
      <c r="C3750" s="1" t="s">
        <v>4737</v>
      </c>
      <c r="D3750" s="1" t="s">
        <v>4741</v>
      </c>
      <c r="E3750" s="1" t="s">
        <v>7</v>
      </c>
    </row>
    <row r="3751" customFormat="false" ht="16" hidden="false" customHeight="false" outlineLevel="0" collapsed="false">
      <c r="A3751" s="1" t="s">
        <v>5783</v>
      </c>
      <c r="B3751" s="1" t="s">
        <v>21</v>
      </c>
      <c r="C3751" s="1" t="s">
        <v>4737</v>
      </c>
      <c r="D3751" s="1" t="s">
        <v>4743</v>
      </c>
      <c r="E3751" s="1" t="s">
        <v>7</v>
      </c>
    </row>
    <row r="3752" customFormat="false" ht="16" hidden="false" customHeight="false" outlineLevel="0" collapsed="false">
      <c r="A3752" s="1" t="s">
        <v>5784</v>
      </c>
      <c r="B3752" s="1" t="s">
        <v>21</v>
      </c>
      <c r="C3752" s="1" t="s">
        <v>4737</v>
      </c>
      <c r="D3752" s="1" t="s">
        <v>4745</v>
      </c>
      <c r="E3752" s="1" t="s">
        <v>7</v>
      </c>
    </row>
    <row r="3753" customFormat="false" ht="16" hidden="false" customHeight="false" outlineLevel="0" collapsed="false">
      <c r="A3753" s="1" t="s">
        <v>5785</v>
      </c>
      <c r="B3753" s="1" t="s">
        <v>21</v>
      </c>
      <c r="C3753" s="1" t="s">
        <v>4737</v>
      </c>
      <c r="D3753" s="1" t="s">
        <v>770</v>
      </c>
      <c r="E3753" s="1" t="s">
        <v>7</v>
      </c>
    </row>
    <row r="3754" customFormat="false" ht="16" hidden="false" customHeight="false" outlineLevel="0" collapsed="false">
      <c r="A3754" s="1" t="s">
        <v>5786</v>
      </c>
      <c r="B3754" s="1" t="s">
        <v>5787</v>
      </c>
      <c r="C3754" s="1" t="s">
        <v>4737</v>
      </c>
      <c r="D3754" s="1" t="s">
        <v>4739</v>
      </c>
      <c r="E3754" s="1" t="s">
        <v>7</v>
      </c>
    </row>
    <row r="3755" customFormat="false" ht="16" hidden="false" customHeight="false" outlineLevel="0" collapsed="false">
      <c r="A3755" s="1" t="s">
        <v>5788</v>
      </c>
      <c r="B3755" s="1" t="s">
        <v>5787</v>
      </c>
      <c r="C3755" s="1" t="s">
        <v>4737</v>
      </c>
      <c r="D3755" s="1" t="s">
        <v>4741</v>
      </c>
      <c r="E3755" s="1" t="s">
        <v>7</v>
      </c>
    </row>
    <row r="3756" customFormat="false" ht="16" hidden="false" customHeight="false" outlineLevel="0" collapsed="false">
      <c r="A3756" s="1" t="s">
        <v>5789</v>
      </c>
      <c r="B3756" s="1" t="s">
        <v>5787</v>
      </c>
      <c r="C3756" s="1" t="s">
        <v>4737</v>
      </c>
      <c r="D3756" s="1" t="s">
        <v>4743</v>
      </c>
      <c r="E3756" s="1" t="s">
        <v>7</v>
      </c>
    </row>
    <row r="3757" customFormat="false" ht="16" hidden="false" customHeight="false" outlineLevel="0" collapsed="false">
      <c r="A3757" s="1" t="s">
        <v>5790</v>
      </c>
      <c r="B3757" s="1" t="s">
        <v>5787</v>
      </c>
      <c r="C3757" s="1" t="s">
        <v>4737</v>
      </c>
      <c r="D3757" s="1" t="s">
        <v>4745</v>
      </c>
      <c r="E3757" s="1" t="s">
        <v>7</v>
      </c>
    </row>
    <row r="3758" customFormat="false" ht="16" hidden="false" customHeight="false" outlineLevel="0" collapsed="false">
      <c r="A3758" s="1" t="s">
        <v>5791</v>
      </c>
      <c r="B3758" s="1" t="s">
        <v>5787</v>
      </c>
      <c r="C3758" s="1" t="s">
        <v>4737</v>
      </c>
      <c r="D3758" s="1" t="s">
        <v>770</v>
      </c>
      <c r="E3758" s="1" t="s">
        <v>7</v>
      </c>
    </row>
    <row r="3759" customFormat="false" ht="16" hidden="false" customHeight="false" outlineLevel="0" collapsed="false">
      <c r="A3759" s="1" t="s">
        <v>5792</v>
      </c>
      <c r="B3759" s="1" t="s">
        <v>4401</v>
      </c>
      <c r="C3759" s="1" t="s">
        <v>4737</v>
      </c>
      <c r="D3759" s="1" t="s">
        <v>4743</v>
      </c>
      <c r="E3759" s="1" t="s">
        <v>7</v>
      </c>
    </row>
    <row r="3760" customFormat="false" ht="16" hidden="false" customHeight="false" outlineLevel="0" collapsed="false">
      <c r="A3760" s="1" t="s">
        <v>5793</v>
      </c>
      <c r="B3760" s="1" t="s">
        <v>4401</v>
      </c>
      <c r="C3760" s="1" t="s">
        <v>4737</v>
      </c>
      <c r="D3760" s="1" t="s">
        <v>4745</v>
      </c>
      <c r="E3760" s="1" t="s">
        <v>7</v>
      </c>
    </row>
    <row r="3761" customFormat="false" ht="16" hidden="false" customHeight="false" outlineLevel="0" collapsed="false">
      <c r="A3761" s="1" t="s">
        <v>5794</v>
      </c>
      <c r="B3761" s="1" t="s">
        <v>4406</v>
      </c>
      <c r="C3761" s="1" t="s">
        <v>4737</v>
      </c>
      <c r="D3761" s="1" t="s">
        <v>4739</v>
      </c>
      <c r="E3761" s="1" t="s">
        <v>7</v>
      </c>
    </row>
    <row r="3762" customFormat="false" ht="16" hidden="false" customHeight="false" outlineLevel="0" collapsed="false">
      <c r="A3762" s="1" t="s">
        <v>5795</v>
      </c>
      <c r="B3762" s="1" t="s">
        <v>4406</v>
      </c>
      <c r="C3762" s="1" t="s">
        <v>4737</v>
      </c>
      <c r="D3762" s="1" t="s">
        <v>4741</v>
      </c>
      <c r="E3762" s="1" t="s">
        <v>7</v>
      </c>
    </row>
    <row r="3763" customFormat="false" ht="16" hidden="false" customHeight="false" outlineLevel="0" collapsed="false">
      <c r="A3763" s="1" t="s">
        <v>5796</v>
      </c>
      <c r="B3763" s="1" t="s">
        <v>4406</v>
      </c>
      <c r="C3763" s="1" t="s">
        <v>4737</v>
      </c>
      <c r="D3763" s="1" t="s">
        <v>4743</v>
      </c>
      <c r="E3763" s="1" t="s">
        <v>7</v>
      </c>
    </row>
    <row r="3764" customFormat="false" ht="16" hidden="false" customHeight="false" outlineLevel="0" collapsed="false">
      <c r="A3764" s="1" t="s">
        <v>5797</v>
      </c>
      <c r="B3764" s="1" t="s">
        <v>4406</v>
      </c>
      <c r="C3764" s="1" t="s">
        <v>4737</v>
      </c>
      <c r="D3764" s="1" t="s">
        <v>4745</v>
      </c>
      <c r="E3764" s="1" t="s">
        <v>7</v>
      </c>
    </row>
    <row r="3765" customFormat="false" ht="16" hidden="false" customHeight="false" outlineLevel="0" collapsed="false">
      <c r="A3765" s="1" t="s">
        <v>5798</v>
      </c>
      <c r="B3765" s="1" t="s">
        <v>4406</v>
      </c>
      <c r="C3765" s="1" t="s">
        <v>4737</v>
      </c>
      <c r="D3765" s="1" t="s">
        <v>770</v>
      </c>
      <c r="E3765" s="1" t="s">
        <v>7</v>
      </c>
    </row>
    <row r="3766" customFormat="false" ht="16" hidden="false" customHeight="false" outlineLevel="0" collapsed="false">
      <c r="A3766" s="1" t="s">
        <v>5799</v>
      </c>
      <c r="B3766" s="1" t="s">
        <v>2232</v>
      </c>
      <c r="C3766" s="1" t="s">
        <v>4737</v>
      </c>
      <c r="D3766" s="1" t="s">
        <v>4739</v>
      </c>
      <c r="E3766" s="1" t="s">
        <v>7</v>
      </c>
    </row>
    <row r="3767" customFormat="false" ht="16" hidden="false" customHeight="false" outlineLevel="0" collapsed="false">
      <c r="A3767" s="1" t="s">
        <v>5800</v>
      </c>
      <c r="B3767" s="1" t="s">
        <v>25</v>
      </c>
      <c r="C3767" s="1" t="s">
        <v>4737</v>
      </c>
      <c r="D3767" s="1" t="s">
        <v>770</v>
      </c>
      <c r="E3767" s="1" t="s">
        <v>7</v>
      </c>
    </row>
    <row r="3768" customFormat="false" ht="16" hidden="false" customHeight="false" outlineLevel="0" collapsed="false">
      <c r="A3768" s="1" t="s">
        <v>5801</v>
      </c>
      <c r="B3768" s="1" t="s">
        <v>2240</v>
      </c>
      <c r="C3768" s="1" t="s">
        <v>4737</v>
      </c>
      <c r="D3768" s="1" t="s">
        <v>4739</v>
      </c>
      <c r="E3768" s="1" t="s">
        <v>7</v>
      </c>
    </row>
    <row r="3769" customFormat="false" ht="16" hidden="false" customHeight="false" outlineLevel="0" collapsed="false">
      <c r="A3769" s="1" t="s">
        <v>5802</v>
      </c>
      <c r="B3769" s="1" t="s">
        <v>2240</v>
      </c>
      <c r="C3769" s="1" t="s">
        <v>4737</v>
      </c>
      <c r="D3769" s="1" t="s">
        <v>4741</v>
      </c>
      <c r="E3769" s="1" t="s">
        <v>7</v>
      </c>
    </row>
    <row r="3770" customFormat="false" ht="16" hidden="false" customHeight="false" outlineLevel="0" collapsed="false">
      <c r="A3770" s="1" t="s">
        <v>5803</v>
      </c>
      <c r="B3770" s="1" t="s">
        <v>2240</v>
      </c>
      <c r="C3770" s="1" t="s">
        <v>4737</v>
      </c>
      <c r="D3770" s="1" t="s">
        <v>4743</v>
      </c>
      <c r="E3770" s="1" t="s">
        <v>7</v>
      </c>
    </row>
    <row r="3771" customFormat="false" ht="16" hidden="false" customHeight="false" outlineLevel="0" collapsed="false">
      <c r="A3771" s="1" t="s">
        <v>5804</v>
      </c>
      <c r="B3771" s="1" t="s">
        <v>2240</v>
      </c>
      <c r="C3771" s="1" t="s">
        <v>4737</v>
      </c>
      <c r="D3771" s="1" t="s">
        <v>4745</v>
      </c>
      <c r="E3771" s="1" t="s">
        <v>7</v>
      </c>
    </row>
    <row r="3772" customFormat="false" ht="16" hidden="false" customHeight="false" outlineLevel="0" collapsed="false">
      <c r="A3772" s="1" t="s">
        <v>5805</v>
      </c>
      <c r="B3772" s="1" t="s">
        <v>2240</v>
      </c>
      <c r="C3772" s="1" t="s">
        <v>4737</v>
      </c>
      <c r="D3772" s="1" t="s">
        <v>770</v>
      </c>
      <c r="E3772" s="1" t="s">
        <v>7</v>
      </c>
    </row>
    <row r="3773" customFormat="false" ht="16" hidden="false" customHeight="false" outlineLevel="0" collapsed="false">
      <c r="A3773" s="1" t="s">
        <v>5806</v>
      </c>
      <c r="B3773" s="1" t="s">
        <v>107</v>
      </c>
      <c r="C3773" s="1" t="s">
        <v>4737</v>
      </c>
      <c r="D3773" s="1" t="s">
        <v>4739</v>
      </c>
      <c r="E3773" s="1" t="s">
        <v>7</v>
      </c>
    </row>
    <row r="3774" customFormat="false" ht="16" hidden="false" customHeight="false" outlineLevel="0" collapsed="false">
      <c r="A3774" s="1" t="s">
        <v>5807</v>
      </c>
      <c r="B3774" s="1" t="s">
        <v>107</v>
      </c>
      <c r="C3774" s="1" t="s">
        <v>4737</v>
      </c>
      <c r="D3774" s="1" t="s">
        <v>4741</v>
      </c>
      <c r="E3774" s="1" t="s">
        <v>7</v>
      </c>
    </row>
    <row r="3775" customFormat="false" ht="16" hidden="false" customHeight="false" outlineLevel="0" collapsed="false">
      <c r="A3775" s="1" t="s">
        <v>5808</v>
      </c>
      <c r="B3775" s="1" t="s">
        <v>107</v>
      </c>
      <c r="C3775" s="1" t="s">
        <v>4737</v>
      </c>
      <c r="D3775" s="1" t="s">
        <v>4743</v>
      </c>
      <c r="E3775" s="1" t="s">
        <v>7</v>
      </c>
    </row>
    <row r="3776" customFormat="false" ht="16" hidden="false" customHeight="false" outlineLevel="0" collapsed="false">
      <c r="A3776" s="1" t="s">
        <v>5809</v>
      </c>
      <c r="B3776" s="1" t="s">
        <v>107</v>
      </c>
      <c r="C3776" s="1" t="s">
        <v>4737</v>
      </c>
      <c r="D3776" s="1" t="s">
        <v>4745</v>
      </c>
      <c r="E3776" s="1" t="s">
        <v>7</v>
      </c>
    </row>
    <row r="3777" customFormat="false" ht="16" hidden="false" customHeight="false" outlineLevel="0" collapsed="false">
      <c r="A3777" s="1" t="s">
        <v>5810</v>
      </c>
      <c r="B3777" s="1" t="s">
        <v>107</v>
      </c>
      <c r="C3777" s="1" t="s">
        <v>4737</v>
      </c>
      <c r="D3777" s="1" t="s">
        <v>770</v>
      </c>
      <c r="E3777" s="1" t="s">
        <v>7</v>
      </c>
    </row>
    <row r="3778" customFormat="false" ht="16" hidden="false" customHeight="false" outlineLevel="0" collapsed="false">
      <c r="A3778" s="1" t="s">
        <v>5811</v>
      </c>
      <c r="B3778" s="1" t="s">
        <v>2247</v>
      </c>
      <c r="C3778" s="1" t="s">
        <v>4737</v>
      </c>
      <c r="D3778" s="1" t="s">
        <v>4739</v>
      </c>
      <c r="E3778" s="1" t="s">
        <v>7</v>
      </c>
    </row>
    <row r="3779" customFormat="false" ht="16" hidden="false" customHeight="false" outlineLevel="0" collapsed="false">
      <c r="A3779" s="1" t="s">
        <v>5812</v>
      </c>
      <c r="B3779" s="1" t="s">
        <v>2247</v>
      </c>
      <c r="C3779" s="1" t="s">
        <v>4737</v>
      </c>
      <c r="D3779" s="1" t="s">
        <v>4741</v>
      </c>
      <c r="E3779" s="1" t="s">
        <v>7</v>
      </c>
    </row>
    <row r="3780" customFormat="false" ht="16" hidden="false" customHeight="false" outlineLevel="0" collapsed="false">
      <c r="A3780" s="1" t="s">
        <v>5813</v>
      </c>
      <c r="B3780" s="1" t="s">
        <v>2247</v>
      </c>
      <c r="C3780" s="1" t="s">
        <v>4737</v>
      </c>
      <c r="D3780" s="1" t="s">
        <v>4743</v>
      </c>
      <c r="E3780" s="1" t="s">
        <v>7</v>
      </c>
    </row>
    <row r="3781" customFormat="false" ht="16" hidden="false" customHeight="false" outlineLevel="0" collapsed="false">
      <c r="A3781" s="1" t="s">
        <v>5814</v>
      </c>
      <c r="B3781" s="1" t="s">
        <v>2247</v>
      </c>
      <c r="C3781" s="1" t="s">
        <v>4737</v>
      </c>
      <c r="D3781" s="1" t="s">
        <v>4745</v>
      </c>
      <c r="E3781" s="1" t="s">
        <v>7</v>
      </c>
    </row>
    <row r="3782" customFormat="false" ht="16" hidden="false" customHeight="false" outlineLevel="0" collapsed="false">
      <c r="A3782" s="1" t="s">
        <v>5815</v>
      </c>
      <c r="B3782" s="1" t="s">
        <v>2247</v>
      </c>
      <c r="C3782" s="1" t="s">
        <v>4737</v>
      </c>
      <c r="D3782" s="1" t="s">
        <v>770</v>
      </c>
      <c r="E3782" s="1" t="s">
        <v>7</v>
      </c>
    </row>
    <row r="3783" customFormat="false" ht="16" hidden="false" customHeight="false" outlineLevel="0" collapsed="false">
      <c r="A3783" s="1" t="s">
        <v>5816</v>
      </c>
      <c r="B3783" s="1" t="s">
        <v>2273</v>
      </c>
      <c r="C3783" s="1" t="s">
        <v>4737</v>
      </c>
      <c r="D3783" s="1" t="s">
        <v>4739</v>
      </c>
      <c r="E3783" s="1" t="s">
        <v>7</v>
      </c>
    </row>
    <row r="3784" customFormat="false" ht="16" hidden="false" customHeight="false" outlineLevel="0" collapsed="false">
      <c r="A3784" s="1" t="s">
        <v>5817</v>
      </c>
      <c r="B3784" s="1" t="s">
        <v>2273</v>
      </c>
      <c r="C3784" s="1" t="s">
        <v>4737</v>
      </c>
      <c r="D3784" s="1" t="s">
        <v>4745</v>
      </c>
      <c r="E3784" s="1" t="s">
        <v>7</v>
      </c>
    </row>
    <row r="3785" customFormat="false" ht="16" hidden="false" customHeight="false" outlineLevel="0" collapsed="false">
      <c r="A3785" s="1" t="s">
        <v>5818</v>
      </c>
      <c r="B3785" s="1" t="s">
        <v>2275</v>
      </c>
      <c r="C3785" s="1" t="s">
        <v>4737</v>
      </c>
      <c r="D3785" s="1" t="s">
        <v>770</v>
      </c>
      <c r="E3785" s="1" t="s">
        <v>7</v>
      </c>
    </row>
    <row r="3786" customFormat="false" ht="16" hidden="false" customHeight="false" outlineLevel="0" collapsed="false">
      <c r="A3786" s="1" t="s">
        <v>5819</v>
      </c>
      <c r="B3786" s="1" t="s">
        <v>5820</v>
      </c>
      <c r="C3786" s="1" t="s">
        <v>4737</v>
      </c>
      <c r="D3786" s="1" t="s">
        <v>4739</v>
      </c>
      <c r="E3786" s="1" t="s">
        <v>7</v>
      </c>
    </row>
    <row r="3787" customFormat="false" ht="16" hidden="false" customHeight="false" outlineLevel="0" collapsed="false">
      <c r="A3787" s="1" t="s">
        <v>5821</v>
      </c>
      <c r="B3787" s="1" t="s">
        <v>5820</v>
      </c>
      <c r="C3787" s="1" t="s">
        <v>4737</v>
      </c>
      <c r="D3787" s="1" t="s">
        <v>4741</v>
      </c>
      <c r="E3787" s="1" t="s">
        <v>7</v>
      </c>
    </row>
    <row r="3788" customFormat="false" ht="16" hidden="false" customHeight="false" outlineLevel="0" collapsed="false">
      <c r="A3788" s="1" t="s">
        <v>5822</v>
      </c>
      <c r="B3788" s="1" t="s">
        <v>5820</v>
      </c>
      <c r="C3788" s="1" t="s">
        <v>4737</v>
      </c>
      <c r="D3788" s="1" t="s">
        <v>4743</v>
      </c>
      <c r="E3788" s="1" t="s">
        <v>7</v>
      </c>
    </row>
    <row r="3789" customFormat="false" ht="16" hidden="false" customHeight="false" outlineLevel="0" collapsed="false">
      <c r="A3789" s="1" t="s">
        <v>5823</v>
      </c>
      <c r="B3789" s="1" t="s">
        <v>5820</v>
      </c>
      <c r="C3789" s="1" t="s">
        <v>4737</v>
      </c>
      <c r="D3789" s="1" t="s">
        <v>4745</v>
      </c>
      <c r="E3789" s="1" t="s">
        <v>7</v>
      </c>
    </row>
    <row r="3790" customFormat="false" ht="16" hidden="false" customHeight="false" outlineLevel="0" collapsed="false">
      <c r="A3790" s="1" t="s">
        <v>5824</v>
      </c>
      <c r="B3790" s="1" t="s">
        <v>5820</v>
      </c>
      <c r="C3790" s="1" t="s">
        <v>4737</v>
      </c>
      <c r="D3790" s="1" t="s">
        <v>770</v>
      </c>
      <c r="E3790" s="1" t="s">
        <v>7</v>
      </c>
    </row>
    <row r="3791" customFormat="false" ht="16" hidden="false" customHeight="false" outlineLevel="0" collapsed="false">
      <c r="A3791" s="1" t="s">
        <v>5825</v>
      </c>
      <c r="B3791" s="1" t="s">
        <v>2283</v>
      </c>
      <c r="C3791" s="1" t="s">
        <v>4737</v>
      </c>
      <c r="D3791" s="1" t="s">
        <v>770</v>
      </c>
      <c r="E3791" s="1" t="s">
        <v>7</v>
      </c>
    </row>
    <row r="3792" customFormat="false" ht="16" hidden="false" customHeight="false" outlineLevel="0" collapsed="false">
      <c r="A3792" s="1" t="s">
        <v>5826</v>
      </c>
      <c r="B3792" s="1" t="s">
        <v>2285</v>
      </c>
      <c r="C3792" s="1" t="s">
        <v>4737</v>
      </c>
      <c r="D3792" s="1" t="s">
        <v>4745</v>
      </c>
      <c r="E3792" s="1" t="s">
        <v>7</v>
      </c>
    </row>
    <row r="3793" customFormat="false" ht="16" hidden="false" customHeight="false" outlineLevel="0" collapsed="false">
      <c r="A3793" s="1" t="s">
        <v>5827</v>
      </c>
      <c r="B3793" s="1" t="s">
        <v>2287</v>
      </c>
      <c r="C3793" s="1" t="s">
        <v>4737</v>
      </c>
      <c r="D3793" s="1" t="s">
        <v>4739</v>
      </c>
      <c r="E3793" s="1" t="s">
        <v>7</v>
      </c>
    </row>
    <row r="3794" customFormat="false" ht="16" hidden="false" customHeight="false" outlineLevel="0" collapsed="false">
      <c r="A3794" s="1" t="s">
        <v>5828</v>
      </c>
      <c r="B3794" s="1" t="s">
        <v>2287</v>
      </c>
      <c r="C3794" s="1" t="s">
        <v>4737</v>
      </c>
      <c r="D3794" s="1" t="s">
        <v>4741</v>
      </c>
      <c r="E3794" s="1" t="s">
        <v>7</v>
      </c>
    </row>
    <row r="3795" customFormat="false" ht="16" hidden="false" customHeight="false" outlineLevel="0" collapsed="false">
      <c r="A3795" s="1" t="s">
        <v>5829</v>
      </c>
      <c r="B3795" s="1" t="s">
        <v>2287</v>
      </c>
      <c r="C3795" s="1" t="s">
        <v>4737</v>
      </c>
      <c r="D3795" s="1" t="s">
        <v>4743</v>
      </c>
      <c r="E3795" s="1" t="s">
        <v>7</v>
      </c>
    </row>
    <row r="3796" customFormat="false" ht="16" hidden="false" customHeight="false" outlineLevel="0" collapsed="false">
      <c r="A3796" s="1" t="s">
        <v>5830</v>
      </c>
      <c r="B3796" s="1" t="s">
        <v>2287</v>
      </c>
      <c r="C3796" s="1" t="s">
        <v>4737</v>
      </c>
      <c r="D3796" s="1" t="s">
        <v>4745</v>
      </c>
      <c r="E3796" s="1" t="s">
        <v>7</v>
      </c>
    </row>
    <row r="3797" customFormat="false" ht="16" hidden="false" customHeight="false" outlineLevel="0" collapsed="false">
      <c r="A3797" s="1" t="s">
        <v>5831</v>
      </c>
      <c r="B3797" s="1" t="s">
        <v>2287</v>
      </c>
      <c r="C3797" s="1" t="s">
        <v>4737</v>
      </c>
      <c r="D3797" s="1" t="s">
        <v>770</v>
      </c>
      <c r="E3797" s="1" t="s">
        <v>7</v>
      </c>
    </row>
    <row r="3798" customFormat="false" ht="16" hidden="false" customHeight="false" outlineLevel="0" collapsed="false">
      <c r="A3798" s="1" t="s">
        <v>5832</v>
      </c>
      <c r="B3798" s="1" t="s">
        <v>5833</v>
      </c>
      <c r="C3798" s="1" t="s">
        <v>4737</v>
      </c>
      <c r="D3798" s="1" t="s">
        <v>4739</v>
      </c>
      <c r="E3798" s="1" t="s">
        <v>7</v>
      </c>
    </row>
    <row r="3799" customFormat="false" ht="16" hidden="false" customHeight="false" outlineLevel="0" collapsed="false">
      <c r="A3799" s="1" t="s">
        <v>5834</v>
      </c>
      <c r="B3799" s="1" t="s">
        <v>5833</v>
      </c>
      <c r="C3799" s="1" t="s">
        <v>4737</v>
      </c>
      <c r="D3799" s="1" t="s">
        <v>4741</v>
      </c>
      <c r="E3799" s="1" t="s">
        <v>7</v>
      </c>
    </row>
    <row r="3800" customFormat="false" ht="16" hidden="false" customHeight="false" outlineLevel="0" collapsed="false">
      <c r="A3800" s="1" t="s">
        <v>5835</v>
      </c>
      <c r="B3800" s="1" t="s">
        <v>5833</v>
      </c>
      <c r="C3800" s="1" t="s">
        <v>4737</v>
      </c>
      <c r="D3800" s="1" t="s">
        <v>4743</v>
      </c>
      <c r="E3800" s="1" t="s">
        <v>7</v>
      </c>
    </row>
    <row r="3801" customFormat="false" ht="16" hidden="false" customHeight="false" outlineLevel="0" collapsed="false">
      <c r="A3801" s="1" t="s">
        <v>5836</v>
      </c>
      <c r="B3801" s="1" t="s">
        <v>5833</v>
      </c>
      <c r="C3801" s="1" t="s">
        <v>4737</v>
      </c>
      <c r="D3801" s="1" t="s">
        <v>4745</v>
      </c>
      <c r="E3801" s="1" t="s">
        <v>7</v>
      </c>
    </row>
    <row r="3802" customFormat="false" ht="16" hidden="false" customHeight="false" outlineLevel="0" collapsed="false">
      <c r="A3802" s="1" t="s">
        <v>5837</v>
      </c>
      <c r="B3802" s="1" t="s">
        <v>5833</v>
      </c>
      <c r="C3802" s="1" t="s">
        <v>4737</v>
      </c>
      <c r="D3802" s="1" t="s">
        <v>770</v>
      </c>
      <c r="E3802" s="1" t="s">
        <v>7</v>
      </c>
    </row>
    <row r="3803" customFormat="false" ht="16" hidden="false" customHeight="false" outlineLevel="0" collapsed="false">
      <c r="A3803" s="1" t="s">
        <v>5838</v>
      </c>
      <c r="B3803" s="1" t="s">
        <v>2313</v>
      </c>
      <c r="C3803" s="1" t="s">
        <v>4737</v>
      </c>
      <c r="D3803" s="1" t="s">
        <v>770</v>
      </c>
      <c r="E3803" s="1" t="s">
        <v>7</v>
      </c>
    </row>
    <row r="3804" customFormat="false" ht="16" hidden="false" customHeight="false" outlineLevel="0" collapsed="false">
      <c r="A3804" s="1" t="s">
        <v>5839</v>
      </c>
      <c r="B3804" s="1" t="s">
        <v>27</v>
      </c>
      <c r="C3804" s="1" t="s">
        <v>4737</v>
      </c>
      <c r="D3804" s="1" t="s">
        <v>4739</v>
      </c>
      <c r="E3804" s="1" t="s">
        <v>7</v>
      </c>
    </row>
    <row r="3805" customFormat="false" ht="16" hidden="false" customHeight="false" outlineLevel="0" collapsed="false">
      <c r="A3805" s="1" t="s">
        <v>5840</v>
      </c>
      <c r="B3805" s="1" t="s">
        <v>27</v>
      </c>
      <c r="C3805" s="1" t="s">
        <v>4737</v>
      </c>
      <c r="D3805" s="1" t="s">
        <v>4741</v>
      </c>
      <c r="E3805" s="1" t="s">
        <v>7</v>
      </c>
    </row>
    <row r="3806" customFormat="false" ht="16" hidden="false" customHeight="false" outlineLevel="0" collapsed="false">
      <c r="A3806" s="1" t="s">
        <v>5841</v>
      </c>
      <c r="B3806" s="1" t="s">
        <v>27</v>
      </c>
      <c r="C3806" s="1" t="s">
        <v>4737</v>
      </c>
      <c r="D3806" s="1" t="s">
        <v>4743</v>
      </c>
      <c r="E3806" s="1" t="s">
        <v>7</v>
      </c>
    </row>
    <row r="3807" customFormat="false" ht="16" hidden="false" customHeight="false" outlineLevel="0" collapsed="false">
      <c r="A3807" s="1" t="s">
        <v>5842</v>
      </c>
      <c r="B3807" s="1" t="s">
        <v>27</v>
      </c>
      <c r="C3807" s="1" t="s">
        <v>4737</v>
      </c>
      <c r="D3807" s="1" t="s">
        <v>4745</v>
      </c>
      <c r="E3807" s="1" t="s">
        <v>7</v>
      </c>
    </row>
    <row r="3808" customFormat="false" ht="16" hidden="false" customHeight="false" outlineLevel="0" collapsed="false">
      <c r="A3808" s="1" t="s">
        <v>5843</v>
      </c>
      <c r="B3808" s="1" t="s">
        <v>27</v>
      </c>
      <c r="C3808" s="1" t="s">
        <v>4737</v>
      </c>
      <c r="D3808" s="1" t="s">
        <v>770</v>
      </c>
      <c r="E3808" s="1" t="s">
        <v>7</v>
      </c>
    </row>
    <row r="3809" customFormat="false" ht="16" hidden="false" customHeight="false" outlineLevel="0" collapsed="false">
      <c r="A3809" s="1" t="s">
        <v>5844</v>
      </c>
      <c r="B3809" s="1" t="s">
        <v>5845</v>
      </c>
      <c r="C3809" s="1" t="s">
        <v>4737</v>
      </c>
      <c r="D3809" s="1" t="s">
        <v>770</v>
      </c>
      <c r="E3809" s="1" t="s">
        <v>7</v>
      </c>
    </row>
    <row r="3810" customFormat="false" ht="16" hidden="false" customHeight="false" outlineLevel="0" collapsed="false">
      <c r="A3810" s="1" t="s">
        <v>5846</v>
      </c>
      <c r="B3810" s="1" t="s">
        <v>5847</v>
      </c>
      <c r="C3810" s="1" t="s">
        <v>4737</v>
      </c>
      <c r="D3810" s="1" t="s">
        <v>770</v>
      </c>
      <c r="E3810" s="1" t="s">
        <v>7</v>
      </c>
    </row>
    <row r="3811" customFormat="false" ht="16" hidden="false" customHeight="false" outlineLevel="0" collapsed="false">
      <c r="A3811" s="1" t="s">
        <v>5848</v>
      </c>
      <c r="B3811" s="1" t="s">
        <v>2324</v>
      </c>
      <c r="C3811" s="1" t="s">
        <v>4737</v>
      </c>
      <c r="D3811" s="1" t="s">
        <v>770</v>
      </c>
      <c r="E3811" s="1" t="s">
        <v>7</v>
      </c>
    </row>
    <row r="3812" customFormat="false" ht="16" hidden="false" customHeight="false" outlineLevel="0" collapsed="false">
      <c r="A3812" s="1" t="s">
        <v>5849</v>
      </c>
      <c r="B3812" s="1" t="s">
        <v>5850</v>
      </c>
      <c r="C3812" s="1" t="s">
        <v>4737</v>
      </c>
      <c r="D3812" s="1" t="s">
        <v>4739</v>
      </c>
      <c r="E3812" s="1" t="s">
        <v>7</v>
      </c>
    </row>
    <row r="3813" customFormat="false" ht="16" hidden="false" customHeight="false" outlineLevel="0" collapsed="false">
      <c r="A3813" s="1" t="s">
        <v>5851</v>
      </c>
      <c r="B3813" s="1" t="s">
        <v>5850</v>
      </c>
      <c r="C3813" s="1" t="s">
        <v>4737</v>
      </c>
      <c r="D3813" s="1" t="s">
        <v>4741</v>
      </c>
      <c r="E3813" s="1" t="s">
        <v>7</v>
      </c>
    </row>
    <row r="3814" customFormat="false" ht="16" hidden="false" customHeight="false" outlineLevel="0" collapsed="false">
      <c r="A3814" s="1" t="s">
        <v>5852</v>
      </c>
      <c r="B3814" s="1" t="s">
        <v>5850</v>
      </c>
      <c r="C3814" s="1" t="s">
        <v>4737</v>
      </c>
      <c r="D3814" s="1" t="s">
        <v>4743</v>
      </c>
      <c r="E3814" s="1" t="s">
        <v>7</v>
      </c>
    </row>
    <row r="3815" customFormat="false" ht="16" hidden="false" customHeight="false" outlineLevel="0" collapsed="false">
      <c r="A3815" s="1" t="s">
        <v>5853</v>
      </c>
      <c r="B3815" s="1" t="s">
        <v>5850</v>
      </c>
      <c r="C3815" s="1" t="s">
        <v>4737</v>
      </c>
      <c r="D3815" s="1" t="s">
        <v>4745</v>
      </c>
      <c r="E3815" s="1" t="s">
        <v>7</v>
      </c>
    </row>
    <row r="3816" customFormat="false" ht="16" hidden="false" customHeight="false" outlineLevel="0" collapsed="false">
      <c r="A3816" s="1" t="s">
        <v>5854</v>
      </c>
      <c r="B3816" s="1" t="s">
        <v>5850</v>
      </c>
      <c r="C3816" s="1" t="s">
        <v>4737</v>
      </c>
      <c r="D3816" s="1" t="s">
        <v>770</v>
      </c>
      <c r="E3816" s="1" t="s">
        <v>7</v>
      </c>
    </row>
    <row r="3817" customFormat="false" ht="16" hidden="false" customHeight="false" outlineLevel="0" collapsed="false">
      <c r="A3817" s="1" t="s">
        <v>5855</v>
      </c>
      <c r="B3817" s="1" t="s">
        <v>5856</v>
      </c>
      <c r="C3817" s="1" t="s">
        <v>4737</v>
      </c>
      <c r="D3817" s="1" t="s">
        <v>4739</v>
      </c>
      <c r="E3817" s="1" t="s">
        <v>7</v>
      </c>
    </row>
    <row r="3818" customFormat="false" ht="16" hidden="false" customHeight="false" outlineLevel="0" collapsed="false">
      <c r="A3818" s="1" t="s">
        <v>5857</v>
      </c>
      <c r="B3818" s="1" t="s">
        <v>5856</v>
      </c>
      <c r="C3818" s="1" t="s">
        <v>4737</v>
      </c>
      <c r="D3818" s="1" t="s">
        <v>4741</v>
      </c>
      <c r="E3818" s="1" t="s">
        <v>7</v>
      </c>
    </row>
    <row r="3819" customFormat="false" ht="16" hidden="false" customHeight="false" outlineLevel="0" collapsed="false">
      <c r="A3819" s="1" t="s">
        <v>5858</v>
      </c>
      <c r="B3819" s="1" t="s">
        <v>5856</v>
      </c>
      <c r="C3819" s="1" t="s">
        <v>4737</v>
      </c>
      <c r="D3819" s="1" t="s">
        <v>4743</v>
      </c>
      <c r="E3819" s="1" t="s">
        <v>7</v>
      </c>
    </row>
    <row r="3820" customFormat="false" ht="16" hidden="false" customHeight="false" outlineLevel="0" collapsed="false">
      <c r="A3820" s="1" t="s">
        <v>5859</v>
      </c>
      <c r="B3820" s="1" t="s">
        <v>5856</v>
      </c>
      <c r="C3820" s="1" t="s">
        <v>4737</v>
      </c>
      <c r="D3820" s="1" t="s">
        <v>4745</v>
      </c>
      <c r="E3820" s="1" t="s">
        <v>7</v>
      </c>
    </row>
    <row r="3821" customFormat="false" ht="16" hidden="false" customHeight="false" outlineLevel="0" collapsed="false">
      <c r="A3821" s="1" t="s">
        <v>5860</v>
      </c>
      <c r="B3821" s="1" t="s">
        <v>5856</v>
      </c>
      <c r="C3821" s="1" t="s">
        <v>4737</v>
      </c>
      <c r="D3821" s="1" t="s">
        <v>770</v>
      </c>
      <c r="E3821" s="1" t="s">
        <v>7</v>
      </c>
    </row>
    <row r="3822" customFormat="false" ht="16" hidden="false" customHeight="false" outlineLevel="0" collapsed="false">
      <c r="A3822" s="1" t="s">
        <v>5861</v>
      </c>
      <c r="B3822" s="1" t="s">
        <v>5862</v>
      </c>
      <c r="C3822" s="1" t="s">
        <v>4737</v>
      </c>
      <c r="D3822" s="1" t="s">
        <v>4739</v>
      </c>
      <c r="E3822" s="1" t="s">
        <v>7</v>
      </c>
    </row>
    <row r="3823" customFormat="false" ht="16" hidden="false" customHeight="false" outlineLevel="0" collapsed="false">
      <c r="A3823" s="1" t="s">
        <v>5863</v>
      </c>
      <c r="B3823" s="1" t="s">
        <v>5862</v>
      </c>
      <c r="C3823" s="1" t="s">
        <v>4737</v>
      </c>
      <c r="D3823" s="1" t="s">
        <v>4741</v>
      </c>
      <c r="E3823" s="1" t="s">
        <v>7</v>
      </c>
    </row>
    <row r="3824" customFormat="false" ht="16" hidden="false" customHeight="false" outlineLevel="0" collapsed="false">
      <c r="A3824" s="1" t="s">
        <v>5864</v>
      </c>
      <c r="B3824" s="1" t="s">
        <v>5862</v>
      </c>
      <c r="C3824" s="1" t="s">
        <v>4737</v>
      </c>
      <c r="D3824" s="1" t="s">
        <v>4743</v>
      </c>
      <c r="E3824" s="1" t="s">
        <v>7</v>
      </c>
    </row>
    <row r="3825" customFormat="false" ht="16" hidden="false" customHeight="false" outlineLevel="0" collapsed="false">
      <c r="A3825" s="1" t="s">
        <v>5865</v>
      </c>
      <c r="B3825" s="1" t="s">
        <v>5862</v>
      </c>
      <c r="C3825" s="1" t="s">
        <v>4737</v>
      </c>
      <c r="D3825" s="1" t="s">
        <v>4745</v>
      </c>
      <c r="E3825" s="1" t="s">
        <v>7</v>
      </c>
    </row>
    <row r="3826" customFormat="false" ht="16" hidden="false" customHeight="false" outlineLevel="0" collapsed="false">
      <c r="A3826" s="1" t="s">
        <v>5866</v>
      </c>
      <c r="B3826" s="1" t="s">
        <v>5862</v>
      </c>
      <c r="C3826" s="1" t="s">
        <v>4737</v>
      </c>
      <c r="D3826" s="1" t="s">
        <v>770</v>
      </c>
      <c r="E3826" s="1" t="s">
        <v>7</v>
      </c>
    </row>
    <row r="3827" customFormat="false" ht="16" hidden="false" customHeight="false" outlineLevel="0" collapsed="false">
      <c r="A3827" s="1" t="s">
        <v>5867</v>
      </c>
      <c r="B3827" s="1" t="s">
        <v>5868</v>
      </c>
      <c r="C3827" s="1" t="s">
        <v>4737</v>
      </c>
      <c r="D3827" s="1" t="s">
        <v>4739</v>
      </c>
      <c r="E3827" s="1" t="s">
        <v>7</v>
      </c>
    </row>
    <row r="3828" customFormat="false" ht="16" hidden="false" customHeight="false" outlineLevel="0" collapsed="false">
      <c r="A3828" s="1" t="s">
        <v>5869</v>
      </c>
      <c r="B3828" s="1" t="s">
        <v>5868</v>
      </c>
      <c r="C3828" s="1" t="s">
        <v>4737</v>
      </c>
      <c r="D3828" s="1" t="s">
        <v>4741</v>
      </c>
      <c r="E3828" s="1" t="s">
        <v>7</v>
      </c>
    </row>
    <row r="3829" customFormat="false" ht="16" hidden="false" customHeight="false" outlineLevel="0" collapsed="false">
      <c r="A3829" s="1" t="s">
        <v>5870</v>
      </c>
      <c r="B3829" s="1" t="s">
        <v>5868</v>
      </c>
      <c r="C3829" s="1" t="s">
        <v>4737</v>
      </c>
      <c r="D3829" s="1" t="s">
        <v>4743</v>
      </c>
      <c r="E3829" s="1" t="s">
        <v>7</v>
      </c>
    </row>
    <row r="3830" customFormat="false" ht="16" hidden="false" customHeight="false" outlineLevel="0" collapsed="false">
      <c r="A3830" s="1" t="s">
        <v>5871</v>
      </c>
      <c r="B3830" s="1" t="s">
        <v>5868</v>
      </c>
      <c r="C3830" s="1" t="s">
        <v>4737</v>
      </c>
      <c r="D3830" s="1" t="s">
        <v>4745</v>
      </c>
      <c r="E3830" s="1" t="s">
        <v>7</v>
      </c>
    </row>
    <row r="3831" customFormat="false" ht="16" hidden="false" customHeight="false" outlineLevel="0" collapsed="false">
      <c r="A3831" s="1" t="s">
        <v>5872</v>
      </c>
      <c r="B3831" s="1" t="s">
        <v>5868</v>
      </c>
      <c r="C3831" s="1" t="s">
        <v>4737</v>
      </c>
      <c r="D3831" s="1" t="s">
        <v>770</v>
      </c>
      <c r="E3831" s="1" t="s">
        <v>7</v>
      </c>
    </row>
    <row r="3832" customFormat="false" ht="16" hidden="false" customHeight="false" outlineLevel="0" collapsed="false">
      <c r="A3832" s="1" t="s">
        <v>5873</v>
      </c>
      <c r="B3832" s="1" t="s">
        <v>2341</v>
      </c>
      <c r="C3832" s="1" t="s">
        <v>4737</v>
      </c>
      <c r="D3832" s="1" t="s">
        <v>4739</v>
      </c>
      <c r="E3832" s="1" t="s">
        <v>906</v>
      </c>
    </row>
    <row r="3833" customFormat="false" ht="16" hidden="false" customHeight="false" outlineLevel="0" collapsed="false">
      <c r="A3833" s="1" t="s">
        <v>5874</v>
      </c>
      <c r="B3833" s="1" t="s">
        <v>2341</v>
      </c>
      <c r="C3833" s="1" t="s">
        <v>4737</v>
      </c>
      <c r="D3833" s="1" t="s">
        <v>4741</v>
      </c>
      <c r="E3833" s="1" t="s">
        <v>906</v>
      </c>
    </row>
    <row r="3834" customFormat="false" ht="16" hidden="false" customHeight="false" outlineLevel="0" collapsed="false">
      <c r="A3834" s="1" t="s">
        <v>5875</v>
      </c>
      <c r="B3834" s="1" t="s">
        <v>2341</v>
      </c>
      <c r="C3834" s="1" t="s">
        <v>4737</v>
      </c>
      <c r="D3834" s="1" t="s">
        <v>4743</v>
      </c>
      <c r="E3834" s="1" t="s">
        <v>906</v>
      </c>
    </row>
    <row r="3835" customFormat="false" ht="16" hidden="false" customHeight="false" outlineLevel="0" collapsed="false">
      <c r="A3835" s="1" t="s">
        <v>5876</v>
      </c>
      <c r="B3835" s="1" t="s">
        <v>2341</v>
      </c>
      <c r="C3835" s="1" t="s">
        <v>4737</v>
      </c>
      <c r="D3835" s="1" t="s">
        <v>4745</v>
      </c>
      <c r="E3835" s="1" t="s">
        <v>906</v>
      </c>
    </row>
    <row r="3836" customFormat="false" ht="16" hidden="false" customHeight="false" outlineLevel="0" collapsed="false">
      <c r="A3836" s="1" t="s">
        <v>5877</v>
      </c>
      <c r="B3836" s="1" t="s">
        <v>2341</v>
      </c>
      <c r="C3836" s="1" t="s">
        <v>4737</v>
      </c>
      <c r="D3836" s="1" t="s">
        <v>770</v>
      </c>
      <c r="E3836" s="1" t="s">
        <v>906</v>
      </c>
    </row>
    <row r="3837" customFormat="false" ht="16" hidden="false" customHeight="false" outlineLevel="0" collapsed="false">
      <c r="A3837" s="1" t="s">
        <v>5878</v>
      </c>
      <c r="B3837" s="1" t="s">
        <v>2347</v>
      </c>
      <c r="C3837" s="1" t="s">
        <v>4737</v>
      </c>
      <c r="D3837" s="1" t="s">
        <v>4739</v>
      </c>
      <c r="E3837" s="1" t="s">
        <v>906</v>
      </c>
    </row>
    <row r="3838" customFormat="false" ht="16" hidden="false" customHeight="false" outlineLevel="0" collapsed="false">
      <c r="A3838" s="1" t="s">
        <v>5879</v>
      </c>
      <c r="B3838" s="1" t="s">
        <v>2347</v>
      </c>
      <c r="C3838" s="1" t="s">
        <v>4737</v>
      </c>
      <c r="D3838" s="1" t="s">
        <v>4741</v>
      </c>
      <c r="E3838" s="1" t="s">
        <v>906</v>
      </c>
    </row>
    <row r="3839" customFormat="false" ht="16" hidden="false" customHeight="false" outlineLevel="0" collapsed="false">
      <c r="A3839" s="1" t="s">
        <v>5880</v>
      </c>
      <c r="B3839" s="1" t="s">
        <v>2347</v>
      </c>
      <c r="C3839" s="1" t="s">
        <v>4737</v>
      </c>
      <c r="D3839" s="1" t="s">
        <v>4743</v>
      </c>
      <c r="E3839" s="1" t="s">
        <v>906</v>
      </c>
    </row>
    <row r="3840" customFormat="false" ht="16" hidden="false" customHeight="false" outlineLevel="0" collapsed="false">
      <c r="A3840" s="1" t="s">
        <v>5881</v>
      </c>
      <c r="B3840" s="1" t="s">
        <v>2347</v>
      </c>
      <c r="C3840" s="1" t="s">
        <v>4737</v>
      </c>
      <c r="D3840" s="1" t="s">
        <v>4745</v>
      </c>
      <c r="E3840" s="1" t="s">
        <v>906</v>
      </c>
    </row>
    <row r="3841" customFormat="false" ht="16" hidden="false" customHeight="false" outlineLevel="0" collapsed="false">
      <c r="A3841" s="1" t="s">
        <v>5882</v>
      </c>
      <c r="B3841" s="1" t="s">
        <v>2347</v>
      </c>
      <c r="C3841" s="1" t="s">
        <v>4737</v>
      </c>
      <c r="D3841" s="1" t="s">
        <v>770</v>
      </c>
      <c r="E3841" s="1" t="s">
        <v>906</v>
      </c>
    </row>
    <row r="3842" customFormat="false" ht="16" hidden="false" customHeight="false" outlineLevel="0" collapsed="false">
      <c r="A3842" s="1" t="s">
        <v>5883</v>
      </c>
      <c r="B3842" s="1" t="s">
        <v>2353</v>
      </c>
      <c r="C3842" s="1" t="s">
        <v>4737</v>
      </c>
      <c r="D3842" s="1" t="s">
        <v>4739</v>
      </c>
      <c r="E3842" s="1" t="s">
        <v>906</v>
      </c>
    </row>
    <row r="3843" customFormat="false" ht="16" hidden="false" customHeight="false" outlineLevel="0" collapsed="false">
      <c r="A3843" s="1" t="s">
        <v>5884</v>
      </c>
      <c r="B3843" s="1" t="s">
        <v>2353</v>
      </c>
      <c r="C3843" s="1" t="s">
        <v>4737</v>
      </c>
      <c r="D3843" s="1" t="s">
        <v>4741</v>
      </c>
      <c r="E3843" s="1" t="s">
        <v>906</v>
      </c>
    </row>
    <row r="3844" customFormat="false" ht="16" hidden="false" customHeight="false" outlineLevel="0" collapsed="false">
      <c r="A3844" s="1" t="s">
        <v>5885</v>
      </c>
      <c r="B3844" s="1" t="s">
        <v>2353</v>
      </c>
      <c r="C3844" s="1" t="s">
        <v>4737</v>
      </c>
      <c r="D3844" s="1" t="s">
        <v>4743</v>
      </c>
      <c r="E3844" s="1" t="s">
        <v>906</v>
      </c>
    </row>
    <row r="3845" customFormat="false" ht="16" hidden="false" customHeight="false" outlineLevel="0" collapsed="false">
      <c r="A3845" s="1" t="s">
        <v>5886</v>
      </c>
      <c r="B3845" s="1" t="s">
        <v>2353</v>
      </c>
      <c r="C3845" s="1" t="s">
        <v>4737</v>
      </c>
      <c r="D3845" s="1" t="s">
        <v>4745</v>
      </c>
      <c r="E3845" s="1" t="s">
        <v>906</v>
      </c>
    </row>
    <row r="3846" customFormat="false" ht="16" hidden="false" customHeight="false" outlineLevel="0" collapsed="false">
      <c r="A3846" s="1" t="s">
        <v>5887</v>
      </c>
      <c r="B3846" s="1" t="s">
        <v>2353</v>
      </c>
      <c r="C3846" s="1" t="s">
        <v>4737</v>
      </c>
      <c r="D3846" s="1" t="s">
        <v>770</v>
      </c>
      <c r="E3846" s="1" t="s">
        <v>906</v>
      </c>
    </row>
    <row r="3847" customFormat="false" ht="16" hidden="false" customHeight="false" outlineLevel="0" collapsed="false">
      <c r="A3847" s="1" t="s">
        <v>5888</v>
      </c>
      <c r="B3847" s="1" t="s">
        <v>2359</v>
      </c>
      <c r="C3847" s="1" t="s">
        <v>4737</v>
      </c>
      <c r="D3847" s="1" t="s">
        <v>770</v>
      </c>
      <c r="E3847" s="1" t="s">
        <v>7</v>
      </c>
    </row>
    <row r="3848" customFormat="false" ht="16" hidden="false" customHeight="false" outlineLevel="0" collapsed="false">
      <c r="A3848" s="1" t="s">
        <v>5889</v>
      </c>
      <c r="B3848" s="1" t="s">
        <v>19</v>
      </c>
      <c r="C3848" s="1" t="s">
        <v>4737</v>
      </c>
      <c r="D3848" s="1" t="s">
        <v>4739</v>
      </c>
      <c r="E3848" s="1" t="s">
        <v>7</v>
      </c>
    </row>
    <row r="3849" customFormat="false" ht="16" hidden="false" customHeight="false" outlineLevel="0" collapsed="false">
      <c r="A3849" s="1" t="s">
        <v>5890</v>
      </c>
      <c r="B3849" s="1" t="s">
        <v>5891</v>
      </c>
      <c r="C3849" s="1" t="s">
        <v>4737</v>
      </c>
      <c r="D3849" s="1" t="s">
        <v>4739</v>
      </c>
      <c r="E3849" s="1" t="s">
        <v>7</v>
      </c>
    </row>
    <row r="3850" customFormat="false" ht="16" hidden="false" customHeight="false" outlineLevel="0" collapsed="false">
      <c r="A3850" s="1" t="s">
        <v>5892</v>
      </c>
      <c r="B3850" s="1" t="s">
        <v>5891</v>
      </c>
      <c r="C3850" s="1" t="s">
        <v>4737</v>
      </c>
      <c r="D3850" s="1" t="s">
        <v>4741</v>
      </c>
      <c r="E3850" s="1" t="s">
        <v>7</v>
      </c>
    </row>
    <row r="3851" customFormat="false" ht="16" hidden="false" customHeight="false" outlineLevel="0" collapsed="false">
      <c r="A3851" s="1" t="s">
        <v>5893</v>
      </c>
      <c r="B3851" s="1" t="s">
        <v>5891</v>
      </c>
      <c r="C3851" s="1" t="s">
        <v>4737</v>
      </c>
      <c r="D3851" s="1" t="s">
        <v>4743</v>
      </c>
      <c r="E3851" s="1" t="s">
        <v>7</v>
      </c>
    </row>
    <row r="3852" customFormat="false" ht="16" hidden="false" customHeight="false" outlineLevel="0" collapsed="false">
      <c r="A3852" s="1" t="s">
        <v>5894</v>
      </c>
      <c r="B3852" s="1" t="s">
        <v>5891</v>
      </c>
      <c r="C3852" s="1" t="s">
        <v>4737</v>
      </c>
      <c r="D3852" s="1" t="s">
        <v>4745</v>
      </c>
      <c r="E3852" s="1" t="s">
        <v>7</v>
      </c>
    </row>
    <row r="3853" customFormat="false" ht="16" hidden="false" customHeight="false" outlineLevel="0" collapsed="false">
      <c r="A3853" s="1" t="s">
        <v>5895</v>
      </c>
      <c r="B3853" s="1" t="s">
        <v>5891</v>
      </c>
      <c r="C3853" s="1" t="s">
        <v>4737</v>
      </c>
      <c r="D3853" s="1" t="s">
        <v>770</v>
      </c>
      <c r="E3853" s="1" t="s">
        <v>7</v>
      </c>
    </row>
    <row r="3854" customFormat="false" ht="16" hidden="false" customHeight="false" outlineLevel="0" collapsed="false">
      <c r="A3854" s="1" t="s">
        <v>5896</v>
      </c>
      <c r="B3854" s="1" t="s">
        <v>2382</v>
      </c>
      <c r="C3854" s="1" t="s">
        <v>4737</v>
      </c>
      <c r="D3854" s="1" t="s">
        <v>4739</v>
      </c>
      <c r="E3854" s="1" t="s">
        <v>906</v>
      </c>
    </row>
    <row r="3855" customFormat="false" ht="16" hidden="false" customHeight="false" outlineLevel="0" collapsed="false">
      <c r="A3855" s="1" t="s">
        <v>5897</v>
      </c>
      <c r="B3855" s="1" t="s">
        <v>2382</v>
      </c>
      <c r="C3855" s="1" t="s">
        <v>4737</v>
      </c>
      <c r="D3855" s="1" t="s">
        <v>4741</v>
      </c>
      <c r="E3855" s="1" t="s">
        <v>906</v>
      </c>
    </row>
    <row r="3856" customFormat="false" ht="16" hidden="false" customHeight="false" outlineLevel="0" collapsed="false">
      <c r="A3856" s="1" t="s">
        <v>5898</v>
      </c>
      <c r="B3856" s="1" t="s">
        <v>2382</v>
      </c>
      <c r="C3856" s="1" t="s">
        <v>4737</v>
      </c>
      <c r="D3856" s="1" t="s">
        <v>4743</v>
      </c>
      <c r="E3856" s="1" t="s">
        <v>906</v>
      </c>
    </row>
    <row r="3857" customFormat="false" ht="16" hidden="false" customHeight="false" outlineLevel="0" collapsed="false">
      <c r="A3857" s="1" t="s">
        <v>5899</v>
      </c>
      <c r="B3857" s="1" t="s">
        <v>2382</v>
      </c>
      <c r="C3857" s="1" t="s">
        <v>4737</v>
      </c>
      <c r="D3857" s="1" t="s">
        <v>4745</v>
      </c>
      <c r="E3857" s="1" t="s">
        <v>906</v>
      </c>
    </row>
    <row r="3858" customFormat="false" ht="16" hidden="false" customHeight="false" outlineLevel="0" collapsed="false">
      <c r="A3858" s="1" t="s">
        <v>5900</v>
      </c>
      <c r="B3858" s="1" t="s">
        <v>2382</v>
      </c>
      <c r="C3858" s="1" t="s">
        <v>4737</v>
      </c>
      <c r="D3858" s="1" t="s">
        <v>770</v>
      </c>
      <c r="E3858" s="1" t="s">
        <v>906</v>
      </c>
    </row>
    <row r="3859" customFormat="false" ht="16" hidden="false" customHeight="false" outlineLevel="0" collapsed="false">
      <c r="A3859" s="1" t="s">
        <v>5901</v>
      </c>
      <c r="B3859" s="1" t="s">
        <v>2394</v>
      </c>
      <c r="C3859" s="1" t="s">
        <v>4737</v>
      </c>
      <c r="D3859" s="1" t="s">
        <v>4739</v>
      </c>
      <c r="E3859" s="1" t="s">
        <v>7</v>
      </c>
    </row>
    <row r="3860" customFormat="false" ht="16" hidden="false" customHeight="false" outlineLevel="0" collapsed="false">
      <c r="A3860" s="1" t="s">
        <v>5902</v>
      </c>
      <c r="B3860" s="1" t="s">
        <v>2394</v>
      </c>
      <c r="C3860" s="1" t="s">
        <v>4737</v>
      </c>
      <c r="D3860" s="1" t="s">
        <v>4741</v>
      </c>
      <c r="E3860" s="1" t="s">
        <v>7</v>
      </c>
    </row>
    <row r="3861" customFormat="false" ht="16" hidden="false" customHeight="false" outlineLevel="0" collapsed="false">
      <c r="A3861" s="1" t="s">
        <v>5903</v>
      </c>
      <c r="B3861" s="1" t="s">
        <v>2394</v>
      </c>
      <c r="C3861" s="1" t="s">
        <v>4737</v>
      </c>
      <c r="D3861" s="1" t="s">
        <v>4743</v>
      </c>
      <c r="E3861" s="1" t="s">
        <v>7</v>
      </c>
    </row>
    <row r="3862" customFormat="false" ht="16" hidden="false" customHeight="false" outlineLevel="0" collapsed="false">
      <c r="A3862" s="1" t="s">
        <v>5904</v>
      </c>
      <c r="B3862" s="1" t="s">
        <v>2394</v>
      </c>
      <c r="C3862" s="1" t="s">
        <v>4737</v>
      </c>
      <c r="D3862" s="1" t="s">
        <v>4745</v>
      </c>
      <c r="E3862" s="1" t="s">
        <v>7</v>
      </c>
    </row>
    <row r="3863" customFormat="false" ht="16" hidden="false" customHeight="false" outlineLevel="0" collapsed="false">
      <c r="A3863" s="1" t="s">
        <v>5905</v>
      </c>
      <c r="B3863" s="1" t="s">
        <v>2394</v>
      </c>
      <c r="C3863" s="1" t="s">
        <v>4737</v>
      </c>
      <c r="D3863" s="1" t="s">
        <v>770</v>
      </c>
      <c r="E3863" s="1" t="s">
        <v>7</v>
      </c>
    </row>
    <row r="3864" customFormat="false" ht="16" hidden="false" customHeight="false" outlineLevel="0" collapsed="false">
      <c r="A3864" s="1" t="s">
        <v>5906</v>
      </c>
      <c r="B3864" s="1" t="s">
        <v>2406</v>
      </c>
      <c r="C3864" s="1" t="s">
        <v>4737</v>
      </c>
      <c r="D3864" s="1" t="s">
        <v>4739</v>
      </c>
      <c r="E3864" s="1" t="s">
        <v>7</v>
      </c>
    </row>
    <row r="3865" customFormat="false" ht="16" hidden="false" customHeight="false" outlineLevel="0" collapsed="false">
      <c r="A3865" s="1" t="s">
        <v>5907</v>
      </c>
      <c r="B3865" s="1" t="s">
        <v>2406</v>
      </c>
      <c r="C3865" s="1" t="s">
        <v>4737</v>
      </c>
      <c r="D3865" s="1" t="s">
        <v>4741</v>
      </c>
      <c r="E3865" s="1" t="s">
        <v>7</v>
      </c>
    </row>
    <row r="3866" customFormat="false" ht="16" hidden="false" customHeight="false" outlineLevel="0" collapsed="false">
      <c r="A3866" s="1" t="s">
        <v>5908</v>
      </c>
      <c r="B3866" s="1" t="s">
        <v>2406</v>
      </c>
      <c r="C3866" s="1" t="s">
        <v>4737</v>
      </c>
      <c r="D3866" s="1" t="s">
        <v>4743</v>
      </c>
      <c r="E3866" s="1" t="s">
        <v>7</v>
      </c>
    </row>
    <row r="3867" customFormat="false" ht="16" hidden="false" customHeight="false" outlineLevel="0" collapsed="false">
      <c r="A3867" s="1" t="s">
        <v>5909</v>
      </c>
      <c r="B3867" s="1" t="s">
        <v>2406</v>
      </c>
      <c r="C3867" s="1" t="s">
        <v>4737</v>
      </c>
      <c r="D3867" s="1" t="s">
        <v>4745</v>
      </c>
      <c r="E3867" s="1" t="s">
        <v>7</v>
      </c>
    </row>
    <row r="3868" customFormat="false" ht="16" hidden="false" customHeight="false" outlineLevel="0" collapsed="false">
      <c r="A3868" s="1" t="s">
        <v>5910</v>
      </c>
      <c r="B3868" s="1" t="s">
        <v>2406</v>
      </c>
      <c r="C3868" s="1" t="s">
        <v>4737</v>
      </c>
      <c r="D3868" s="1" t="s">
        <v>770</v>
      </c>
      <c r="E3868" s="1" t="s">
        <v>7</v>
      </c>
    </row>
    <row r="3869" customFormat="false" ht="16" hidden="false" customHeight="false" outlineLevel="0" collapsed="false">
      <c r="A3869" s="1" t="s">
        <v>5911</v>
      </c>
      <c r="B3869" s="1" t="s">
        <v>2412</v>
      </c>
      <c r="C3869" s="1" t="s">
        <v>4737</v>
      </c>
      <c r="D3869" s="1" t="s">
        <v>4739</v>
      </c>
      <c r="E3869" s="1" t="s">
        <v>7</v>
      </c>
    </row>
    <row r="3870" customFormat="false" ht="16" hidden="false" customHeight="false" outlineLevel="0" collapsed="false">
      <c r="A3870" s="1" t="s">
        <v>5912</v>
      </c>
      <c r="B3870" s="1" t="s">
        <v>2412</v>
      </c>
      <c r="C3870" s="1" t="s">
        <v>4737</v>
      </c>
      <c r="D3870" s="1" t="s">
        <v>4741</v>
      </c>
      <c r="E3870" s="1" t="s">
        <v>7</v>
      </c>
    </row>
    <row r="3871" customFormat="false" ht="16" hidden="false" customHeight="false" outlineLevel="0" collapsed="false">
      <c r="A3871" s="1" t="s">
        <v>5913</v>
      </c>
      <c r="B3871" s="1" t="s">
        <v>2412</v>
      </c>
      <c r="C3871" s="1" t="s">
        <v>4737</v>
      </c>
      <c r="D3871" s="1" t="s">
        <v>4743</v>
      </c>
      <c r="E3871" s="1" t="s">
        <v>7</v>
      </c>
    </row>
    <row r="3872" customFormat="false" ht="16" hidden="false" customHeight="false" outlineLevel="0" collapsed="false">
      <c r="A3872" s="1" t="s">
        <v>5914</v>
      </c>
      <c r="B3872" s="1" t="s">
        <v>2412</v>
      </c>
      <c r="C3872" s="1" t="s">
        <v>4737</v>
      </c>
      <c r="D3872" s="1" t="s">
        <v>4745</v>
      </c>
      <c r="E3872" s="1" t="s">
        <v>7</v>
      </c>
    </row>
    <row r="3873" customFormat="false" ht="16" hidden="false" customHeight="false" outlineLevel="0" collapsed="false">
      <c r="A3873" s="1" t="s">
        <v>5915</v>
      </c>
      <c r="B3873" s="1" t="s">
        <v>2412</v>
      </c>
      <c r="C3873" s="1" t="s">
        <v>4737</v>
      </c>
      <c r="D3873" s="1" t="s">
        <v>770</v>
      </c>
      <c r="E3873" s="1" t="s">
        <v>7</v>
      </c>
    </row>
    <row r="3874" customFormat="false" ht="16" hidden="false" customHeight="false" outlineLevel="0" collapsed="false">
      <c r="A3874" s="1" t="s">
        <v>5916</v>
      </c>
      <c r="B3874" s="1" t="s">
        <v>2418</v>
      </c>
      <c r="C3874" s="1" t="s">
        <v>4737</v>
      </c>
      <c r="D3874" s="1" t="s">
        <v>4739</v>
      </c>
      <c r="E3874" s="1" t="s">
        <v>7</v>
      </c>
    </row>
    <row r="3875" customFormat="false" ht="16" hidden="false" customHeight="false" outlineLevel="0" collapsed="false">
      <c r="A3875" s="1" t="s">
        <v>5917</v>
      </c>
      <c r="B3875" s="1" t="s">
        <v>2418</v>
      </c>
      <c r="C3875" s="1" t="s">
        <v>4737</v>
      </c>
      <c r="D3875" s="1" t="s">
        <v>4745</v>
      </c>
      <c r="E3875" s="1" t="s">
        <v>7</v>
      </c>
    </row>
    <row r="3876" customFormat="false" ht="16" hidden="false" customHeight="false" outlineLevel="0" collapsed="false">
      <c r="A3876" s="1" t="s">
        <v>5918</v>
      </c>
      <c r="B3876" s="1" t="s">
        <v>2420</v>
      </c>
      <c r="C3876" s="1" t="s">
        <v>4737</v>
      </c>
      <c r="D3876" s="1" t="s">
        <v>4739</v>
      </c>
      <c r="E3876" s="1" t="s">
        <v>7</v>
      </c>
    </row>
    <row r="3877" customFormat="false" ht="16" hidden="false" customHeight="false" outlineLevel="0" collapsed="false">
      <c r="A3877" s="1" t="s">
        <v>5919</v>
      </c>
      <c r="B3877" s="1" t="s">
        <v>2420</v>
      </c>
      <c r="C3877" s="1" t="s">
        <v>4737</v>
      </c>
      <c r="D3877" s="1" t="s">
        <v>4741</v>
      </c>
      <c r="E3877" s="1" t="s">
        <v>7</v>
      </c>
    </row>
    <row r="3878" customFormat="false" ht="16" hidden="false" customHeight="false" outlineLevel="0" collapsed="false">
      <c r="A3878" s="1" t="s">
        <v>5920</v>
      </c>
      <c r="B3878" s="1" t="s">
        <v>2420</v>
      </c>
      <c r="C3878" s="1" t="s">
        <v>4737</v>
      </c>
      <c r="D3878" s="1" t="s">
        <v>4743</v>
      </c>
      <c r="E3878" s="1" t="s">
        <v>7</v>
      </c>
    </row>
    <row r="3879" customFormat="false" ht="16" hidden="false" customHeight="false" outlineLevel="0" collapsed="false">
      <c r="A3879" s="1" t="s">
        <v>5921</v>
      </c>
      <c r="B3879" s="1" t="s">
        <v>2420</v>
      </c>
      <c r="C3879" s="1" t="s">
        <v>4737</v>
      </c>
      <c r="D3879" s="1" t="s">
        <v>4745</v>
      </c>
      <c r="E3879" s="1" t="s">
        <v>7</v>
      </c>
    </row>
    <row r="3880" customFormat="false" ht="16" hidden="false" customHeight="false" outlineLevel="0" collapsed="false">
      <c r="A3880" s="1" t="s">
        <v>5922</v>
      </c>
      <c r="B3880" s="1" t="s">
        <v>2420</v>
      </c>
      <c r="C3880" s="1" t="s">
        <v>4737</v>
      </c>
      <c r="D3880" s="1" t="s">
        <v>770</v>
      </c>
      <c r="E3880" s="1" t="s">
        <v>7</v>
      </c>
    </row>
    <row r="3881" customFormat="false" ht="16" hidden="false" customHeight="false" outlineLevel="0" collapsed="false">
      <c r="A3881" s="1" t="s">
        <v>5923</v>
      </c>
      <c r="B3881" s="1" t="s">
        <v>2426</v>
      </c>
      <c r="C3881" s="1" t="s">
        <v>4737</v>
      </c>
      <c r="D3881" s="1" t="s">
        <v>4739</v>
      </c>
      <c r="E3881" s="1" t="s">
        <v>7</v>
      </c>
    </row>
    <row r="3882" customFormat="false" ht="16" hidden="false" customHeight="false" outlineLevel="0" collapsed="false">
      <c r="A3882" s="1" t="s">
        <v>5924</v>
      </c>
      <c r="B3882" s="1" t="s">
        <v>2426</v>
      </c>
      <c r="C3882" s="1" t="s">
        <v>4737</v>
      </c>
      <c r="D3882" s="1" t="s">
        <v>4741</v>
      </c>
      <c r="E3882" s="1" t="s">
        <v>7</v>
      </c>
    </row>
    <row r="3883" customFormat="false" ht="16" hidden="false" customHeight="false" outlineLevel="0" collapsed="false">
      <c r="A3883" s="1" t="s">
        <v>5925</v>
      </c>
      <c r="B3883" s="1" t="s">
        <v>2426</v>
      </c>
      <c r="C3883" s="1" t="s">
        <v>4737</v>
      </c>
      <c r="D3883" s="1" t="s">
        <v>4743</v>
      </c>
      <c r="E3883" s="1" t="s">
        <v>7</v>
      </c>
    </row>
    <row r="3884" customFormat="false" ht="16" hidden="false" customHeight="false" outlineLevel="0" collapsed="false">
      <c r="A3884" s="1" t="s">
        <v>5926</v>
      </c>
      <c r="B3884" s="1" t="s">
        <v>2426</v>
      </c>
      <c r="C3884" s="1" t="s">
        <v>4737</v>
      </c>
      <c r="D3884" s="1" t="s">
        <v>4745</v>
      </c>
      <c r="E3884" s="1" t="s">
        <v>7</v>
      </c>
    </row>
    <row r="3885" customFormat="false" ht="16" hidden="false" customHeight="false" outlineLevel="0" collapsed="false">
      <c r="A3885" s="1" t="s">
        <v>5927</v>
      </c>
      <c r="B3885" s="1" t="s">
        <v>2426</v>
      </c>
      <c r="C3885" s="1" t="s">
        <v>4737</v>
      </c>
      <c r="D3885" s="1" t="s">
        <v>770</v>
      </c>
      <c r="E3885" s="1" t="s">
        <v>7</v>
      </c>
    </row>
    <row r="3886" customFormat="false" ht="16" hidden="false" customHeight="false" outlineLevel="0" collapsed="false">
      <c r="A3886" s="1" t="s">
        <v>5928</v>
      </c>
      <c r="B3886" s="1" t="s">
        <v>2432</v>
      </c>
      <c r="C3886" s="1" t="s">
        <v>4737</v>
      </c>
      <c r="D3886" s="1" t="s">
        <v>4739</v>
      </c>
      <c r="E3886" s="1" t="s">
        <v>7</v>
      </c>
    </row>
    <row r="3887" customFormat="false" ht="16" hidden="false" customHeight="false" outlineLevel="0" collapsed="false">
      <c r="A3887" s="1" t="s">
        <v>5929</v>
      </c>
      <c r="B3887" s="1" t="s">
        <v>2432</v>
      </c>
      <c r="C3887" s="1" t="s">
        <v>4737</v>
      </c>
      <c r="D3887" s="1" t="s">
        <v>4741</v>
      </c>
      <c r="E3887" s="1" t="s">
        <v>7</v>
      </c>
    </row>
    <row r="3888" customFormat="false" ht="16" hidden="false" customHeight="false" outlineLevel="0" collapsed="false">
      <c r="A3888" s="1" t="s">
        <v>5930</v>
      </c>
      <c r="B3888" s="1" t="s">
        <v>2432</v>
      </c>
      <c r="C3888" s="1" t="s">
        <v>4737</v>
      </c>
      <c r="D3888" s="1" t="s">
        <v>4743</v>
      </c>
      <c r="E3888" s="1" t="s">
        <v>7</v>
      </c>
    </row>
    <row r="3889" customFormat="false" ht="16" hidden="false" customHeight="false" outlineLevel="0" collapsed="false">
      <c r="A3889" s="1" t="s">
        <v>5931</v>
      </c>
      <c r="B3889" s="1" t="s">
        <v>2432</v>
      </c>
      <c r="C3889" s="1" t="s">
        <v>4737</v>
      </c>
      <c r="D3889" s="1" t="s">
        <v>4745</v>
      </c>
      <c r="E3889" s="1" t="s">
        <v>7</v>
      </c>
    </row>
    <row r="3890" customFormat="false" ht="16" hidden="false" customHeight="false" outlineLevel="0" collapsed="false">
      <c r="A3890" s="1" t="s">
        <v>5932</v>
      </c>
      <c r="B3890" s="1" t="s">
        <v>2432</v>
      </c>
      <c r="C3890" s="1" t="s">
        <v>4737</v>
      </c>
      <c r="D3890" s="1" t="s">
        <v>770</v>
      </c>
      <c r="E3890" s="1" t="s">
        <v>7</v>
      </c>
    </row>
    <row r="3891" customFormat="false" ht="16" hidden="false" customHeight="false" outlineLevel="0" collapsed="false">
      <c r="A3891" s="1" t="s">
        <v>5933</v>
      </c>
      <c r="B3891" s="1" t="s">
        <v>2438</v>
      </c>
      <c r="C3891" s="1" t="s">
        <v>4737</v>
      </c>
      <c r="D3891" s="1" t="s">
        <v>4739</v>
      </c>
      <c r="E3891" s="1" t="s">
        <v>906</v>
      </c>
    </row>
    <row r="3892" customFormat="false" ht="16" hidden="false" customHeight="false" outlineLevel="0" collapsed="false">
      <c r="A3892" s="1" t="s">
        <v>5934</v>
      </c>
      <c r="B3892" s="1" t="s">
        <v>2438</v>
      </c>
      <c r="C3892" s="1" t="s">
        <v>4737</v>
      </c>
      <c r="D3892" s="1" t="s">
        <v>4741</v>
      </c>
      <c r="E3892" s="1" t="s">
        <v>906</v>
      </c>
    </row>
    <row r="3893" customFormat="false" ht="16" hidden="false" customHeight="false" outlineLevel="0" collapsed="false">
      <c r="A3893" s="1" t="s">
        <v>5935</v>
      </c>
      <c r="B3893" s="1" t="s">
        <v>2438</v>
      </c>
      <c r="C3893" s="1" t="s">
        <v>4737</v>
      </c>
      <c r="D3893" s="1" t="s">
        <v>4743</v>
      </c>
      <c r="E3893" s="1" t="s">
        <v>906</v>
      </c>
    </row>
    <row r="3894" customFormat="false" ht="16" hidden="false" customHeight="false" outlineLevel="0" collapsed="false">
      <c r="A3894" s="1" t="s">
        <v>5936</v>
      </c>
      <c r="B3894" s="1" t="s">
        <v>2438</v>
      </c>
      <c r="C3894" s="1" t="s">
        <v>4737</v>
      </c>
      <c r="D3894" s="1" t="s">
        <v>4745</v>
      </c>
      <c r="E3894" s="1" t="s">
        <v>906</v>
      </c>
    </row>
    <row r="3895" customFormat="false" ht="16" hidden="false" customHeight="false" outlineLevel="0" collapsed="false">
      <c r="A3895" s="1" t="s">
        <v>5937</v>
      </c>
      <c r="B3895" s="1" t="s">
        <v>2438</v>
      </c>
      <c r="C3895" s="1" t="s">
        <v>4737</v>
      </c>
      <c r="D3895" s="1" t="s">
        <v>770</v>
      </c>
      <c r="E3895" s="1" t="s">
        <v>906</v>
      </c>
    </row>
    <row r="3896" customFormat="false" ht="16" hidden="false" customHeight="false" outlineLevel="0" collapsed="false">
      <c r="A3896" s="1" t="s">
        <v>5938</v>
      </c>
      <c r="B3896" s="1" t="s">
        <v>2444</v>
      </c>
      <c r="C3896" s="1" t="s">
        <v>4737</v>
      </c>
      <c r="D3896" s="1" t="s">
        <v>4739</v>
      </c>
      <c r="E3896" s="1" t="s">
        <v>7</v>
      </c>
    </row>
    <row r="3897" customFormat="false" ht="16" hidden="false" customHeight="false" outlineLevel="0" collapsed="false">
      <c r="A3897" s="1" t="s">
        <v>5939</v>
      </c>
      <c r="B3897" s="1" t="s">
        <v>2444</v>
      </c>
      <c r="C3897" s="1" t="s">
        <v>4737</v>
      </c>
      <c r="D3897" s="1" t="s">
        <v>4745</v>
      </c>
      <c r="E3897" s="1" t="s">
        <v>7</v>
      </c>
    </row>
    <row r="3898" customFormat="false" ht="16" hidden="false" customHeight="false" outlineLevel="0" collapsed="false">
      <c r="A3898" s="1" t="s">
        <v>5940</v>
      </c>
      <c r="B3898" s="1" t="s">
        <v>2446</v>
      </c>
      <c r="C3898" s="1" t="s">
        <v>4737</v>
      </c>
      <c r="D3898" s="1" t="s">
        <v>4739</v>
      </c>
      <c r="E3898" s="1" t="s">
        <v>7</v>
      </c>
    </row>
    <row r="3899" customFormat="false" ht="16" hidden="false" customHeight="false" outlineLevel="0" collapsed="false">
      <c r="A3899" s="1" t="s">
        <v>5941</v>
      </c>
      <c r="B3899" s="1" t="s">
        <v>2446</v>
      </c>
      <c r="C3899" s="1" t="s">
        <v>4737</v>
      </c>
      <c r="D3899" s="1" t="s">
        <v>4745</v>
      </c>
      <c r="E3899" s="1" t="s">
        <v>7</v>
      </c>
    </row>
    <row r="3900" customFormat="false" ht="16" hidden="false" customHeight="false" outlineLevel="0" collapsed="false">
      <c r="A3900" s="1" t="s">
        <v>5942</v>
      </c>
      <c r="B3900" s="1" t="s">
        <v>2448</v>
      </c>
      <c r="C3900" s="1" t="s">
        <v>4737</v>
      </c>
      <c r="D3900" s="1" t="s">
        <v>4745</v>
      </c>
      <c r="E3900" s="1" t="s">
        <v>7</v>
      </c>
    </row>
    <row r="3901" customFormat="false" ht="16" hidden="false" customHeight="false" outlineLevel="0" collapsed="false">
      <c r="A3901" s="1" t="s">
        <v>5943</v>
      </c>
      <c r="B3901" s="1" t="s">
        <v>5944</v>
      </c>
      <c r="C3901" s="1" t="s">
        <v>4737</v>
      </c>
      <c r="D3901" s="1" t="s">
        <v>4739</v>
      </c>
      <c r="E3901" s="1" t="s">
        <v>906</v>
      </c>
    </row>
    <row r="3902" customFormat="false" ht="16" hidden="false" customHeight="false" outlineLevel="0" collapsed="false">
      <c r="A3902" s="1" t="s">
        <v>5945</v>
      </c>
      <c r="B3902" s="1" t="s">
        <v>5944</v>
      </c>
      <c r="C3902" s="1" t="s">
        <v>4737</v>
      </c>
      <c r="D3902" s="1" t="s">
        <v>4741</v>
      </c>
      <c r="E3902" s="1" t="s">
        <v>906</v>
      </c>
    </row>
    <row r="3903" customFormat="false" ht="16" hidden="false" customHeight="false" outlineLevel="0" collapsed="false">
      <c r="A3903" s="1" t="s">
        <v>5946</v>
      </c>
      <c r="B3903" s="1" t="s">
        <v>5944</v>
      </c>
      <c r="C3903" s="1" t="s">
        <v>4737</v>
      </c>
      <c r="D3903" s="1" t="s">
        <v>4743</v>
      </c>
      <c r="E3903" s="1" t="s">
        <v>906</v>
      </c>
    </row>
    <row r="3904" customFormat="false" ht="16" hidden="false" customHeight="false" outlineLevel="0" collapsed="false">
      <c r="A3904" s="1" t="s">
        <v>5947</v>
      </c>
      <c r="B3904" s="1" t="s">
        <v>5944</v>
      </c>
      <c r="C3904" s="1" t="s">
        <v>4737</v>
      </c>
      <c r="D3904" s="1" t="s">
        <v>4745</v>
      </c>
      <c r="E3904" s="1" t="s">
        <v>906</v>
      </c>
    </row>
    <row r="3905" customFormat="false" ht="16" hidden="false" customHeight="false" outlineLevel="0" collapsed="false">
      <c r="A3905" s="1" t="s">
        <v>5948</v>
      </c>
      <c r="B3905" s="1" t="s">
        <v>5944</v>
      </c>
      <c r="C3905" s="1" t="s">
        <v>4737</v>
      </c>
      <c r="D3905" s="1" t="s">
        <v>770</v>
      </c>
      <c r="E3905" s="1" t="s">
        <v>906</v>
      </c>
    </row>
    <row r="3906" customFormat="false" ht="16" hidden="false" customHeight="false" outlineLevel="0" collapsed="false">
      <c r="A3906" s="1" t="s">
        <v>5949</v>
      </c>
      <c r="B3906" s="1" t="s">
        <v>5950</v>
      </c>
      <c r="C3906" s="1" t="s">
        <v>4737</v>
      </c>
      <c r="D3906" s="1" t="s">
        <v>4739</v>
      </c>
      <c r="E3906" s="1" t="s">
        <v>906</v>
      </c>
    </row>
    <row r="3907" customFormat="false" ht="16" hidden="false" customHeight="false" outlineLevel="0" collapsed="false">
      <c r="A3907" s="1" t="s">
        <v>5951</v>
      </c>
      <c r="B3907" s="1" t="s">
        <v>5950</v>
      </c>
      <c r="C3907" s="1" t="s">
        <v>4737</v>
      </c>
      <c r="D3907" s="1" t="s">
        <v>4741</v>
      </c>
      <c r="E3907" s="1" t="s">
        <v>906</v>
      </c>
    </row>
    <row r="3908" customFormat="false" ht="16" hidden="false" customHeight="false" outlineLevel="0" collapsed="false">
      <c r="A3908" s="1" t="s">
        <v>5952</v>
      </c>
      <c r="B3908" s="1" t="s">
        <v>5950</v>
      </c>
      <c r="C3908" s="1" t="s">
        <v>4737</v>
      </c>
      <c r="D3908" s="1" t="s">
        <v>4743</v>
      </c>
      <c r="E3908" s="1" t="s">
        <v>906</v>
      </c>
    </row>
    <row r="3909" customFormat="false" ht="16" hidden="false" customHeight="false" outlineLevel="0" collapsed="false">
      <c r="A3909" s="1" t="s">
        <v>5953</v>
      </c>
      <c r="B3909" s="1" t="s">
        <v>5950</v>
      </c>
      <c r="C3909" s="1" t="s">
        <v>4737</v>
      </c>
      <c r="D3909" s="1" t="s">
        <v>4745</v>
      </c>
      <c r="E3909" s="1" t="s">
        <v>906</v>
      </c>
    </row>
    <row r="3910" customFormat="false" ht="16" hidden="false" customHeight="false" outlineLevel="0" collapsed="false">
      <c r="A3910" s="1" t="s">
        <v>5954</v>
      </c>
      <c r="B3910" s="1" t="s">
        <v>5950</v>
      </c>
      <c r="C3910" s="1" t="s">
        <v>4737</v>
      </c>
      <c r="D3910" s="1" t="s">
        <v>770</v>
      </c>
      <c r="E3910" s="1" t="s">
        <v>906</v>
      </c>
    </row>
    <row r="3911" customFormat="false" ht="16" hidden="false" customHeight="false" outlineLevel="0" collapsed="false">
      <c r="A3911" s="1" t="s">
        <v>5955</v>
      </c>
      <c r="B3911" s="1" t="s">
        <v>5956</v>
      </c>
      <c r="C3911" s="1" t="s">
        <v>4737</v>
      </c>
      <c r="D3911" s="1" t="s">
        <v>4739</v>
      </c>
      <c r="E3911" s="1" t="s">
        <v>906</v>
      </c>
    </row>
    <row r="3912" customFormat="false" ht="16" hidden="false" customHeight="false" outlineLevel="0" collapsed="false">
      <c r="A3912" s="1" t="s">
        <v>5957</v>
      </c>
      <c r="B3912" s="1" t="s">
        <v>5956</v>
      </c>
      <c r="C3912" s="1" t="s">
        <v>4737</v>
      </c>
      <c r="D3912" s="1" t="s">
        <v>4741</v>
      </c>
      <c r="E3912" s="1" t="s">
        <v>906</v>
      </c>
    </row>
    <row r="3913" customFormat="false" ht="16" hidden="false" customHeight="false" outlineLevel="0" collapsed="false">
      <c r="A3913" s="1" t="s">
        <v>5958</v>
      </c>
      <c r="B3913" s="1" t="s">
        <v>5956</v>
      </c>
      <c r="C3913" s="1" t="s">
        <v>4737</v>
      </c>
      <c r="D3913" s="1" t="s">
        <v>4743</v>
      </c>
      <c r="E3913" s="1" t="s">
        <v>906</v>
      </c>
    </row>
    <row r="3914" customFormat="false" ht="16" hidden="false" customHeight="false" outlineLevel="0" collapsed="false">
      <c r="A3914" s="1" t="s">
        <v>5959</v>
      </c>
      <c r="B3914" s="1" t="s">
        <v>5956</v>
      </c>
      <c r="C3914" s="1" t="s">
        <v>4737</v>
      </c>
      <c r="D3914" s="1" t="s">
        <v>4745</v>
      </c>
      <c r="E3914" s="1" t="s">
        <v>906</v>
      </c>
    </row>
    <row r="3915" customFormat="false" ht="16" hidden="false" customHeight="false" outlineLevel="0" collapsed="false">
      <c r="A3915" s="1" t="s">
        <v>5960</v>
      </c>
      <c r="B3915" s="1" t="s">
        <v>5956</v>
      </c>
      <c r="C3915" s="1" t="s">
        <v>4737</v>
      </c>
      <c r="D3915" s="1" t="s">
        <v>770</v>
      </c>
      <c r="E3915" s="1" t="s">
        <v>906</v>
      </c>
    </row>
    <row r="3916" customFormat="false" ht="16" hidden="false" customHeight="false" outlineLevel="0" collapsed="false">
      <c r="A3916" s="1" t="s">
        <v>5961</v>
      </c>
      <c r="B3916" s="1" t="s">
        <v>5962</v>
      </c>
      <c r="C3916" s="1" t="s">
        <v>4737</v>
      </c>
      <c r="D3916" s="1" t="s">
        <v>4739</v>
      </c>
      <c r="E3916" s="1" t="s">
        <v>906</v>
      </c>
    </row>
    <row r="3917" customFormat="false" ht="16" hidden="false" customHeight="false" outlineLevel="0" collapsed="false">
      <c r="A3917" s="1" t="s">
        <v>5963</v>
      </c>
      <c r="B3917" s="1" t="s">
        <v>5962</v>
      </c>
      <c r="C3917" s="1" t="s">
        <v>4737</v>
      </c>
      <c r="D3917" s="1" t="s">
        <v>4741</v>
      </c>
      <c r="E3917" s="1" t="s">
        <v>906</v>
      </c>
    </row>
    <row r="3918" customFormat="false" ht="16" hidden="false" customHeight="false" outlineLevel="0" collapsed="false">
      <c r="A3918" s="1" t="s">
        <v>5964</v>
      </c>
      <c r="B3918" s="1" t="s">
        <v>5962</v>
      </c>
      <c r="C3918" s="1" t="s">
        <v>4737</v>
      </c>
      <c r="D3918" s="1" t="s">
        <v>4743</v>
      </c>
      <c r="E3918" s="1" t="s">
        <v>906</v>
      </c>
    </row>
    <row r="3919" customFormat="false" ht="16" hidden="false" customHeight="false" outlineLevel="0" collapsed="false">
      <c r="A3919" s="1" t="s">
        <v>5965</v>
      </c>
      <c r="B3919" s="1" t="s">
        <v>5962</v>
      </c>
      <c r="C3919" s="1" t="s">
        <v>4737</v>
      </c>
      <c r="D3919" s="1" t="s">
        <v>4745</v>
      </c>
      <c r="E3919" s="1" t="s">
        <v>906</v>
      </c>
    </row>
    <row r="3920" customFormat="false" ht="16" hidden="false" customHeight="false" outlineLevel="0" collapsed="false">
      <c r="A3920" s="1" t="s">
        <v>5966</v>
      </c>
      <c r="B3920" s="1" t="s">
        <v>5962</v>
      </c>
      <c r="C3920" s="1" t="s">
        <v>4737</v>
      </c>
      <c r="D3920" s="1" t="s">
        <v>770</v>
      </c>
      <c r="E3920" s="1" t="s">
        <v>906</v>
      </c>
    </row>
    <row r="3921" customFormat="false" ht="16" hidden="false" customHeight="false" outlineLevel="0" collapsed="false">
      <c r="A3921" s="1" t="s">
        <v>5967</v>
      </c>
      <c r="B3921" s="1" t="s">
        <v>2464</v>
      </c>
      <c r="C3921" s="1" t="s">
        <v>4737</v>
      </c>
      <c r="D3921" s="1" t="s">
        <v>4739</v>
      </c>
      <c r="E3921" s="1" t="s">
        <v>906</v>
      </c>
    </row>
    <row r="3922" customFormat="false" ht="16" hidden="false" customHeight="false" outlineLevel="0" collapsed="false">
      <c r="A3922" s="1" t="s">
        <v>5968</v>
      </c>
      <c r="B3922" s="1" t="s">
        <v>2464</v>
      </c>
      <c r="C3922" s="1" t="s">
        <v>4737</v>
      </c>
      <c r="D3922" s="1" t="s">
        <v>4741</v>
      </c>
      <c r="E3922" s="1" t="s">
        <v>906</v>
      </c>
    </row>
    <row r="3923" customFormat="false" ht="16" hidden="false" customHeight="false" outlineLevel="0" collapsed="false">
      <c r="A3923" s="1" t="s">
        <v>5969</v>
      </c>
      <c r="B3923" s="1" t="s">
        <v>2464</v>
      </c>
      <c r="C3923" s="1" t="s">
        <v>4737</v>
      </c>
      <c r="D3923" s="1" t="s">
        <v>4743</v>
      </c>
      <c r="E3923" s="1" t="s">
        <v>906</v>
      </c>
    </row>
    <row r="3924" customFormat="false" ht="16" hidden="false" customHeight="false" outlineLevel="0" collapsed="false">
      <c r="A3924" s="1" t="s">
        <v>5970</v>
      </c>
      <c r="B3924" s="1" t="s">
        <v>2464</v>
      </c>
      <c r="C3924" s="1" t="s">
        <v>4737</v>
      </c>
      <c r="D3924" s="1" t="s">
        <v>4745</v>
      </c>
      <c r="E3924" s="1" t="s">
        <v>906</v>
      </c>
    </row>
    <row r="3925" customFormat="false" ht="16" hidden="false" customHeight="false" outlineLevel="0" collapsed="false">
      <c r="A3925" s="1" t="s">
        <v>5971</v>
      </c>
      <c r="B3925" s="1" t="s">
        <v>2464</v>
      </c>
      <c r="C3925" s="1" t="s">
        <v>4737</v>
      </c>
      <c r="D3925" s="1" t="s">
        <v>770</v>
      </c>
      <c r="E3925" s="1" t="s">
        <v>906</v>
      </c>
    </row>
    <row r="3926" customFormat="false" ht="16" hidden="false" customHeight="false" outlineLevel="0" collapsed="false">
      <c r="A3926" s="1" t="s">
        <v>5972</v>
      </c>
      <c r="B3926" s="1" t="s">
        <v>2470</v>
      </c>
      <c r="C3926" s="1" t="s">
        <v>4737</v>
      </c>
      <c r="D3926" s="1" t="s">
        <v>4739</v>
      </c>
      <c r="E3926" s="1" t="s">
        <v>906</v>
      </c>
    </row>
    <row r="3927" customFormat="false" ht="16" hidden="false" customHeight="false" outlineLevel="0" collapsed="false">
      <c r="A3927" s="1" t="s">
        <v>5973</v>
      </c>
      <c r="B3927" s="1" t="s">
        <v>2470</v>
      </c>
      <c r="C3927" s="1" t="s">
        <v>4737</v>
      </c>
      <c r="D3927" s="1" t="s">
        <v>4741</v>
      </c>
      <c r="E3927" s="1" t="s">
        <v>906</v>
      </c>
    </row>
    <row r="3928" customFormat="false" ht="16" hidden="false" customHeight="false" outlineLevel="0" collapsed="false">
      <c r="A3928" s="1" t="s">
        <v>5974</v>
      </c>
      <c r="B3928" s="1" t="s">
        <v>2470</v>
      </c>
      <c r="C3928" s="1" t="s">
        <v>4737</v>
      </c>
      <c r="D3928" s="1" t="s">
        <v>4743</v>
      </c>
      <c r="E3928" s="1" t="s">
        <v>906</v>
      </c>
    </row>
    <row r="3929" customFormat="false" ht="16" hidden="false" customHeight="false" outlineLevel="0" collapsed="false">
      <c r="A3929" s="1" t="s">
        <v>5975</v>
      </c>
      <c r="B3929" s="1" t="s">
        <v>2470</v>
      </c>
      <c r="C3929" s="1" t="s">
        <v>4737</v>
      </c>
      <c r="D3929" s="1" t="s">
        <v>4745</v>
      </c>
      <c r="E3929" s="1" t="s">
        <v>906</v>
      </c>
    </row>
    <row r="3930" customFormat="false" ht="16" hidden="false" customHeight="false" outlineLevel="0" collapsed="false">
      <c r="A3930" s="1" t="s">
        <v>5976</v>
      </c>
      <c r="B3930" s="1" t="s">
        <v>2470</v>
      </c>
      <c r="C3930" s="1" t="s">
        <v>4737</v>
      </c>
      <c r="D3930" s="1" t="s">
        <v>770</v>
      </c>
      <c r="E3930" s="1" t="s">
        <v>906</v>
      </c>
    </row>
    <row r="3931" customFormat="false" ht="16" hidden="false" customHeight="false" outlineLevel="0" collapsed="false">
      <c r="A3931" s="1" t="s">
        <v>5977</v>
      </c>
      <c r="B3931" s="1" t="s">
        <v>91</v>
      </c>
      <c r="C3931" s="1" t="s">
        <v>4737</v>
      </c>
      <c r="D3931" s="1" t="s">
        <v>4739</v>
      </c>
      <c r="E3931" s="1" t="s">
        <v>7</v>
      </c>
    </row>
    <row r="3932" customFormat="false" ht="16" hidden="false" customHeight="false" outlineLevel="0" collapsed="false">
      <c r="A3932" s="1" t="s">
        <v>5978</v>
      </c>
      <c r="B3932" s="1" t="s">
        <v>91</v>
      </c>
      <c r="C3932" s="1" t="s">
        <v>4737</v>
      </c>
      <c r="D3932" s="1" t="s">
        <v>4741</v>
      </c>
      <c r="E3932" s="1" t="s">
        <v>7</v>
      </c>
    </row>
    <row r="3933" customFormat="false" ht="16" hidden="false" customHeight="false" outlineLevel="0" collapsed="false">
      <c r="A3933" s="1" t="s">
        <v>5979</v>
      </c>
      <c r="B3933" s="1" t="s">
        <v>91</v>
      </c>
      <c r="C3933" s="1" t="s">
        <v>4737</v>
      </c>
      <c r="D3933" s="1" t="s">
        <v>4743</v>
      </c>
      <c r="E3933" s="1" t="s">
        <v>7</v>
      </c>
    </row>
    <row r="3934" customFormat="false" ht="16" hidden="false" customHeight="false" outlineLevel="0" collapsed="false">
      <c r="A3934" s="1" t="s">
        <v>5980</v>
      </c>
      <c r="B3934" s="1" t="s">
        <v>91</v>
      </c>
      <c r="C3934" s="1" t="s">
        <v>4737</v>
      </c>
      <c r="D3934" s="1" t="s">
        <v>4745</v>
      </c>
      <c r="E3934" s="1" t="s">
        <v>7</v>
      </c>
    </row>
    <row r="3935" customFormat="false" ht="16" hidden="false" customHeight="false" outlineLevel="0" collapsed="false">
      <c r="A3935" s="1" t="s">
        <v>5981</v>
      </c>
      <c r="B3935" s="1" t="s">
        <v>91</v>
      </c>
      <c r="C3935" s="1" t="s">
        <v>4737</v>
      </c>
      <c r="D3935" s="1" t="s">
        <v>770</v>
      </c>
      <c r="E3935" s="1" t="s">
        <v>7</v>
      </c>
    </row>
    <row r="3936" customFormat="false" ht="16" hidden="false" customHeight="false" outlineLevel="0" collapsed="false">
      <c r="A3936" s="1" t="s">
        <v>5982</v>
      </c>
      <c r="B3936" s="1" t="s">
        <v>2489</v>
      </c>
      <c r="C3936" s="1" t="s">
        <v>4737</v>
      </c>
      <c r="D3936" s="1" t="s">
        <v>4739</v>
      </c>
      <c r="E3936" s="1" t="s">
        <v>906</v>
      </c>
    </row>
    <row r="3937" customFormat="false" ht="16" hidden="false" customHeight="false" outlineLevel="0" collapsed="false">
      <c r="A3937" s="1" t="s">
        <v>5983</v>
      </c>
      <c r="B3937" s="1" t="s">
        <v>2489</v>
      </c>
      <c r="C3937" s="1" t="s">
        <v>4737</v>
      </c>
      <c r="D3937" s="1" t="s">
        <v>4741</v>
      </c>
      <c r="E3937" s="1" t="s">
        <v>906</v>
      </c>
    </row>
    <row r="3938" customFormat="false" ht="16" hidden="false" customHeight="false" outlineLevel="0" collapsed="false">
      <c r="A3938" s="1" t="s">
        <v>5984</v>
      </c>
      <c r="B3938" s="1" t="s">
        <v>2489</v>
      </c>
      <c r="C3938" s="1" t="s">
        <v>4737</v>
      </c>
      <c r="D3938" s="1" t="s">
        <v>4743</v>
      </c>
      <c r="E3938" s="1" t="s">
        <v>906</v>
      </c>
    </row>
    <row r="3939" customFormat="false" ht="16" hidden="false" customHeight="false" outlineLevel="0" collapsed="false">
      <c r="A3939" s="1" t="s">
        <v>5985</v>
      </c>
      <c r="B3939" s="1" t="s">
        <v>2489</v>
      </c>
      <c r="C3939" s="1" t="s">
        <v>4737</v>
      </c>
      <c r="D3939" s="1" t="s">
        <v>4745</v>
      </c>
      <c r="E3939" s="1" t="s">
        <v>906</v>
      </c>
    </row>
    <row r="3940" customFormat="false" ht="16" hidden="false" customHeight="false" outlineLevel="0" collapsed="false">
      <c r="A3940" s="1" t="s">
        <v>5986</v>
      </c>
      <c r="B3940" s="1" t="s">
        <v>2489</v>
      </c>
      <c r="C3940" s="1" t="s">
        <v>4737</v>
      </c>
      <c r="D3940" s="1" t="s">
        <v>770</v>
      </c>
      <c r="E3940" s="1" t="s">
        <v>906</v>
      </c>
    </row>
    <row r="3941" customFormat="false" ht="16" hidden="false" customHeight="false" outlineLevel="0" collapsed="false">
      <c r="A3941" s="1" t="s">
        <v>5987</v>
      </c>
      <c r="B3941" s="1" t="s">
        <v>2495</v>
      </c>
      <c r="C3941" s="1" t="s">
        <v>4737</v>
      </c>
      <c r="D3941" s="1" t="s">
        <v>4739</v>
      </c>
      <c r="E3941" s="1" t="s">
        <v>906</v>
      </c>
    </row>
    <row r="3942" customFormat="false" ht="16" hidden="false" customHeight="false" outlineLevel="0" collapsed="false">
      <c r="A3942" s="1" t="s">
        <v>5988</v>
      </c>
      <c r="B3942" s="1" t="s">
        <v>2495</v>
      </c>
      <c r="C3942" s="1" t="s">
        <v>4737</v>
      </c>
      <c r="D3942" s="1" t="s">
        <v>4741</v>
      </c>
      <c r="E3942" s="1" t="s">
        <v>906</v>
      </c>
    </row>
    <row r="3943" customFormat="false" ht="16" hidden="false" customHeight="false" outlineLevel="0" collapsed="false">
      <c r="A3943" s="1" t="s">
        <v>5989</v>
      </c>
      <c r="B3943" s="1" t="s">
        <v>2495</v>
      </c>
      <c r="C3943" s="1" t="s">
        <v>4737</v>
      </c>
      <c r="D3943" s="1" t="s">
        <v>4743</v>
      </c>
      <c r="E3943" s="1" t="s">
        <v>906</v>
      </c>
    </row>
    <row r="3944" customFormat="false" ht="16" hidden="false" customHeight="false" outlineLevel="0" collapsed="false">
      <c r="A3944" s="1" t="s">
        <v>5990</v>
      </c>
      <c r="B3944" s="1" t="s">
        <v>2495</v>
      </c>
      <c r="C3944" s="1" t="s">
        <v>4737</v>
      </c>
      <c r="D3944" s="1" t="s">
        <v>4745</v>
      </c>
      <c r="E3944" s="1" t="s">
        <v>906</v>
      </c>
    </row>
    <row r="3945" customFormat="false" ht="16" hidden="false" customHeight="false" outlineLevel="0" collapsed="false">
      <c r="A3945" s="1" t="s">
        <v>5991</v>
      </c>
      <c r="B3945" s="1" t="s">
        <v>2495</v>
      </c>
      <c r="C3945" s="1" t="s">
        <v>4737</v>
      </c>
      <c r="D3945" s="1" t="s">
        <v>770</v>
      </c>
      <c r="E3945" s="1" t="s">
        <v>906</v>
      </c>
    </row>
    <row r="3946" customFormat="false" ht="16" hidden="false" customHeight="false" outlineLevel="0" collapsed="false">
      <c r="A3946" s="1" t="s">
        <v>5992</v>
      </c>
      <c r="B3946" s="1" t="s">
        <v>5993</v>
      </c>
      <c r="C3946" s="1" t="s">
        <v>4737</v>
      </c>
      <c r="D3946" s="1" t="s">
        <v>4743</v>
      </c>
      <c r="E3946" s="1" t="s">
        <v>2793</v>
      </c>
    </row>
    <row r="3947" customFormat="false" ht="16" hidden="false" customHeight="false" outlineLevel="0" collapsed="false">
      <c r="A3947" s="1" t="s">
        <v>5994</v>
      </c>
      <c r="B3947" s="1" t="s">
        <v>75</v>
      </c>
      <c r="C3947" s="1" t="s">
        <v>4737</v>
      </c>
      <c r="D3947" s="1" t="s">
        <v>4739</v>
      </c>
      <c r="E3947" s="1" t="s">
        <v>7</v>
      </c>
    </row>
    <row r="3948" customFormat="false" ht="16" hidden="false" customHeight="false" outlineLevel="0" collapsed="false">
      <c r="A3948" s="1" t="s">
        <v>5995</v>
      </c>
      <c r="B3948" s="1" t="s">
        <v>75</v>
      </c>
      <c r="C3948" s="1" t="s">
        <v>4737</v>
      </c>
      <c r="D3948" s="1" t="s">
        <v>4741</v>
      </c>
      <c r="E3948" s="1" t="s">
        <v>7</v>
      </c>
    </row>
    <row r="3949" customFormat="false" ht="16" hidden="false" customHeight="false" outlineLevel="0" collapsed="false">
      <c r="A3949" s="1" t="s">
        <v>5996</v>
      </c>
      <c r="B3949" s="1" t="s">
        <v>75</v>
      </c>
      <c r="C3949" s="1" t="s">
        <v>4737</v>
      </c>
      <c r="D3949" s="1" t="s">
        <v>4743</v>
      </c>
      <c r="E3949" s="1" t="s">
        <v>7</v>
      </c>
    </row>
    <row r="3950" customFormat="false" ht="16" hidden="false" customHeight="false" outlineLevel="0" collapsed="false">
      <c r="A3950" s="1" t="s">
        <v>5997</v>
      </c>
      <c r="B3950" s="1" t="s">
        <v>75</v>
      </c>
      <c r="C3950" s="1" t="s">
        <v>4737</v>
      </c>
      <c r="D3950" s="1" t="s">
        <v>4745</v>
      </c>
      <c r="E3950" s="1" t="s">
        <v>7</v>
      </c>
    </row>
    <row r="3951" customFormat="false" ht="16" hidden="false" customHeight="false" outlineLevel="0" collapsed="false">
      <c r="A3951" s="1" t="s">
        <v>5998</v>
      </c>
      <c r="B3951" s="1" t="s">
        <v>75</v>
      </c>
      <c r="C3951" s="1" t="s">
        <v>4737</v>
      </c>
      <c r="D3951" s="1" t="s">
        <v>770</v>
      </c>
      <c r="E3951" s="1" t="s">
        <v>7</v>
      </c>
    </row>
    <row r="3952" customFormat="false" ht="16" hidden="false" customHeight="false" outlineLevel="0" collapsed="false">
      <c r="A3952" s="1" t="s">
        <v>5999</v>
      </c>
      <c r="B3952" s="1" t="s">
        <v>85</v>
      </c>
      <c r="C3952" s="1" t="s">
        <v>4737</v>
      </c>
      <c r="D3952" s="1" t="s">
        <v>4739</v>
      </c>
      <c r="E3952" s="1" t="s">
        <v>7</v>
      </c>
    </row>
    <row r="3953" customFormat="false" ht="16" hidden="false" customHeight="false" outlineLevel="0" collapsed="false">
      <c r="A3953" s="1" t="s">
        <v>6000</v>
      </c>
      <c r="B3953" s="1" t="s">
        <v>85</v>
      </c>
      <c r="C3953" s="1" t="s">
        <v>4737</v>
      </c>
      <c r="D3953" s="1" t="s">
        <v>4741</v>
      </c>
      <c r="E3953" s="1" t="s">
        <v>7</v>
      </c>
    </row>
    <row r="3954" customFormat="false" ht="16" hidden="false" customHeight="false" outlineLevel="0" collapsed="false">
      <c r="A3954" s="1" t="s">
        <v>6001</v>
      </c>
      <c r="B3954" s="1" t="s">
        <v>85</v>
      </c>
      <c r="C3954" s="1" t="s">
        <v>4737</v>
      </c>
      <c r="D3954" s="1" t="s">
        <v>4743</v>
      </c>
      <c r="E3954" s="1" t="s">
        <v>7</v>
      </c>
    </row>
    <row r="3955" customFormat="false" ht="16" hidden="false" customHeight="false" outlineLevel="0" collapsed="false">
      <c r="A3955" s="1" t="s">
        <v>6002</v>
      </c>
      <c r="B3955" s="1" t="s">
        <v>85</v>
      </c>
      <c r="C3955" s="1" t="s">
        <v>4737</v>
      </c>
      <c r="D3955" s="1" t="s">
        <v>4745</v>
      </c>
      <c r="E3955" s="1" t="s">
        <v>7</v>
      </c>
    </row>
    <row r="3956" customFormat="false" ht="16" hidden="false" customHeight="false" outlineLevel="0" collapsed="false">
      <c r="A3956" s="1" t="s">
        <v>6003</v>
      </c>
      <c r="B3956" s="1" t="s">
        <v>85</v>
      </c>
      <c r="C3956" s="1" t="s">
        <v>4737</v>
      </c>
      <c r="D3956" s="1" t="s">
        <v>770</v>
      </c>
      <c r="E3956" s="1" t="s">
        <v>7</v>
      </c>
    </row>
    <row r="3957" customFormat="false" ht="16" hidden="false" customHeight="false" outlineLevel="0" collapsed="false">
      <c r="A3957" s="1" t="s">
        <v>6004</v>
      </c>
      <c r="B3957" s="1" t="s">
        <v>73</v>
      </c>
      <c r="C3957" s="1" t="s">
        <v>4737</v>
      </c>
      <c r="D3957" s="1" t="s">
        <v>4739</v>
      </c>
      <c r="E3957" s="1" t="s">
        <v>7</v>
      </c>
    </row>
    <row r="3958" customFormat="false" ht="16" hidden="false" customHeight="false" outlineLevel="0" collapsed="false">
      <c r="A3958" s="1" t="s">
        <v>6005</v>
      </c>
      <c r="B3958" s="1" t="s">
        <v>73</v>
      </c>
      <c r="C3958" s="1" t="s">
        <v>4737</v>
      </c>
      <c r="D3958" s="1" t="s">
        <v>4741</v>
      </c>
      <c r="E3958" s="1" t="s">
        <v>7</v>
      </c>
    </row>
    <row r="3959" customFormat="false" ht="16" hidden="false" customHeight="false" outlineLevel="0" collapsed="false">
      <c r="A3959" s="1" t="s">
        <v>6006</v>
      </c>
      <c r="B3959" s="1" t="s">
        <v>73</v>
      </c>
      <c r="C3959" s="1" t="s">
        <v>4737</v>
      </c>
      <c r="D3959" s="1" t="s">
        <v>4743</v>
      </c>
      <c r="E3959" s="1" t="s">
        <v>7</v>
      </c>
    </row>
    <row r="3960" customFormat="false" ht="16" hidden="false" customHeight="false" outlineLevel="0" collapsed="false">
      <c r="A3960" s="1" t="s">
        <v>6007</v>
      </c>
      <c r="B3960" s="1" t="s">
        <v>73</v>
      </c>
      <c r="C3960" s="1" t="s">
        <v>4737</v>
      </c>
      <c r="D3960" s="1" t="s">
        <v>4745</v>
      </c>
      <c r="E3960" s="1" t="s">
        <v>7</v>
      </c>
    </row>
    <row r="3961" customFormat="false" ht="16" hidden="false" customHeight="false" outlineLevel="0" collapsed="false">
      <c r="A3961" s="1" t="s">
        <v>6008</v>
      </c>
      <c r="B3961" s="1" t="s">
        <v>73</v>
      </c>
      <c r="C3961" s="1" t="s">
        <v>4737</v>
      </c>
      <c r="D3961" s="1" t="s">
        <v>770</v>
      </c>
      <c r="E3961" s="1" t="s">
        <v>7</v>
      </c>
    </row>
    <row r="3962" customFormat="false" ht="16" hidden="false" customHeight="false" outlineLevel="0" collapsed="false">
      <c r="A3962" s="1" t="s">
        <v>6009</v>
      </c>
      <c r="B3962" s="1" t="s">
        <v>6010</v>
      </c>
      <c r="C3962" s="1" t="s">
        <v>4737</v>
      </c>
      <c r="D3962" s="1" t="s">
        <v>4745</v>
      </c>
      <c r="E3962" s="1" t="s">
        <v>7</v>
      </c>
    </row>
    <row r="3963" customFormat="false" ht="16" hidden="false" customHeight="false" outlineLevel="0" collapsed="false">
      <c r="A3963" s="1" t="s">
        <v>6011</v>
      </c>
      <c r="B3963" s="1" t="s">
        <v>6012</v>
      </c>
      <c r="C3963" s="1" t="s">
        <v>4737</v>
      </c>
      <c r="D3963" s="1" t="s">
        <v>4739</v>
      </c>
      <c r="E3963" s="1" t="s">
        <v>7</v>
      </c>
    </row>
    <row r="3964" customFormat="false" ht="16" hidden="false" customHeight="false" outlineLevel="0" collapsed="false">
      <c r="A3964" s="1" t="s">
        <v>6013</v>
      </c>
      <c r="B3964" s="1" t="s">
        <v>6012</v>
      </c>
      <c r="C3964" s="1" t="s">
        <v>4737</v>
      </c>
      <c r="D3964" s="1" t="s">
        <v>4741</v>
      </c>
      <c r="E3964" s="1" t="s">
        <v>7</v>
      </c>
    </row>
    <row r="3965" customFormat="false" ht="16" hidden="false" customHeight="false" outlineLevel="0" collapsed="false">
      <c r="A3965" s="1" t="s">
        <v>6014</v>
      </c>
      <c r="B3965" s="1" t="s">
        <v>6012</v>
      </c>
      <c r="C3965" s="1" t="s">
        <v>4737</v>
      </c>
      <c r="D3965" s="1" t="s">
        <v>4743</v>
      </c>
      <c r="E3965" s="1" t="s">
        <v>7</v>
      </c>
    </row>
    <row r="3966" customFormat="false" ht="16" hidden="false" customHeight="false" outlineLevel="0" collapsed="false">
      <c r="A3966" s="1" t="s">
        <v>6015</v>
      </c>
      <c r="B3966" s="1" t="s">
        <v>6012</v>
      </c>
      <c r="C3966" s="1" t="s">
        <v>4737</v>
      </c>
      <c r="D3966" s="1" t="s">
        <v>4745</v>
      </c>
      <c r="E3966" s="1" t="s">
        <v>7</v>
      </c>
    </row>
    <row r="3967" customFormat="false" ht="16" hidden="false" customHeight="false" outlineLevel="0" collapsed="false">
      <c r="A3967" s="1" t="s">
        <v>6016</v>
      </c>
      <c r="B3967" s="1" t="s">
        <v>6012</v>
      </c>
      <c r="C3967" s="1" t="s">
        <v>4737</v>
      </c>
      <c r="D3967" s="1" t="s">
        <v>770</v>
      </c>
      <c r="E3967" s="1" t="s">
        <v>7</v>
      </c>
    </row>
    <row r="3968" customFormat="false" ht="16" hidden="false" customHeight="false" outlineLevel="0" collapsed="false">
      <c r="A3968" s="1" t="s">
        <v>6017</v>
      </c>
      <c r="B3968" s="1" t="s">
        <v>2531</v>
      </c>
      <c r="C3968" s="1" t="s">
        <v>4737</v>
      </c>
      <c r="D3968" s="1" t="s">
        <v>4739</v>
      </c>
      <c r="E3968" s="1" t="s">
        <v>906</v>
      </c>
    </row>
    <row r="3969" customFormat="false" ht="16" hidden="false" customHeight="false" outlineLevel="0" collapsed="false">
      <c r="A3969" s="1" t="s">
        <v>6018</v>
      </c>
      <c r="B3969" s="1" t="s">
        <v>2531</v>
      </c>
      <c r="C3969" s="1" t="s">
        <v>4737</v>
      </c>
      <c r="D3969" s="1" t="s">
        <v>4741</v>
      </c>
      <c r="E3969" s="1" t="s">
        <v>906</v>
      </c>
    </row>
    <row r="3970" customFormat="false" ht="16" hidden="false" customHeight="false" outlineLevel="0" collapsed="false">
      <c r="A3970" s="1" t="s">
        <v>6019</v>
      </c>
      <c r="B3970" s="1" t="s">
        <v>2531</v>
      </c>
      <c r="C3970" s="1" t="s">
        <v>4737</v>
      </c>
      <c r="D3970" s="1" t="s">
        <v>4743</v>
      </c>
      <c r="E3970" s="1" t="s">
        <v>906</v>
      </c>
    </row>
    <row r="3971" customFormat="false" ht="16" hidden="false" customHeight="false" outlineLevel="0" collapsed="false">
      <c r="A3971" s="1" t="s">
        <v>6020</v>
      </c>
      <c r="B3971" s="1" t="s">
        <v>2531</v>
      </c>
      <c r="C3971" s="1" t="s">
        <v>4737</v>
      </c>
      <c r="D3971" s="1" t="s">
        <v>4745</v>
      </c>
      <c r="E3971" s="1" t="s">
        <v>906</v>
      </c>
    </row>
    <row r="3972" customFormat="false" ht="16" hidden="false" customHeight="false" outlineLevel="0" collapsed="false">
      <c r="A3972" s="1" t="s">
        <v>6021</v>
      </c>
      <c r="B3972" s="1" t="s">
        <v>2531</v>
      </c>
      <c r="C3972" s="1" t="s">
        <v>4737</v>
      </c>
      <c r="D3972" s="1" t="s">
        <v>770</v>
      </c>
      <c r="E3972" s="1" t="s">
        <v>906</v>
      </c>
    </row>
    <row r="3973" customFormat="false" ht="16" hidden="false" customHeight="false" outlineLevel="0" collapsed="false">
      <c r="A3973" s="1" t="s">
        <v>6022</v>
      </c>
      <c r="B3973" s="1" t="s">
        <v>23</v>
      </c>
      <c r="C3973" s="1" t="s">
        <v>4737</v>
      </c>
      <c r="D3973" s="1" t="s">
        <v>4739</v>
      </c>
      <c r="E3973" s="1" t="s">
        <v>7</v>
      </c>
    </row>
    <row r="3974" customFormat="false" ht="16" hidden="false" customHeight="false" outlineLevel="0" collapsed="false">
      <c r="A3974" s="1" t="s">
        <v>6023</v>
      </c>
      <c r="B3974" s="1" t="s">
        <v>23</v>
      </c>
      <c r="C3974" s="1" t="s">
        <v>4737</v>
      </c>
      <c r="D3974" s="1" t="s">
        <v>770</v>
      </c>
      <c r="E3974" s="1" t="s">
        <v>7</v>
      </c>
    </row>
    <row r="3975" customFormat="false" ht="16" hidden="false" customHeight="false" outlineLevel="0" collapsed="false">
      <c r="A3975" s="1" t="s">
        <v>6024</v>
      </c>
      <c r="B3975" s="1" t="s">
        <v>2542</v>
      </c>
      <c r="C3975" s="1" t="s">
        <v>4737</v>
      </c>
      <c r="D3975" s="1" t="s">
        <v>4739</v>
      </c>
      <c r="E3975" s="1" t="s">
        <v>7</v>
      </c>
    </row>
    <row r="3976" customFormat="false" ht="16" hidden="false" customHeight="false" outlineLevel="0" collapsed="false">
      <c r="A3976" s="1" t="s">
        <v>6025</v>
      </c>
      <c r="B3976" s="1" t="s">
        <v>2542</v>
      </c>
      <c r="C3976" s="1" t="s">
        <v>4737</v>
      </c>
      <c r="D3976" s="1" t="s">
        <v>4741</v>
      </c>
      <c r="E3976" s="1" t="s">
        <v>7</v>
      </c>
    </row>
    <row r="3977" customFormat="false" ht="16" hidden="false" customHeight="false" outlineLevel="0" collapsed="false">
      <c r="A3977" s="1" t="s">
        <v>6026</v>
      </c>
      <c r="B3977" s="1" t="s">
        <v>2542</v>
      </c>
      <c r="C3977" s="1" t="s">
        <v>4737</v>
      </c>
      <c r="D3977" s="1" t="s">
        <v>4743</v>
      </c>
      <c r="E3977" s="1" t="s">
        <v>7</v>
      </c>
    </row>
    <row r="3978" customFormat="false" ht="16" hidden="false" customHeight="false" outlineLevel="0" collapsed="false">
      <c r="A3978" s="1" t="s">
        <v>6027</v>
      </c>
      <c r="B3978" s="1" t="s">
        <v>2542</v>
      </c>
      <c r="C3978" s="1" t="s">
        <v>4737</v>
      </c>
      <c r="D3978" s="1" t="s">
        <v>4745</v>
      </c>
      <c r="E3978" s="1" t="s">
        <v>7</v>
      </c>
    </row>
    <row r="3979" customFormat="false" ht="16" hidden="false" customHeight="false" outlineLevel="0" collapsed="false">
      <c r="A3979" s="1" t="s">
        <v>6028</v>
      </c>
      <c r="B3979" s="1" t="s">
        <v>2542</v>
      </c>
      <c r="C3979" s="1" t="s">
        <v>4737</v>
      </c>
      <c r="D3979" s="1" t="s">
        <v>770</v>
      </c>
      <c r="E3979" s="1" t="s">
        <v>7</v>
      </c>
    </row>
    <row r="3980" customFormat="false" ht="16" hidden="false" customHeight="false" outlineLevel="0" collapsed="false">
      <c r="A3980" s="1" t="s">
        <v>6029</v>
      </c>
      <c r="B3980" s="1" t="s">
        <v>2554</v>
      </c>
      <c r="C3980" s="1" t="s">
        <v>4737</v>
      </c>
      <c r="D3980" s="1" t="s">
        <v>4739</v>
      </c>
      <c r="E3980" s="1" t="s">
        <v>7</v>
      </c>
    </row>
    <row r="3981" customFormat="false" ht="16" hidden="false" customHeight="false" outlineLevel="0" collapsed="false">
      <c r="A3981" s="1" t="s">
        <v>6030</v>
      </c>
      <c r="B3981" s="1" t="s">
        <v>2554</v>
      </c>
      <c r="C3981" s="1" t="s">
        <v>4737</v>
      </c>
      <c r="D3981" s="1" t="s">
        <v>4741</v>
      </c>
      <c r="E3981" s="1" t="s">
        <v>7</v>
      </c>
    </row>
    <row r="3982" customFormat="false" ht="16" hidden="false" customHeight="false" outlineLevel="0" collapsed="false">
      <c r="A3982" s="1" t="s">
        <v>6031</v>
      </c>
      <c r="B3982" s="1" t="s">
        <v>2554</v>
      </c>
      <c r="C3982" s="1" t="s">
        <v>4737</v>
      </c>
      <c r="D3982" s="1" t="s">
        <v>4743</v>
      </c>
      <c r="E3982" s="1" t="s">
        <v>7</v>
      </c>
    </row>
    <row r="3983" customFormat="false" ht="16" hidden="false" customHeight="false" outlineLevel="0" collapsed="false">
      <c r="A3983" s="1" t="s">
        <v>6032</v>
      </c>
      <c r="B3983" s="1" t="s">
        <v>2554</v>
      </c>
      <c r="C3983" s="1" t="s">
        <v>4737</v>
      </c>
      <c r="D3983" s="1" t="s">
        <v>4745</v>
      </c>
      <c r="E3983" s="1" t="s">
        <v>7</v>
      </c>
    </row>
    <row r="3984" customFormat="false" ht="16" hidden="false" customHeight="false" outlineLevel="0" collapsed="false">
      <c r="A3984" s="1" t="s">
        <v>6033</v>
      </c>
      <c r="B3984" s="1" t="s">
        <v>2554</v>
      </c>
      <c r="C3984" s="1" t="s">
        <v>4737</v>
      </c>
      <c r="D3984" s="1" t="s">
        <v>770</v>
      </c>
      <c r="E3984" s="1" t="s">
        <v>7</v>
      </c>
    </row>
    <row r="3985" customFormat="false" ht="16" hidden="false" customHeight="false" outlineLevel="0" collapsed="false">
      <c r="A3985" s="1" t="s">
        <v>6034</v>
      </c>
      <c r="B3985" s="1" t="s">
        <v>6035</v>
      </c>
      <c r="C3985" s="1" t="s">
        <v>4737</v>
      </c>
      <c r="D3985" s="1" t="s">
        <v>4739</v>
      </c>
      <c r="E3985" s="1" t="s">
        <v>7</v>
      </c>
    </row>
    <row r="3986" customFormat="false" ht="16" hidden="false" customHeight="false" outlineLevel="0" collapsed="false">
      <c r="A3986" s="1" t="s">
        <v>6036</v>
      </c>
      <c r="B3986" s="1" t="s">
        <v>6035</v>
      </c>
      <c r="C3986" s="1" t="s">
        <v>4737</v>
      </c>
      <c r="D3986" s="1" t="s">
        <v>4741</v>
      </c>
      <c r="E3986" s="1" t="s">
        <v>7</v>
      </c>
    </row>
    <row r="3987" customFormat="false" ht="16" hidden="false" customHeight="false" outlineLevel="0" collapsed="false">
      <c r="A3987" s="1" t="s">
        <v>6037</v>
      </c>
      <c r="B3987" s="1" t="s">
        <v>6035</v>
      </c>
      <c r="C3987" s="1" t="s">
        <v>4737</v>
      </c>
      <c r="D3987" s="1" t="s">
        <v>4743</v>
      </c>
      <c r="E3987" s="1" t="s">
        <v>7</v>
      </c>
    </row>
    <row r="3988" customFormat="false" ht="16" hidden="false" customHeight="false" outlineLevel="0" collapsed="false">
      <c r="A3988" s="1" t="s">
        <v>6038</v>
      </c>
      <c r="B3988" s="1" t="s">
        <v>6035</v>
      </c>
      <c r="C3988" s="1" t="s">
        <v>4737</v>
      </c>
      <c r="D3988" s="1" t="s">
        <v>4745</v>
      </c>
      <c r="E3988" s="1" t="s">
        <v>7</v>
      </c>
    </row>
    <row r="3989" customFormat="false" ht="16" hidden="false" customHeight="false" outlineLevel="0" collapsed="false">
      <c r="A3989" s="1" t="s">
        <v>6039</v>
      </c>
      <c r="B3989" s="1" t="s">
        <v>6035</v>
      </c>
      <c r="C3989" s="1" t="s">
        <v>4737</v>
      </c>
      <c r="D3989" s="1" t="s">
        <v>770</v>
      </c>
      <c r="E3989" s="1" t="s">
        <v>7</v>
      </c>
    </row>
    <row r="3990" customFormat="false" ht="16" hidden="false" customHeight="false" outlineLevel="0" collapsed="false">
      <c r="A3990" s="1" t="s">
        <v>6040</v>
      </c>
      <c r="B3990" s="1" t="s">
        <v>6041</v>
      </c>
      <c r="C3990" s="1" t="s">
        <v>4737</v>
      </c>
      <c r="D3990" s="1" t="s">
        <v>4739</v>
      </c>
      <c r="E3990" s="1" t="s">
        <v>906</v>
      </c>
    </row>
    <row r="3991" customFormat="false" ht="16" hidden="false" customHeight="false" outlineLevel="0" collapsed="false">
      <c r="A3991" s="1" t="s">
        <v>6042</v>
      </c>
      <c r="B3991" s="1" t="s">
        <v>6041</v>
      </c>
      <c r="C3991" s="1" t="s">
        <v>4737</v>
      </c>
      <c r="D3991" s="1" t="s">
        <v>4741</v>
      </c>
      <c r="E3991" s="1" t="s">
        <v>906</v>
      </c>
    </row>
    <row r="3992" customFormat="false" ht="16" hidden="false" customHeight="false" outlineLevel="0" collapsed="false">
      <c r="A3992" s="1" t="s">
        <v>6043</v>
      </c>
      <c r="B3992" s="1" t="s">
        <v>6041</v>
      </c>
      <c r="C3992" s="1" t="s">
        <v>4737</v>
      </c>
      <c r="D3992" s="1" t="s">
        <v>4743</v>
      </c>
      <c r="E3992" s="1" t="s">
        <v>906</v>
      </c>
    </row>
    <row r="3993" customFormat="false" ht="16" hidden="false" customHeight="false" outlineLevel="0" collapsed="false">
      <c r="A3993" s="1" t="s">
        <v>6044</v>
      </c>
      <c r="B3993" s="1" t="s">
        <v>6041</v>
      </c>
      <c r="C3993" s="1" t="s">
        <v>4737</v>
      </c>
      <c r="D3993" s="1" t="s">
        <v>4745</v>
      </c>
      <c r="E3993" s="1" t="s">
        <v>906</v>
      </c>
    </row>
    <row r="3994" customFormat="false" ht="16" hidden="false" customHeight="false" outlineLevel="0" collapsed="false">
      <c r="A3994" s="1" t="s">
        <v>6045</v>
      </c>
      <c r="B3994" s="1" t="s">
        <v>6041</v>
      </c>
      <c r="C3994" s="1" t="s">
        <v>4737</v>
      </c>
      <c r="D3994" s="1" t="s">
        <v>770</v>
      </c>
      <c r="E3994" s="1" t="s">
        <v>906</v>
      </c>
    </row>
    <row r="3995" customFormat="false" ht="16" hidden="false" customHeight="false" outlineLevel="0" collapsed="false">
      <c r="A3995" s="1" t="s">
        <v>6046</v>
      </c>
      <c r="B3995" s="1" t="s">
        <v>6047</v>
      </c>
      <c r="C3995" s="1" t="s">
        <v>4737</v>
      </c>
      <c r="D3995" s="1" t="s">
        <v>4739</v>
      </c>
      <c r="E3995" s="1" t="s">
        <v>7</v>
      </c>
    </row>
    <row r="3996" customFormat="false" ht="16" hidden="false" customHeight="false" outlineLevel="0" collapsed="false">
      <c r="A3996" s="1" t="s">
        <v>6048</v>
      </c>
      <c r="B3996" s="1" t="s">
        <v>6047</v>
      </c>
      <c r="C3996" s="1" t="s">
        <v>4737</v>
      </c>
      <c r="D3996" s="1" t="s">
        <v>4741</v>
      </c>
      <c r="E3996" s="1" t="s">
        <v>7</v>
      </c>
    </row>
    <row r="3997" customFormat="false" ht="16" hidden="false" customHeight="false" outlineLevel="0" collapsed="false">
      <c r="A3997" s="1" t="s">
        <v>6049</v>
      </c>
      <c r="B3997" s="1" t="s">
        <v>6047</v>
      </c>
      <c r="C3997" s="1" t="s">
        <v>4737</v>
      </c>
      <c r="D3997" s="1" t="s">
        <v>4743</v>
      </c>
      <c r="E3997" s="1" t="s">
        <v>7</v>
      </c>
    </row>
    <row r="3998" customFormat="false" ht="16" hidden="false" customHeight="false" outlineLevel="0" collapsed="false">
      <c r="A3998" s="1" t="s">
        <v>6050</v>
      </c>
      <c r="B3998" s="1" t="s">
        <v>6047</v>
      </c>
      <c r="C3998" s="1" t="s">
        <v>4737</v>
      </c>
      <c r="D3998" s="1" t="s">
        <v>4745</v>
      </c>
      <c r="E3998" s="1" t="s">
        <v>7</v>
      </c>
    </row>
    <row r="3999" customFormat="false" ht="16" hidden="false" customHeight="false" outlineLevel="0" collapsed="false">
      <c r="A3999" s="1" t="s">
        <v>6051</v>
      </c>
      <c r="B3999" s="1" t="s">
        <v>6047</v>
      </c>
      <c r="C3999" s="1" t="s">
        <v>4737</v>
      </c>
      <c r="D3999" s="1" t="s">
        <v>770</v>
      </c>
      <c r="E3999" s="1" t="s">
        <v>7</v>
      </c>
    </row>
    <row r="4000" customFormat="false" ht="16" hidden="false" customHeight="false" outlineLevel="0" collapsed="false">
      <c r="A4000" s="1" t="s">
        <v>6052</v>
      </c>
      <c r="B4000" s="1" t="s">
        <v>93</v>
      </c>
      <c r="C4000" s="1" t="s">
        <v>4737</v>
      </c>
      <c r="D4000" s="1" t="s">
        <v>4739</v>
      </c>
      <c r="E4000" s="1" t="s">
        <v>7</v>
      </c>
    </row>
    <row r="4001" customFormat="false" ht="16" hidden="false" customHeight="false" outlineLevel="0" collapsed="false">
      <c r="A4001" s="1" t="s">
        <v>6053</v>
      </c>
      <c r="B4001" s="1" t="s">
        <v>93</v>
      </c>
      <c r="C4001" s="1" t="s">
        <v>4737</v>
      </c>
      <c r="D4001" s="1" t="s">
        <v>4741</v>
      </c>
      <c r="E4001" s="1" t="s">
        <v>7</v>
      </c>
    </row>
    <row r="4002" customFormat="false" ht="16" hidden="false" customHeight="false" outlineLevel="0" collapsed="false">
      <c r="A4002" s="1" t="s">
        <v>6054</v>
      </c>
      <c r="B4002" s="1" t="s">
        <v>93</v>
      </c>
      <c r="C4002" s="1" t="s">
        <v>4737</v>
      </c>
      <c r="D4002" s="1" t="s">
        <v>4743</v>
      </c>
      <c r="E4002" s="1" t="s">
        <v>7</v>
      </c>
    </row>
    <row r="4003" customFormat="false" ht="16" hidden="false" customHeight="false" outlineLevel="0" collapsed="false">
      <c r="A4003" s="1" t="s">
        <v>6055</v>
      </c>
      <c r="B4003" s="1" t="s">
        <v>93</v>
      </c>
      <c r="C4003" s="1" t="s">
        <v>4737</v>
      </c>
      <c r="D4003" s="1" t="s">
        <v>4745</v>
      </c>
      <c r="E4003" s="1" t="s">
        <v>7</v>
      </c>
    </row>
    <row r="4004" customFormat="false" ht="16" hidden="false" customHeight="false" outlineLevel="0" collapsed="false">
      <c r="A4004" s="1" t="s">
        <v>6056</v>
      </c>
      <c r="B4004" s="1" t="s">
        <v>93</v>
      </c>
      <c r="C4004" s="1" t="s">
        <v>4737</v>
      </c>
      <c r="D4004" s="1" t="s">
        <v>770</v>
      </c>
      <c r="E4004" s="1" t="s">
        <v>7</v>
      </c>
    </row>
    <row r="4005" customFormat="false" ht="16" hidden="false" customHeight="false" outlineLevel="0" collapsed="false">
      <c r="A4005" s="1" t="s">
        <v>6057</v>
      </c>
      <c r="B4005" s="1" t="s">
        <v>2589</v>
      </c>
      <c r="C4005" s="1" t="s">
        <v>4737</v>
      </c>
      <c r="D4005" s="1" t="s">
        <v>4739</v>
      </c>
      <c r="E4005" s="1" t="s">
        <v>906</v>
      </c>
    </row>
    <row r="4006" customFormat="false" ht="16" hidden="false" customHeight="false" outlineLevel="0" collapsed="false">
      <c r="A4006" s="1" t="s">
        <v>6058</v>
      </c>
      <c r="B4006" s="1" t="s">
        <v>2589</v>
      </c>
      <c r="C4006" s="1" t="s">
        <v>4737</v>
      </c>
      <c r="D4006" s="1" t="s">
        <v>4741</v>
      </c>
      <c r="E4006" s="1" t="s">
        <v>906</v>
      </c>
    </row>
    <row r="4007" customFormat="false" ht="16" hidden="false" customHeight="false" outlineLevel="0" collapsed="false">
      <c r="A4007" s="1" t="s">
        <v>6059</v>
      </c>
      <c r="B4007" s="1" t="s">
        <v>2589</v>
      </c>
      <c r="C4007" s="1" t="s">
        <v>4737</v>
      </c>
      <c r="D4007" s="1" t="s">
        <v>4743</v>
      </c>
      <c r="E4007" s="1" t="s">
        <v>906</v>
      </c>
    </row>
    <row r="4008" customFormat="false" ht="16" hidden="false" customHeight="false" outlineLevel="0" collapsed="false">
      <c r="A4008" s="1" t="s">
        <v>6060</v>
      </c>
      <c r="B4008" s="1" t="s">
        <v>2589</v>
      </c>
      <c r="C4008" s="1" t="s">
        <v>4737</v>
      </c>
      <c r="D4008" s="1" t="s">
        <v>4745</v>
      </c>
      <c r="E4008" s="1" t="s">
        <v>906</v>
      </c>
    </row>
    <row r="4009" customFormat="false" ht="16" hidden="false" customHeight="false" outlineLevel="0" collapsed="false">
      <c r="A4009" s="1" t="s">
        <v>6061</v>
      </c>
      <c r="B4009" s="1" t="s">
        <v>2589</v>
      </c>
      <c r="C4009" s="1" t="s">
        <v>4737</v>
      </c>
      <c r="D4009" s="1" t="s">
        <v>770</v>
      </c>
      <c r="E4009" s="1" t="s">
        <v>906</v>
      </c>
    </row>
    <row r="4010" customFormat="false" ht="16" hidden="false" customHeight="false" outlineLevel="0" collapsed="false">
      <c r="A4010" s="1" t="s">
        <v>6062</v>
      </c>
      <c r="B4010" s="1" t="s">
        <v>2595</v>
      </c>
      <c r="C4010" s="1" t="s">
        <v>4737</v>
      </c>
      <c r="D4010" s="1" t="s">
        <v>4739</v>
      </c>
      <c r="E4010" s="1" t="s">
        <v>906</v>
      </c>
    </row>
    <row r="4011" customFormat="false" ht="16" hidden="false" customHeight="false" outlineLevel="0" collapsed="false">
      <c r="A4011" s="1" t="s">
        <v>6063</v>
      </c>
      <c r="B4011" s="1" t="s">
        <v>2595</v>
      </c>
      <c r="C4011" s="1" t="s">
        <v>4737</v>
      </c>
      <c r="D4011" s="1" t="s">
        <v>4741</v>
      </c>
      <c r="E4011" s="1" t="s">
        <v>906</v>
      </c>
    </row>
    <row r="4012" customFormat="false" ht="16" hidden="false" customHeight="false" outlineLevel="0" collapsed="false">
      <c r="A4012" s="1" t="s">
        <v>6064</v>
      </c>
      <c r="B4012" s="1" t="s">
        <v>2595</v>
      </c>
      <c r="C4012" s="1" t="s">
        <v>4737</v>
      </c>
      <c r="D4012" s="1" t="s">
        <v>4743</v>
      </c>
      <c r="E4012" s="1" t="s">
        <v>906</v>
      </c>
    </row>
    <row r="4013" customFormat="false" ht="16" hidden="false" customHeight="false" outlineLevel="0" collapsed="false">
      <c r="A4013" s="1" t="s">
        <v>6065</v>
      </c>
      <c r="B4013" s="1" t="s">
        <v>2595</v>
      </c>
      <c r="C4013" s="1" t="s">
        <v>4737</v>
      </c>
      <c r="D4013" s="1" t="s">
        <v>4745</v>
      </c>
      <c r="E4013" s="1" t="s">
        <v>906</v>
      </c>
    </row>
    <row r="4014" customFormat="false" ht="16" hidden="false" customHeight="false" outlineLevel="0" collapsed="false">
      <c r="A4014" s="1" t="s">
        <v>6066</v>
      </c>
      <c r="B4014" s="1" t="s">
        <v>2595</v>
      </c>
      <c r="C4014" s="1" t="s">
        <v>4737</v>
      </c>
      <c r="D4014" s="1" t="s">
        <v>770</v>
      </c>
      <c r="E4014" s="1" t="s">
        <v>906</v>
      </c>
    </row>
    <row r="4015" customFormat="false" ht="16" hidden="false" customHeight="false" outlineLevel="0" collapsed="false">
      <c r="A4015" s="1" t="s">
        <v>6067</v>
      </c>
      <c r="B4015" s="1" t="s">
        <v>2601</v>
      </c>
      <c r="C4015" s="1" t="s">
        <v>4737</v>
      </c>
      <c r="D4015" s="1" t="s">
        <v>4739</v>
      </c>
      <c r="E4015" s="1" t="s">
        <v>7</v>
      </c>
    </row>
    <row r="4016" customFormat="false" ht="16" hidden="false" customHeight="false" outlineLevel="0" collapsed="false">
      <c r="A4016" s="1" t="s">
        <v>6068</v>
      </c>
      <c r="B4016" s="1" t="s">
        <v>2601</v>
      </c>
      <c r="C4016" s="1" t="s">
        <v>4737</v>
      </c>
      <c r="D4016" s="1" t="s">
        <v>4741</v>
      </c>
      <c r="E4016" s="1" t="s">
        <v>7</v>
      </c>
    </row>
    <row r="4017" customFormat="false" ht="16" hidden="false" customHeight="false" outlineLevel="0" collapsed="false">
      <c r="A4017" s="1" t="s">
        <v>6069</v>
      </c>
      <c r="B4017" s="1" t="s">
        <v>2601</v>
      </c>
      <c r="C4017" s="1" t="s">
        <v>4737</v>
      </c>
      <c r="D4017" s="1" t="s">
        <v>4743</v>
      </c>
      <c r="E4017" s="1" t="s">
        <v>7</v>
      </c>
    </row>
    <row r="4018" customFormat="false" ht="16" hidden="false" customHeight="false" outlineLevel="0" collapsed="false">
      <c r="A4018" s="1" t="s">
        <v>6070</v>
      </c>
      <c r="B4018" s="1" t="s">
        <v>2601</v>
      </c>
      <c r="C4018" s="1" t="s">
        <v>4737</v>
      </c>
      <c r="D4018" s="1" t="s">
        <v>4745</v>
      </c>
      <c r="E4018" s="1" t="s">
        <v>7</v>
      </c>
    </row>
    <row r="4019" customFormat="false" ht="16" hidden="false" customHeight="false" outlineLevel="0" collapsed="false">
      <c r="A4019" s="1" t="s">
        <v>6071</v>
      </c>
      <c r="B4019" s="1" t="s">
        <v>2601</v>
      </c>
      <c r="C4019" s="1" t="s">
        <v>4737</v>
      </c>
      <c r="D4019" s="1" t="s">
        <v>770</v>
      </c>
      <c r="E4019" s="1" t="s">
        <v>7</v>
      </c>
    </row>
    <row r="4020" customFormat="false" ht="16" hidden="false" customHeight="false" outlineLevel="0" collapsed="false">
      <c r="A4020" s="1" t="s">
        <v>6072</v>
      </c>
      <c r="B4020" s="1" t="s">
        <v>2607</v>
      </c>
      <c r="C4020" s="1" t="s">
        <v>4737</v>
      </c>
      <c r="D4020" s="1" t="s">
        <v>4739</v>
      </c>
      <c r="E4020" s="1" t="s">
        <v>7</v>
      </c>
    </row>
    <row r="4021" customFormat="false" ht="16" hidden="false" customHeight="false" outlineLevel="0" collapsed="false">
      <c r="A4021" s="1" t="s">
        <v>6073</v>
      </c>
      <c r="B4021" s="1" t="s">
        <v>2607</v>
      </c>
      <c r="C4021" s="1" t="s">
        <v>4737</v>
      </c>
      <c r="D4021" s="1" t="s">
        <v>4741</v>
      </c>
      <c r="E4021" s="1" t="s">
        <v>7</v>
      </c>
    </row>
    <row r="4022" customFormat="false" ht="16" hidden="false" customHeight="false" outlineLevel="0" collapsed="false">
      <c r="A4022" s="1" t="s">
        <v>6074</v>
      </c>
      <c r="B4022" s="1" t="s">
        <v>2607</v>
      </c>
      <c r="C4022" s="1" t="s">
        <v>4737</v>
      </c>
      <c r="D4022" s="1" t="s">
        <v>4743</v>
      </c>
      <c r="E4022" s="1" t="s">
        <v>7</v>
      </c>
    </row>
    <row r="4023" customFormat="false" ht="16" hidden="false" customHeight="false" outlineLevel="0" collapsed="false">
      <c r="A4023" s="1" t="s">
        <v>6075</v>
      </c>
      <c r="B4023" s="1" t="s">
        <v>2607</v>
      </c>
      <c r="C4023" s="1" t="s">
        <v>4737</v>
      </c>
      <c r="D4023" s="1" t="s">
        <v>4745</v>
      </c>
      <c r="E4023" s="1" t="s">
        <v>7</v>
      </c>
    </row>
    <row r="4024" customFormat="false" ht="16" hidden="false" customHeight="false" outlineLevel="0" collapsed="false">
      <c r="A4024" s="1" t="s">
        <v>6076</v>
      </c>
      <c r="B4024" s="1" t="s">
        <v>2607</v>
      </c>
      <c r="C4024" s="1" t="s">
        <v>4737</v>
      </c>
      <c r="D4024" s="1" t="s">
        <v>770</v>
      </c>
      <c r="E4024" s="1" t="s">
        <v>7</v>
      </c>
    </row>
    <row r="4025" customFormat="false" ht="16" hidden="false" customHeight="false" outlineLevel="0" collapsed="false">
      <c r="A4025" s="1" t="s">
        <v>6077</v>
      </c>
      <c r="B4025" s="1" t="s">
        <v>6078</v>
      </c>
      <c r="C4025" s="1" t="s">
        <v>4737</v>
      </c>
      <c r="D4025" s="1" t="s">
        <v>4739</v>
      </c>
      <c r="E4025" s="1" t="s">
        <v>7</v>
      </c>
    </row>
    <row r="4026" customFormat="false" ht="16" hidden="false" customHeight="false" outlineLevel="0" collapsed="false">
      <c r="A4026" s="1" t="s">
        <v>6079</v>
      </c>
      <c r="B4026" s="1" t="s">
        <v>6078</v>
      </c>
      <c r="C4026" s="1" t="s">
        <v>4737</v>
      </c>
      <c r="D4026" s="1" t="s">
        <v>770</v>
      </c>
      <c r="E4026" s="1" t="s">
        <v>7</v>
      </c>
    </row>
    <row r="4027" customFormat="false" ht="16" hidden="false" customHeight="false" outlineLevel="0" collapsed="false">
      <c r="A4027" s="1" t="s">
        <v>6080</v>
      </c>
      <c r="B4027" s="1" t="s">
        <v>6081</v>
      </c>
      <c r="C4027" s="1" t="s">
        <v>4737</v>
      </c>
      <c r="D4027" s="1" t="s">
        <v>4739</v>
      </c>
      <c r="E4027" s="1" t="s">
        <v>7</v>
      </c>
    </row>
    <row r="4028" customFormat="false" ht="16" hidden="false" customHeight="false" outlineLevel="0" collapsed="false">
      <c r="A4028" s="1" t="s">
        <v>6082</v>
      </c>
      <c r="B4028" s="1" t="s">
        <v>6081</v>
      </c>
      <c r="C4028" s="1" t="s">
        <v>4737</v>
      </c>
      <c r="D4028" s="1" t="s">
        <v>4741</v>
      </c>
      <c r="E4028" s="1" t="s">
        <v>7</v>
      </c>
    </row>
    <row r="4029" customFormat="false" ht="16" hidden="false" customHeight="false" outlineLevel="0" collapsed="false">
      <c r="A4029" s="1" t="s">
        <v>6083</v>
      </c>
      <c r="B4029" s="1" t="s">
        <v>6081</v>
      </c>
      <c r="C4029" s="1" t="s">
        <v>4737</v>
      </c>
      <c r="D4029" s="1" t="s">
        <v>4743</v>
      </c>
      <c r="E4029" s="1" t="s">
        <v>7</v>
      </c>
    </row>
    <row r="4030" customFormat="false" ht="16" hidden="false" customHeight="false" outlineLevel="0" collapsed="false">
      <c r="A4030" s="1" t="s">
        <v>6084</v>
      </c>
      <c r="B4030" s="1" t="s">
        <v>6081</v>
      </c>
      <c r="C4030" s="1" t="s">
        <v>4737</v>
      </c>
      <c r="D4030" s="1" t="s">
        <v>4745</v>
      </c>
      <c r="E4030" s="1" t="s">
        <v>7</v>
      </c>
    </row>
    <row r="4031" customFormat="false" ht="16" hidden="false" customHeight="false" outlineLevel="0" collapsed="false">
      <c r="A4031" s="1" t="s">
        <v>6085</v>
      </c>
      <c r="B4031" s="1" t="s">
        <v>6081</v>
      </c>
      <c r="C4031" s="1" t="s">
        <v>4737</v>
      </c>
      <c r="D4031" s="1" t="s">
        <v>770</v>
      </c>
      <c r="E4031" s="1" t="s">
        <v>7</v>
      </c>
    </row>
    <row r="4032" customFormat="false" ht="16" hidden="false" customHeight="false" outlineLevel="0" collapsed="false">
      <c r="A4032" s="1" t="s">
        <v>6086</v>
      </c>
      <c r="B4032" s="1" t="s">
        <v>6087</v>
      </c>
      <c r="C4032" s="1" t="s">
        <v>4737</v>
      </c>
      <c r="D4032" s="1" t="s">
        <v>4739</v>
      </c>
      <c r="E4032" s="1" t="s">
        <v>7</v>
      </c>
    </row>
    <row r="4033" customFormat="false" ht="16" hidden="false" customHeight="false" outlineLevel="0" collapsed="false">
      <c r="A4033" s="1" t="s">
        <v>6088</v>
      </c>
      <c r="B4033" s="1" t="s">
        <v>6087</v>
      </c>
      <c r="C4033" s="1" t="s">
        <v>4737</v>
      </c>
      <c r="D4033" s="1" t="s">
        <v>4741</v>
      </c>
      <c r="E4033" s="1" t="s">
        <v>7</v>
      </c>
    </row>
    <row r="4034" customFormat="false" ht="16" hidden="false" customHeight="false" outlineLevel="0" collapsed="false">
      <c r="A4034" s="1" t="s">
        <v>6089</v>
      </c>
      <c r="B4034" s="1" t="s">
        <v>6087</v>
      </c>
      <c r="C4034" s="1" t="s">
        <v>4737</v>
      </c>
      <c r="D4034" s="1" t="s">
        <v>4743</v>
      </c>
      <c r="E4034" s="1" t="s">
        <v>7</v>
      </c>
    </row>
    <row r="4035" customFormat="false" ht="16" hidden="false" customHeight="false" outlineLevel="0" collapsed="false">
      <c r="A4035" s="1" t="s">
        <v>6090</v>
      </c>
      <c r="B4035" s="1" t="s">
        <v>6087</v>
      </c>
      <c r="C4035" s="1" t="s">
        <v>4737</v>
      </c>
      <c r="D4035" s="1" t="s">
        <v>4745</v>
      </c>
      <c r="E4035" s="1" t="s">
        <v>7</v>
      </c>
    </row>
    <row r="4036" customFormat="false" ht="16" hidden="false" customHeight="false" outlineLevel="0" collapsed="false">
      <c r="A4036" s="1" t="s">
        <v>6091</v>
      </c>
      <c r="B4036" s="1" t="s">
        <v>6087</v>
      </c>
      <c r="C4036" s="1" t="s">
        <v>4737</v>
      </c>
      <c r="D4036" s="1" t="s">
        <v>770</v>
      </c>
      <c r="E4036" s="1" t="s">
        <v>7</v>
      </c>
    </row>
    <row r="4037" customFormat="false" ht="16" hidden="false" customHeight="false" outlineLevel="0" collapsed="false">
      <c r="A4037" s="1" t="s">
        <v>6092</v>
      </c>
      <c r="B4037" s="1" t="s">
        <v>29</v>
      </c>
      <c r="C4037" s="1" t="s">
        <v>4737</v>
      </c>
      <c r="D4037" s="1" t="s">
        <v>4739</v>
      </c>
      <c r="E4037" s="1" t="s">
        <v>7</v>
      </c>
    </row>
    <row r="4038" customFormat="false" ht="16" hidden="false" customHeight="false" outlineLevel="0" collapsed="false">
      <c r="A4038" s="1" t="s">
        <v>6093</v>
      </c>
      <c r="B4038" s="1" t="s">
        <v>29</v>
      </c>
      <c r="C4038" s="1" t="s">
        <v>4737</v>
      </c>
      <c r="D4038" s="1" t="s">
        <v>4741</v>
      </c>
      <c r="E4038" s="1" t="s">
        <v>7</v>
      </c>
    </row>
    <row r="4039" customFormat="false" ht="16" hidden="false" customHeight="false" outlineLevel="0" collapsed="false">
      <c r="A4039" s="1" t="s">
        <v>6094</v>
      </c>
      <c r="B4039" s="1" t="s">
        <v>29</v>
      </c>
      <c r="C4039" s="1" t="s">
        <v>4737</v>
      </c>
      <c r="D4039" s="1" t="s">
        <v>4743</v>
      </c>
      <c r="E4039" s="1" t="s">
        <v>7</v>
      </c>
    </row>
    <row r="4040" customFormat="false" ht="16" hidden="false" customHeight="false" outlineLevel="0" collapsed="false">
      <c r="A4040" s="1" t="s">
        <v>6095</v>
      </c>
      <c r="B4040" s="1" t="s">
        <v>29</v>
      </c>
      <c r="C4040" s="1" t="s">
        <v>4737</v>
      </c>
      <c r="D4040" s="1" t="s">
        <v>4745</v>
      </c>
      <c r="E4040" s="1" t="s">
        <v>7</v>
      </c>
    </row>
    <row r="4041" customFormat="false" ht="16" hidden="false" customHeight="false" outlineLevel="0" collapsed="false">
      <c r="A4041" s="1" t="s">
        <v>6096</v>
      </c>
      <c r="B4041" s="1" t="s">
        <v>29</v>
      </c>
      <c r="C4041" s="1" t="s">
        <v>4737</v>
      </c>
      <c r="D4041" s="1" t="s">
        <v>770</v>
      </c>
      <c r="E4041" s="1" t="s">
        <v>7</v>
      </c>
    </row>
    <row r="4042" customFormat="false" ht="16" hidden="false" customHeight="false" outlineLevel="0" collapsed="false">
      <c r="A4042" s="1" t="s">
        <v>6097</v>
      </c>
      <c r="B4042" s="1" t="s">
        <v>6098</v>
      </c>
      <c r="C4042" s="1" t="s">
        <v>4737</v>
      </c>
      <c r="D4042" s="1" t="s">
        <v>4739</v>
      </c>
      <c r="E4042" s="1" t="s">
        <v>7</v>
      </c>
    </row>
    <row r="4043" customFormat="false" ht="16" hidden="false" customHeight="false" outlineLevel="0" collapsed="false">
      <c r="A4043" s="1" t="s">
        <v>6099</v>
      </c>
      <c r="B4043" s="1" t="s">
        <v>6098</v>
      </c>
      <c r="C4043" s="1" t="s">
        <v>4737</v>
      </c>
      <c r="D4043" s="1" t="s">
        <v>4741</v>
      </c>
      <c r="E4043" s="1" t="s">
        <v>7</v>
      </c>
    </row>
    <row r="4044" customFormat="false" ht="16" hidden="false" customHeight="false" outlineLevel="0" collapsed="false">
      <c r="A4044" s="1" t="s">
        <v>6100</v>
      </c>
      <c r="B4044" s="1" t="s">
        <v>6098</v>
      </c>
      <c r="C4044" s="1" t="s">
        <v>4737</v>
      </c>
      <c r="D4044" s="1" t="s">
        <v>4743</v>
      </c>
      <c r="E4044" s="1" t="s">
        <v>7</v>
      </c>
    </row>
    <row r="4045" customFormat="false" ht="16" hidden="false" customHeight="false" outlineLevel="0" collapsed="false">
      <c r="A4045" s="1" t="s">
        <v>6101</v>
      </c>
      <c r="B4045" s="1" t="s">
        <v>6098</v>
      </c>
      <c r="C4045" s="1" t="s">
        <v>4737</v>
      </c>
      <c r="D4045" s="1" t="s">
        <v>4745</v>
      </c>
      <c r="E4045" s="1" t="s">
        <v>7</v>
      </c>
    </row>
    <row r="4046" customFormat="false" ht="16" hidden="false" customHeight="false" outlineLevel="0" collapsed="false">
      <c r="A4046" s="1" t="s">
        <v>6102</v>
      </c>
      <c r="B4046" s="1" t="s">
        <v>6098</v>
      </c>
      <c r="C4046" s="1" t="s">
        <v>4737</v>
      </c>
      <c r="D4046" s="1" t="s">
        <v>770</v>
      </c>
      <c r="E4046" s="1" t="s">
        <v>7</v>
      </c>
    </row>
    <row r="4047" customFormat="false" ht="16" hidden="false" customHeight="false" outlineLevel="0" collapsed="false">
      <c r="A4047" s="1" t="s">
        <v>6103</v>
      </c>
      <c r="B4047" s="1" t="s">
        <v>6104</v>
      </c>
      <c r="C4047" s="1" t="s">
        <v>4737</v>
      </c>
      <c r="D4047" s="1" t="s">
        <v>4739</v>
      </c>
      <c r="E4047" s="1" t="s">
        <v>7</v>
      </c>
    </row>
    <row r="4048" customFormat="false" ht="16" hidden="false" customHeight="false" outlineLevel="0" collapsed="false">
      <c r="A4048" s="1" t="s">
        <v>6105</v>
      </c>
      <c r="B4048" s="1" t="s">
        <v>6104</v>
      </c>
      <c r="C4048" s="1" t="s">
        <v>4737</v>
      </c>
      <c r="D4048" s="1" t="s">
        <v>4741</v>
      </c>
      <c r="E4048" s="1" t="s">
        <v>7</v>
      </c>
    </row>
    <row r="4049" customFormat="false" ht="16" hidden="false" customHeight="false" outlineLevel="0" collapsed="false">
      <c r="A4049" s="1" t="s">
        <v>6106</v>
      </c>
      <c r="B4049" s="1" t="s">
        <v>6104</v>
      </c>
      <c r="C4049" s="1" t="s">
        <v>4737</v>
      </c>
      <c r="D4049" s="1" t="s">
        <v>4743</v>
      </c>
      <c r="E4049" s="1" t="s">
        <v>7</v>
      </c>
    </row>
    <row r="4050" customFormat="false" ht="16" hidden="false" customHeight="false" outlineLevel="0" collapsed="false">
      <c r="A4050" s="1" t="s">
        <v>6107</v>
      </c>
      <c r="B4050" s="1" t="s">
        <v>6104</v>
      </c>
      <c r="C4050" s="1" t="s">
        <v>4737</v>
      </c>
      <c r="D4050" s="1" t="s">
        <v>4745</v>
      </c>
      <c r="E4050" s="1" t="s">
        <v>7</v>
      </c>
    </row>
    <row r="4051" customFormat="false" ht="16" hidden="false" customHeight="false" outlineLevel="0" collapsed="false">
      <c r="A4051" s="1" t="s">
        <v>6108</v>
      </c>
      <c r="B4051" s="1" t="s">
        <v>6104</v>
      </c>
      <c r="C4051" s="1" t="s">
        <v>4737</v>
      </c>
      <c r="D4051" s="1" t="s">
        <v>770</v>
      </c>
      <c r="E4051" s="1" t="s">
        <v>7</v>
      </c>
    </row>
    <row r="4052" customFormat="false" ht="16" hidden="false" customHeight="false" outlineLevel="0" collapsed="false">
      <c r="A4052" s="1" t="s">
        <v>6109</v>
      </c>
      <c r="B4052" s="1" t="s">
        <v>2641</v>
      </c>
      <c r="C4052" s="1" t="s">
        <v>4737</v>
      </c>
      <c r="D4052" s="1" t="s">
        <v>4739</v>
      </c>
      <c r="E4052" s="1" t="s">
        <v>7</v>
      </c>
    </row>
    <row r="4053" customFormat="false" ht="16" hidden="false" customHeight="false" outlineLevel="0" collapsed="false">
      <c r="A4053" s="1" t="s">
        <v>6110</v>
      </c>
      <c r="B4053" s="1" t="s">
        <v>2641</v>
      </c>
      <c r="C4053" s="1" t="s">
        <v>4737</v>
      </c>
      <c r="D4053" s="1" t="s">
        <v>4745</v>
      </c>
      <c r="E4053" s="1" t="s">
        <v>7</v>
      </c>
    </row>
    <row r="4054" customFormat="false" ht="16" hidden="false" customHeight="false" outlineLevel="0" collapsed="false">
      <c r="A4054" s="1" t="s">
        <v>6111</v>
      </c>
      <c r="B4054" s="1" t="s">
        <v>2643</v>
      </c>
      <c r="C4054" s="1" t="s">
        <v>4737</v>
      </c>
      <c r="D4054" s="1" t="s">
        <v>4739</v>
      </c>
      <c r="E4054" s="1" t="s">
        <v>906</v>
      </c>
    </row>
    <row r="4055" customFormat="false" ht="16" hidden="false" customHeight="false" outlineLevel="0" collapsed="false">
      <c r="A4055" s="1" t="s">
        <v>6112</v>
      </c>
      <c r="B4055" s="1" t="s">
        <v>2643</v>
      </c>
      <c r="C4055" s="1" t="s">
        <v>4737</v>
      </c>
      <c r="D4055" s="1" t="s">
        <v>4741</v>
      </c>
      <c r="E4055" s="1" t="s">
        <v>906</v>
      </c>
    </row>
    <row r="4056" customFormat="false" ht="16" hidden="false" customHeight="false" outlineLevel="0" collapsed="false">
      <c r="A4056" s="1" t="s">
        <v>6113</v>
      </c>
      <c r="B4056" s="1" t="s">
        <v>2643</v>
      </c>
      <c r="C4056" s="1" t="s">
        <v>4737</v>
      </c>
      <c r="D4056" s="1" t="s">
        <v>4743</v>
      </c>
      <c r="E4056" s="1" t="s">
        <v>906</v>
      </c>
    </row>
    <row r="4057" customFormat="false" ht="16" hidden="false" customHeight="false" outlineLevel="0" collapsed="false">
      <c r="A4057" s="1" t="s">
        <v>6114</v>
      </c>
      <c r="B4057" s="1" t="s">
        <v>2643</v>
      </c>
      <c r="C4057" s="1" t="s">
        <v>4737</v>
      </c>
      <c r="D4057" s="1" t="s">
        <v>4745</v>
      </c>
      <c r="E4057" s="1" t="s">
        <v>906</v>
      </c>
    </row>
    <row r="4058" customFormat="false" ht="16" hidden="false" customHeight="false" outlineLevel="0" collapsed="false">
      <c r="A4058" s="1" t="s">
        <v>6115</v>
      </c>
      <c r="B4058" s="1" t="s">
        <v>2643</v>
      </c>
      <c r="C4058" s="1" t="s">
        <v>4737</v>
      </c>
      <c r="D4058" s="1" t="s">
        <v>770</v>
      </c>
      <c r="E4058" s="1" t="s">
        <v>906</v>
      </c>
    </row>
    <row r="4059" customFormat="false" ht="16" hidden="false" customHeight="false" outlineLevel="0" collapsed="false">
      <c r="A4059" s="1" t="s">
        <v>6116</v>
      </c>
      <c r="B4059" s="1" t="s">
        <v>6117</v>
      </c>
      <c r="C4059" s="1" t="s">
        <v>4737</v>
      </c>
      <c r="D4059" s="1" t="s">
        <v>4739</v>
      </c>
      <c r="E4059" s="1" t="s">
        <v>906</v>
      </c>
    </row>
    <row r="4060" customFormat="false" ht="16" hidden="false" customHeight="false" outlineLevel="0" collapsed="false">
      <c r="A4060" s="1" t="s">
        <v>6118</v>
      </c>
      <c r="B4060" s="1" t="s">
        <v>6117</v>
      </c>
      <c r="C4060" s="1" t="s">
        <v>4737</v>
      </c>
      <c r="D4060" s="1" t="s">
        <v>4741</v>
      </c>
      <c r="E4060" s="1" t="s">
        <v>906</v>
      </c>
    </row>
    <row r="4061" customFormat="false" ht="16" hidden="false" customHeight="false" outlineLevel="0" collapsed="false">
      <c r="A4061" s="1" t="s">
        <v>6119</v>
      </c>
      <c r="B4061" s="1" t="s">
        <v>6117</v>
      </c>
      <c r="C4061" s="1" t="s">
        <v>4737</v>
      </c>
      <c r="D4061" s="1" t="s">
        <v>4743</v>
      </c>
      <c r="E4061" s="1" t="s">
        <v>906</v>
      </c>
    </row>
    <row r="4062" customFormat="false" ht="16" hidden="false" customHeight="false" outlineLevel="0" collapsed="false">
      <c r="A4062" s="1" t="s">
        <v>6120</v>
      </c>
      <c r="B4062" s="1" t="s">
        <v>6117</v>
      </c>
      <c r="C4062" s="1" t="s">
        <v>4737</v>
      </c>
      <c r="D4062" s="1" t="s">
        <v>4745</v>
      </c>
      <c r="E4062" s="1" t="s">
        <v>906</v>
      </c>
    </row>
    <row r="4063" customFormat="false" ht="16" hidden="false" customHeight="false" outlineLevel="0" collapsed="false">
      <c r="A4063" s="1" t="s">
        <v>6121</v>
      </c>
      <c r="B4063" s="1" t="s">
        <v>6117</v>
      </c>
      <c r="C4063" s="1" t="s">
        <v>4737</v>
      </c>
      <c r="D4063" s="1" t="s">
        <v>770</v>
      </c>
      <c r="E4063" s="1" t="s">
        <v>906</v>
      </c>
    </row>
    <row r="4064" customFormat="false" ht="16" hidden="false" customHeight="false" outlineLevel="0" collapsed="false">
      <c r="A4064" s="1" t="s">
        <v>6122</v>
      </c>
      <c r="B4064" s="1" t="s">
        <v>2649</v>
      </c>
      <c r="C4064" s="1" t="s">
        <v>4737</v>
      </c>
      <c r="D4064" s="1" t="s">
        <v>4739</v>
      </c>
      <c r="E4064" s="1" t="s">
        <v>7</v>
      </c>
    </row>
    <row r="4065" customFormat="false" ht="16" hidden="false" customHeight="false" outlineLevel="0" collapsed="false">
      <c r="A4065" s="1" t="s">
        <v>6123</v>
      </c>
      <c r="B4065" s="1" t="s">
        <v>2649</v>
      </c>
      <c r="C4065" s="1" t="s">
        <v>4737</v>
      </c>
      <c r="D4065" s="1" t="s">
        <v>4745</v>
      </c>
      <c r="E4065" s="1" t="s">
        <v>7</v>
      </c>
    </row>
    <row r="4066" customFormat="false" ht="16" hidden="false" customHeight="false" outlineLevel="0" collapsed="false">
      <c r="A4066" s="1" t="s">
        <v>6124</v>
      </c>
      <c r="B4066" s="1" t="s">
        <v>2652</v>
      </c>
      <c r="C4066" s="1" t="s">
        <v>4737</v>
      </c>
      <c r="D4066" s="1" t="s">
        <v>4739</v>
      </c>
      <c r="E4066" s="1" t="s">
        <v>906</v>
      </c>
    </row>
    <row r="4067" customFormat="false" ht="16" hidden="false" customHeight="false" outlineLevel="0" collapsed="false">
      <c r="A4067" s="1" t="s">
        <v>6125</v>
      </c>
      <c r="B4067" s="1" t="s">
        <v>2652</v>
      </c>
      <c r="C4067" s="1" t="s">
        <v>4737</v>
      </c>
      <c r="D4067" s="1" t="s">
        <v>4741</v>
      </c>
      <c r="E4067" s="1" t="s">
        <v>906</v>
      </c>
    </row>
    <row r="4068" customFormat="false" ht="16" hidden="false" customHeight="false" outlineLevel="0" collapsed="false">
      <c r="A4068" s="1" t="s">
        <v>6126</v>
      </c>
      <c r="B4068" s="1" t="s">
        <v>2652</v>
      </c>
      <c r="C4068" s="1" t="s">
        <v>4737</v>
      </c>
      <c r="D4068" s="1" t="s">
        <v>4743</v>
      </c>
      <c r="E4068" s="1" t="s">
        <v>906</v>
      </c>
    </row>
    <row r="4069" customFormat="false" ht="16" hidden="false" customHeight="false" outlineLevel="0" collapsed="false">
      <c r="A4069" s="1" t="s">
        <v>6127</v>
      </c>
      <c r="B4069" s="1" t="s">
        <v>2652</v>
      </c>
      <c r="C4069" s="1" t="s">
        <v>4737</v>
      </c>
      <c r="D4069" s="1" t="s">
        <v>4745</v>
      </c>
      <c r="E4069" s="1" t="s">
        <v>906</v>
      </c>
    </row>
    <row r="4070" customFormat="false" ht="16" hidden="false" customHeight="false" outlineLevel="0" collapsed="false">
      <c r="A4070" s="1" t="s">
        <v>6128</v>
      </c>
      <c r="B4070" s="1" t="s">
        <v>2652</v>
      </c>
      <c r="C4070" s="1" t="s">
        <v>4737</v>
      </c>
      <c r="D4070" s="1" t="s">
        <v>770</v>
      </c>
      <c r="E4070" s="1" t="s">
        <v>906</v>
      </c>
    </row>
    <row r="4071" customFormat="false" ht="16" hidden="false" customHeight="false" outlineLevel="0" collapsed="false">
      <c r="A4071" s="1" t="s">
        <v>6129</v>
      </c>
      <c r="B4071" s="1" t="s">
        <v>6130</v>
      </c>
      <c r="C4071" s="1" t="s">
        <v>4737</v>
      </c>
      <c r="D4071" s="1" t="s">
        <v>4739</v>
      </c>
      <c r="E4071" s="1" t="s">
        <v>906</v>
      </c>
    </row>
    <row r="4072" customFormat="false" ht="16" hidden="false" customHeight="false" outlineLevel="0" collapsed="false">
      <c r="A4072" s="1" t="s">
        <v>6131</v>
      </c>
      <c r="B4072" s="1" t="s">
        <v>6130</v>
      </c>
      <c r="C4072" s="1" t="s">
        <v>4737</v>
      </c>
      <c r="D4072" s="1" t="s">
        <v>4741</v>
      </c>
      <c r="E4072" s="1" t="s">
        <v>906</v>
      </c>
    </row>
    <row r="4073" customFormat="false" ht="16" hidden="false" customHeight="false" outlineLevel="0" collapsed="false">
      <c r="A4073" s="1" t="s">
        <v>6132</v>
      </c>
      <c r="B4073" s="1" t="s">
        <v>6130</v>
      </c>
      <c r="C4073" s="1" t="s">
        <v>4737</v>
      </c>
      <c r="D4073" s="1" t="s">
        <v>4743</v>
      </c>
      <c r="E4073" s="1" t="s">
        <v>906</v>
      </c>
    </row>
    <row r="4074" customFormat="false" ht="16" hidden="false" customHeight="false" outlineLevel="0" collapsed="false">
      <c r="A4074" s="1" t="s">
        <v>6133</v>
      </c>
      <c r="B4074" s="1" t="s">
        <v>6130</v>
      </c>
      <c r="C4074" s="1" t="s">
        <v>4737</v>
      </c>
      <c r="D4074" s="1" t="s">
        <v>4745</v>
      </c>
      <c r="E4074" s="1" t="s">
        <v>906</v>
      </c>
    </row>
    <row r="4075" customFormat="false" ht="16" hidden="false" customHeight="false" outlineLevel="0" collapsed="false">
      <c r="A4075" s="1" t="s">
        <v>6134</v>
      </c>
      <c r="B4075" s="1" t="s">
        <v>6130</v>
      </c>
      <c r="C4075" s="1" t="s">
        <v>4737</v>
      </c>
      <c r="D4075" s="1" t="s">
        <v>770</v>
      </c>
      <c r="E4075" s="1" t="s">
        <v>906</v>
      </c>
    </row>
    <row r="4076" customFormat="false" ht="16" hidden="false" customHeight="false" outlineLevel="0" collapsed="false">
      <c r="A4076" s="1" t="s">
        <v>6135</v>
      </c>
      <c r="B4076" s="1" t="s">
        <v>171</v>
      </c>
      <c r="C4076" s="1" t="s">
        <v>4737</v>
      </c>
      <c r="D4076" s="1" t="s">
        <v>4739</v>
      </c>
      <c r="E4076" s="1" t="s">
        <v>7</v>
      </c>
    </row>
    <row r="4077" customFormat="false" ht="16" hidden="false" customHeight="false" outlineLevel="0" collapsed="false">
      <c r="A4077" s="1" t="s">
        <v>6136</v>
      </c>
      <c r="B4077" s="1" t="s">
        <v>171</v>
      </c>
      <c r="C4077" s="1" t="s">
        <v>4737</v>
      </c>
      <c r="D4077" s="1" t="s">
        <v>4741</v>
      </c>
      <c r="E4077" s="1" t="s">
        <v>7</v>
      </c>
    </row>
    <row r="4078" customFormat="false" ht="16" hidden="false" customHeight="false" outlineLevel="0" collapsed="false">
      <c r="A4078" s="1" t="s">
        <v>6137</v>
      </c>
      <c r="B4078" s="1" t="s">
        <v>171</v>
      </c>
      <c r="C4078" s="1" t="s">
        <v>4737</v>
      </c>
      <c r="D4078" s="1" t="s">
        <v>4743</v>
      </c>
      <c r="E4078" s="1" t="s">
        <v>7</v>
      </c>
    </row>
    <row r="4079" customFormat="false" ht="16" hidden="false" customHeight="false" outlineLevel="0" collapsed="false">
      <c r="A4079" s="1" t="s">
        <v>6138</v>
      </c>
      <c r="B4079" s="1" t="s">
        <v>171</v>
      </c>
      <c r="C4079" s="1" t="s">
        <v>4737</v>
      </c>
      <c r="D4079" s="1" t="s">
        <v>4745</v>
      </c>
      <c r="E4079" s="1" t="s">
        <v>7</v>
      </c>
    </row>
    <row r="4080" customFormat="false" ht="16" hidden="false" customHeight="false" outlineLevel="0" collapsed="false">
      <c r="A4080" s="1" t="s">
        <v>6139</v>
      </c>
      <c r="B4080" s="1" t="s">
        <v>171</v>
      </c>
      <c r="C4080" s="1" t="s">
        <v>4737</v>
      </c>
      <c r="D4080" s="1" t="s">
        <v>770</v>
      </c>
      <c r="E4080" s="1" t="s">
        <v>7</v>
      </c>
    </row>
    <row r="4081" customFormat="false" ht="16" hidden="false" customHeight="false" outlineLevel="0" collapsed="false">
      <c r="A4081" s="1" t="s">
        <v>6140</v>
      </c>
      <c r="B4081" s="1" t="s">
        <v>6141</v>
      </c>
      <c r="C4081" s="1" t="s">
        <v>4737</v>
      </c>
      <c r="D4081" s="1" t="s">
        <v>4739</v>
      </c>
      <c r="E4081" s="1" t="s">
        <v>7</v>
      </c>
    </row>
    <row r="4082" customFormat="false" ht="16" hidden="false" customHeight="false" outlineLevel="0" collapsed="false">
      <c r="A4082" s="1" t="s">
        <v>6142</v>
      </c>
      <c r="B4082" s="1" t="s">
        <v>6141</v>
      </c>
      <c r="C4082" s="1" t="s">
        <v>4737</v>
      </c>
      <c r="D4082" s="1" t="s">
        <v>4741</v>
      </c>
      <c r="E4082" s="1" t="s">
        <v>7</v>
      </c>
    </row>
    <row r="4083" customFormat="false" ht="16" hidden="false" customHeight="false" outlineLevel="0" collapsed="false">
      <c r="A4083" s="1" t="s">
        <v>6143</v>
      </c>
      <c r="B4083" s="1" t="s">
        <v>6141</v>
      </c>
      <c r="C4083" s="1" t="s">
        <v>4737</v>
      </c>
      <c r="D4083" s="1" t="s">
        <v>4743</v>
      </c>
      <c r="E4083" s="1" t="s">
        <v>7</v>
      </c>
    </row>
    <row r="4084" customFormat="false" ht="16" hidden="false" customHeight="false" outlineLevel="0" collapsed="false">
      <c r="A4084" s="1" t="s">
        <v>6144</v>
      </c>
      <c r="B4084" s="1" t="s">
        <v>6141</v>
      </c>
      <c r="C4084" s="1" t="s">
        <v>4737</v>
      </c>
      <c r="D4084" s="1" t="s">
        <v>4745</v>
      </c>
      <c r="E4084" s="1" t="s">
        <v>7</v>
      </c>
    </row>
    <row r="4085" customFormat="false" ht="16" hidden="false" customHeight="false" outlineLevel="0" collapsed="false">
      <c r="A4085" s="1" t="s">
        <v>6145</v>
      </c>
      <c r="B4085" s="1" t="s">
        <v>6141</v>
      </c>
      <c r="C4085" s="1" t="s">
        <v>4737</v>
      </c>
      <c r="D4085" s="1" t="s">
        <v>770</v>
      </c>
      <c r="E4085" s="1" t="s">
        <v>7</v>
      </c>
    </row>
    <row r="4086" customFormat="false" ht="16" hidden="false" customHeight="false" outlineLevel="0" collapsed="false">
      <c r="A4086" s="1" t="s">
        <v>6146</v>
      </c>
      <c r="B4086" s="1" t="s">
        <v>2684</v>
      </c>
      <c r="C4086" s="1" t="s">
        <v>4737</v>
      </c>
      <c r="D4086" s="1" t="s">
        <v>4739</v>
      </c>
      <c r="E4086" s="1" t="s">
        <v>906</v>
      </c>
    </row>
    <row r="4087" customFormat="false" ht="16" hidden="false" customHeight="false" outlineLevel="0" collapsed="false">
      <c r="A4087" s="1" t="s">
        <v>6147</v>
      </c>
      <c r="B4087" s="1" t="s">
        <v>2684</v>
      </c>
      <c r="C4087" s="1" t="s">
        <v>4737</v>
      </c>
      <c r="D4087" s="1" t="s">
        <v>4741</v>
      </c>
      <c r="E4087" s="1" t="s">
        <v>906</v>
      </c>
    </row>
    <row r="4088" customFormat="false" ht="16" hidden="false" customHeight="false" outlineLevel="0" collapsed="false">
      <c r="A4088" s="1" t="s">
        <v>6148</v>
      </c>
      <c r="B4088" s="1" t="s">
        <v>2684</v>
      </c>
      <c r="C4088" s="1" t="s">
        <v>4737</v>
      </c>
      <c r="D4088" s="1" t="s">
        <v>4743</v>
      </c>
      <c r="E4088" s="1" t="s">
        <v>906</v>
      </c>
    </row>
    <row r="4089" customFormat="false" ht="16" hidden="false" customHeight="false" outlineLevel="0" collapsed="false">
      <c r="A4089" s="1" t="s">
        <v>6149</v>
      </c>
      <c r="B4089" s="1" t="s">
        <v>2684</v>
      </c>
      <c r="C4089" s="1" t="s">
        <v>4737</v>
      </c>
      <c r="D4089" s="1" t="s">
        <v>4745</v>
      </c>
      <c r="E4089" s="1" t="s">
        <v>906</v>
      </c>
    </row>
    <row r="4090" customFormat="false" ht="16" hidden="false" customHeight="false" outlineLevel="0" collapsed="false">
      <c r="A4090" s="1" t="s">
        <v>6150</v>
      </c>
      <c r="B4090" s="1" t="s">
        <v>2684</v>
      </c>
      <c r="C4090" s="1" t="s">
        <v>4737</v>
      </c>
      <c r="D4090" s="1" t="s">
        <v>770</v>
      </c>
      <c r="E4090" s="1" t="s">
        <v>906</v>
      </c>
    </row>
    <row r="4091" customFormat="false" ht="16" hidden="false" customHeight="false" outlineLevel="0" collapsed="false">
      <c r="A4091" s="1" t="s">
        <v>6151</v>
      </c>
      <c r="B4091" s="1" t="s">
        <v>2690</v>
      </c>
      <c r="C4091" s="1" t="s">
        <v>4737</v>
      </c>
      <c r="D4091" s="1" t="s">
        <v>4739</v>
      </c>
      <c r="E4091" s="1" t="s">
        <v>906</v>
      </c>
    </row>
    <row r="4092" customFormat="false" ht="16" hidden="false" customHeight="false" outlineLevel="0" collapsed="false">
      <c r="A4092" s="1" t="s">
        <v>6152</v>
      </c>
      <c r="B4092" s="1" t="s">
        <v>2690</v>
      </c>
      <c r="C4092" s="1" t="s">
        <v>4737</v>
      </c>
      <c r="D4092" s="1" t="s">
        <v>4741</v>
      </c>
      <c r="E4092" s="1" t="s">
        <v>906</v>
      </c>
    </row>
    <row r="4093" customFormat="false" ht="16" hidden="false" customHeight="false" outlineLevel="0" collapsed="false">
      <c r="A4093" s="1" t="s">
        <v>6153</v>
      </c>
      <c r="B4093" s="1" t="s">
        <v>2690</v>
      </c>
      <c r="C4093" s="1" t="s">
        <v>4737</v>
      </c>
      <c r="D4093" s="1" t="s">
        <v>4743</v>
      </c>
      <c r="E4093" s="1" t="s">
        <v>906</v>
      </c>
    </row>
    <row r="4094" customFormat="false" ht="16" hidden="false" customHeight="false" outlineLevel="0" collapsed="false">
      <c r="A4094" s="1" t="s">
        <v>6154</v>
      </c>
      <c r="B4094" s="1" t="s">
        <v>2690</v>
      </c>
      <c r="C4094" s="1" t="s">
        <v>4737</v>
      </c>
      <c r="D4094" s="1" t="s">
        <v>4745</v>
      </c>
      <c r="E4094" s="1" t="s">
        <v>906</v>
      </c>
    </row>
    <row r="4095" customFormat="false" ht="16" hidden="false" customHeight="false" outlineLevel="0" collapsed="false">
      <c r="A4095" s="1" t="s">
        <v>6155</v>
      </c>
      <c r="B4095" s="1" t="s">
        <v>2690</v>
      </c>
      <c r="C4095" s="1" t="s">
        <v>4737</v>
      </c>
      <c r="D4095" s="1" t="s">
        <v>770</v>
      </c>
      <c r="E4095" s="1" t="s">
        <v>906</v>
      </c>
    </row>
    <row r="4096" customFormat="false" ht="16" hidden="false" customHeight="false" outlineLevel="0" collapsed="false">
      <c r="A4096" s="1" t="s">
        <v>6156</v>
      </c>
      <c r="B4096" s="1" t="s">
        <v>2696</v>
      </c>
      <c r="C4096" s="1" t="s">
        <v>4737</v>
      </c>
      <c r="D4096" s="1" t="s">
        <v>4739</v>
      </c>
      <c r="E4096" s="1" t="s">
        <v>906</v>
      </c>
    </row>
    <row r="4097" customFormat="false" ht="16" hidden="false" customHeight="false" outlineLevel="0" collapsed="false">
      <c r="A4097" s="1" t="s">
        <v>6157</v>
      </c>
      <c r="B4097" s="1" t="s">
        <v>2696</v>
      </c>
      <c r="C4097" s="1" t="s">
        <v>4737</v>
      </c>
      <c r="D4097" s="1" t="s">
        <v>4741</v>
      </c>
      <c r="E4097" s="1" t="s">
        <v>906</v>
      </c>
    </row>
    <row r="4098" customFormat="false" ht="16" hidden="false" customHeight="false" outlineLevel="0" collapsed="false">
      <c r="A4098" s="1" t="s">
        <v>6158</v>
      </c>
      <c r="B4098" s="1" t="s">
        <v>2696</v>
      </c>
      <c r="C4098" s="1" t="s">
        <v>4737</v>
      </c>
      <c r="D4098" s="1" t="s">
        <v>4743</v>
      </c>
      <c r="E4098" s="1" t="s">
        <v>906</v>
      </c>
    </row>
    <row r="4099" customFormat="false" ht="16" hidden="false" customHeight="false" outlineLevel="0" collapsed="false">
      <c r="A4099" s="1" t="s">
        <v>6159</v>
      </c>
      <c r="B4099" s="1" t="s">
        <v>2696</v>
      </c>
      <c r="C4099" s="1" t="s">
        <v>4737</v>
      </c>
      <c r="D4099" s="1" t="s">
        <v>4745</v>
      </c>
      <c r="E4099" s="1" t="s">
        <v>906</v>
      </c>
    </row>
    <row r="4100" customFormat="false" ht="16" hidden="false" customHeight="false" outlineLevel="0" collapsed="false">
      <c r="A4100" s="1" t="s">
        <v>6160</v>
      </c>
      <c r="B4100" s="1" t="s">
        <v>2696</v>
      </c>
      <c r="C4100" s="1" t="s">
        <v>4737</v>
      </c>
      <c r="D4100" s="1" t="s">
        <v>770</v>
      </c>
      <c r="E4100" s="1" t="s">
        <v>906</v>
      </c>
    </row>
    <row r="4101" customFormat="false" ht="16" hidden="false" customHeight="false" outlineLevel="0" collapsed="false">
      <c r="A4101" s="1" t="s">
        <v>6161</v>
      </c>
      <c r="B4101" s="1" t="s">
        <v>2702</v>
      </c>
      <c r="C4101" s="1" t="s">
        <v>4737</v>
      </c>
      <c r="D4101" s="1" t="s">
        <v>4739</v>
      </c>
      <c r="E4101" s="1" t="s">
        <v>906</v>
      </c>
    </row>
    <row r="4102" customFormat="false" ht="16" hidden="false" customHeight="false" outlineLevel="0" collapsed="false">
      <c r="A4102" s="1" t="s">
        <v>6162</v>
      </c>
      <c r="B4102" s="1" t="s">
        <v>2702</v>
      </c>
      <c r="C4102" s="1" t="s">
        <v>4737</v>
      </c>
      <c r="D4102" s="1" t="s">
        <v>4741</v>
      </c>
      <c r="E4102" s="1" t="s">
        <v>906</v>
      </c>
    </row>
    <row r="4103" customFormat="false" ht="16" hidden="false" customHeight="false" outlineLevel="0" collapsed="false">
      <c r="A4103" s="1" t="s">
        <v>6163</v>
      </c>
      <c r="B4103" s="1" t="s">
        <v>2702</v>
      </c>
      <c r="C4103" s="1" t="s">
        <v>4737</v>
      </c>
      <c r="D4103" s="1" t="s">
        <v>4743</v>
      </c>
      <c r="E4103" s="1" t="s">
        <v>906</v>
      </c>
    </row>
    <row r="4104" customFormat="false" ht="16" hidden="false" customHeight="false" outlineLevel="0" collapsed="false">
      <c r="A4104" s="1" t="s">
        <v>6164</v>
      </c>
      <c r="B4104" s="1" t="s">
        <v>2702</v>
      </c>
      <c r="C4104" s="1" t="s">
        <v>4737</v>
      </c>
      <c r="D4104" s="1" t="s">
        <v>4745</v>
      </c>
      <c r="E4104" s="1" t="s">
        <v>906</v>
      </c>
    </row>
    <row r="4105" customFormat="false" ht="16" hidden="false" customHeight="false" outlineLevel="0" collapsed="false">
      <c r="A4105" s="1" t="s">
        <v>6165</v>
      </c>
      <c r="B4105" s="1" t="s">
        <v>2702</v>
      </c>
      <c r="C4105" s="1" t="s">
        <v>4737</v>
      </c>
      <c r="D4105" s="1" t="s">
        <v>770</v>
      </c>
      <c r="E4105" s="1" t="s">
        <v>906</v>
      </c>
    </row>
    <row r="4106" customFormat="false" ht="16" hidden="false" customHeight="false" outlineLevel="0" collapsed="false">
      <c r="A4106" s="1" t="s">
        <v>6166</v>
      </c>
      <c r="B4106" s="1" t="s">
        <v>6167</v>
      </c>
      <c r="C4106" s="1" t="s">
        <v>4737</v>
      </c>
      <c r="D4106" s="1" t="s">
        <v>4739</v>
      </c>
      <c r="E4106" s="1" t="s">
        <v>7</v>
      </c>
    </row>
    <row r="4107" customFormat="false" ht="16" hidden="false" customHeight="false" outlineLevel="0" collapsed="false">
      <c r="A4107" s="1" t="s">
        <v>6168</v>
      </c>
      <c r="B4107" s="1" t="s">
        <v>6167</v>
      </c>
      <c r="C4107" s="1" t="s">
        <v>4737</v>
      </c>
      <c r="D4107" s="1" t="s">
        <v>4741</v>
      </c>
      <c r="E4107" s="1" t="s">
        <v>7</v>
      </c>
    </row>
    <row r="4108" customFormat="false" ht="16" hidden="false" customHeight="false" outlineLevel="0" collapsed="false">
      <c r="A4108" s="1" t="s">
        <v>6169</v>
      </c>
      <c r="B4108" s="1" t="s">
        <v>6167</v>
      </c>
      <c r="C4108" s="1" t="s">
        <v>4737</v>
      </c>
      <c r="D4108" s="1" t="s">
        <v>4743</v>
      </c>
      <c r="E4108" s="1" t="s">
        <v>7</v>
      </c>
    </row>
    <row r="4109" customFormat="false" ht="16" hidden="false" customHeight="false" outlineLevel="0" collapsed="false">
      <c r="A4109" s="1" t="s">
        <v>6170</v>
      </c>
      <c r="B4109" s="1" t="s">
        <v>6167</v>
      </c>
      <c r="C4109" s="1" t="s">
        <v>4737</v>
      </c>
      <c r="D4109" s="1" t="s">
        <v>4745</v>
      </c>
      <c r="E4109" s="1" t="s">
        <v>7</v>
      </c>
    </row>
    <row r="4110" customFormat="false" ht="16" hidden="false" customHeight="false" outlineLevel="0" collapsed="false">
      <c r="A4110" s="1" t="s">
        <v>6171</v>
      </c>
      <c r="B4110" s="1" t="s">
        <v>6167</v>
      </c>
      <c r="C4110" s="1" t="s">
        <v>4737</v>
      </c>
      <c r="D4110" s="1" t="s">
        <v>770</v>
      </c>
      <c r="E4110" s="1" t="s">
        <v>7</v>
      </c>
    </row>
    <row r="4111" customFormat="false" ht="16" hidden="false" customHeight="false" outlineLevel="0" collapsed="false">
      <c r="A4111" s="1" t="s">
        <v>6172</v>
      </c>
      <c r="B4111" s="1" t="s">
        <v>6173</v>
      </c>
      <c r="C4111" s="1" t="s">
        <v>4737</v>
      </c>
      <c r="D4111" s="1" t="s">
        <v>4739</v>
      </c>
      <c r="E4111" s="1" t="s">
        <v>7</v>
      </c>
    </row>
    <row r="4112" customFormat="false" ht="16" hidden="false" customHeight="false" outlineLevel="0" collapsed="false">
      <c r="A4112" s="1" t="s">
        <v>6174</v>
      </c>
      <c r="B4112" s="1" t="s">
        <v>6173</v>
      </c>
      <c r="C4112" s="1" t="s">
        <v>4737</v>
      </c>
      <c r="D4112" s="1" t="s">
        <v>4741</v>
      </c>
      <c r="E4112" s="1" t="s">
        <v>7</v>
      </c>
    </row>
    <row r="4113" customFormat="false" ht="16" hidden="false" customHeight="false" outlineLevel="0" collapsed="false">
      <c r="A4113" s="1" t="s">
        <v>6175</v>
      </c>
      <c r="B4113" s="1" t="s">
        <v>6173</v>
      </c>
      <c r="C4113" s="1" t="s">
        <v>4737</v>
      </c>
      <c r="D4113" s="1" t="s">
        <v>4743</v>
      </c>
      <c r="E4113" s="1" t="s">
        <v>7</v>
      </c>
    </row>
    <row r="4114" customFormat="false" ht="16" hidden="false" customHeight="false" outlineLevel="0" collapsed="false">
      <c r="A4114" s="1" t="s">
        <v>6176</v>
      </c>
      <c r="B4114" s="1" t="s">
        <v>6173</v>
      </c>
      <c r="C4114" s="1" t="s">
        <v>4737</v>
      </c>
      <c r="D4114" s="1" t="s">
        <v>4745</v>
      </c>
      <c r="E4114" s="1" t="s">
        <v>7</v>
      </c>
    </row>
    <row r="4115" customFormat="false" ht="16" hidden="false" customHeight="false" outlineLevel="0" collapsed="false">
      <c r="A4115" s="1" t="s">
        <v>6177</v>
      </c>
      <c r="B4115" s="1" t="s">
        <v>6173</v>
      </c>
      <c r="C4115" s="1" t="s">
        <v>4737</v>
      </c>
      <c r="D4115" s="1" t="s">
        <v>770</v>
      </c>
      <c r="E4115" s="1" t="s">
        <v>7</v>
      </c>
    </row>
    <row r="4116" customFormat="false" ht="16" hidden="false" customHeight="false" outlineLevel="0" collapsed="false">
      <c r="A4116" s="1" t="s">
        <v>6178</v>
      </c>
      <c r="B4116" s="1" t="s">
        <v>2718</v>
      </c>
      <c r="C4116" s="1" t="s">
        <v>4737</v>
      </c>
      <c r="D4116" s="1" t="s">
        <v>4739</v>
      </c>
      <c r="E4116" s="1" t="s">
        <v>7</v>
      </c>
    </row>
    <row r="4117" customFormat="false" ht="16" hidden="false" customHeight="false" outlineLevel="0" collapsed="false">
      <c r="A4117" s="1" t="s">
        <v>6179</v>
      </c>
      <c r="B4117" s="1" t="s">
        <v>2718</v>
      </c>
      <c r="C4117" s="1" t="s">
        <v>4737</v>
      </c>
      <c r="D4117" s="1" t="s">
        <v>4741</v>
      </c>
      <c r="E4117" s="1" t="s">
        <v>7</v>
      </c>
    </row>
    <row r="4118" customFormat="false" ht="16" hidden="false" customHeight="false" outlineLevel="0" collapsed="false">
      <c r="A4118" s="1" t="s">
        <v>6180</v>
      </c>
      <c r="B4118" s="1" t="s">
        <v>2718</v>
      </c>
      <c r="C4118" s="1" t="s">
        <v>4737</v>
      </c>
      <c r="D4118" s="1" t="s">
        <v>4743</v>
      </c>
      <c r="E4118" s="1" t="s">
        <v>7</v>
      </c>
    </row>
    <row r="4119" customFormat="false" ht="16" hidden="false" customHeight="false" outlineLevel="0" collapsed="false">
      <c r="A4119" s="1" t="s">
        <v>6181</v>
      </c>
      <c r="B4119" s="1" t="s">
        <v>2718</v>
      </c>
      <c r="C4119" s="1" t="s">
        <v>4737</v>
      </c>
      <c r="D4119" s="1" t="s">
        <v>4745</v>
      </c>
      <c r="E4119" s="1" t="s">
        <v>7</v>
      </c>
    </row>
    <row r="4120" customFormat="false" ht="16" hidden="false" customHeight="false" outlineLevel="0" collapsed="false">
      <c r="A4120" s="1" t="s">
        <v>6182</v>
      </c>
      <c r="B4120" s="1" t="s">
        <v>2718</v>
      </c>
      <c r="C4120" s="1" t="s">
        <v>4737</v>
      </c>
      <c r="D4120" s="1" t="s">
        <v>770</v>
      </c>
      <c r="E4120" s="1" t="s">
        <v>7</v>
      </c>
    </row>
    <row r="4121" customFormat="false" ht="16" hidden="false" customHeight="false" outlineLevel="0" collapsed="false">
      <c r="A4121" s="1" t="s">
        <v>6183</v>
      </c>
      <c r="B4121" s="1" t="s">
        <v>2724</v>
      </c>
      <c r="C4121" s="1" t="s">
        <v>4737</v>
      </c>
      <c r="D4121" s="1" t="s">
        <v>4739</v>
      </c>
      <c r="E4121" s="1" t="s">
        <v>7</v>
      </c>
    </row>
    <row r="4122" customFormat="false" ht="16" hidden="false" customHeight="false" outlineLevel="0" collapsed="false">
      <c r="A4122" s="1" t="s">
        <v>6184</v>
      </c>
      <c r="B4122" s="1" t="s">
        <v>2724</v>
      </c>
      <c r="C4122" s="1" t="s">
        <v>4737</v>
      </c>
      <c r="D4122" s="1" t="s">
        <v>4741</v>
      </c>
      <c r="E4122" s="1" t="s">
        <v>7</v>
      </c>
    </row>
    <row r="4123" customFormat="false" ht="16" hidden="false" customHeight="false" outlineLevel="0" collapsed="false">
      <c r="A4123" s="1" t="s">
        <v>6185</v>
      </c>
      <c r="B4123" s="1" t="s">
        <v>2724</v>
      </c>
      <c r="C4123" s="1" t="s">
        <v>4737</v>
      </c>
      <c r="D4123" s="1" t="s">
        <v>4743</v>
      </c>
      <c r="E4123" s="1" t="s">
        <v>7</v>
      </c>
    </row>
    <row r="4124" customFormat="false" ht="16" hidden="false" customHeight="false" outlineLevel="0" collapsed="false">
      <c r="A4124" s="1" t="s">
        <v>6186</v>
      </c>
      <c r="B4124" s="1" t="s">
        <v>2724</v>
      </c>
      <c r="C4124" s="1" t="s">
        <v>4737</v>
      </c>
      <c r="D4124" s="1" t="s">
        <v>4745</v>
      </c>
      <c r="E4124" s="1" t="s">
        <v>7</v>
      </c>
    </row>
    <row r="4125" customFormat="false" ht="16" hidden="false" customHeight="false" outlineLevel="0" collapsed="false">
      <c r="A4125" s="1" t="s">
        <v>6187</v>
      </c>
      <c r="B4125" s="1" t="s">
        <v>2724</v>
      </c>
      <c r="C4125" s="1" t="s">
        <v>4737</v>
      </c>
      <c r="D4125" s="1" t="s">
        <v>770</v>
      </c>
      <c r="E4125" s="1" t="s">
        <v>7</v>
      </c>
    </row>
    <row r="4126" customFormat="false" ht="16" hidden="false" customHeight="false" outlineLevel="0" collapsed="false">
      <c r="A4126" s="1" t="s">
        <v>6188</v>
      </c>
      <c r="B4126" s="1" t="s">
        <v>6189</v>
      </c>
      <c r="C4126" s="1" t="s">
        <v>4737</v>
      </c>
      <c r="D4126" s="1" t="s">
        <v>4739</v>
      </c>
      <c r="E4126" s="1" t="s">
        <v>7</v>
      </c>
    </row>
    <row r="4127" customFormat="false" ht="16" hidden="false" customHeight="false" outlineLevel="0" collapsed="false">
      <c r="A4127" s="1" t="s">
        <v>6190</v>
      </c>
      <c r="B4127" s="1" t="s">
        <v>6189</v>
      </c>
      <c r="C4127" s="1" t="s">
        <v>4737</v>
      </c>
      <c r="D4127" s="1" t="s">
        <v>4741</v>
      </c>
      <c r="E4127" s="1" t="s">
        <v>7</v>
      </c>
    </row>
    <row r="4128" customFormat="false" ht="16" hidden="false" customHeight="false" outlineLevel="0" collapsed="false">
      <c r="A4128" s="1" t="s">
        <v>6191</v>
      </c>
      <c r="B4128" s="1" t="s">
        <v>6189</v>
      </c>
      <c r="C4128" s="1" t="s">
        <v>4737</v>
      </c>
      <c r="D4128" s="1" t="s">
        <v>4743</v>
      </c>
      <c r="E4128" s="1" t="s">
        <v>7</v>
      </c>
    </row>
    <row r="4129" customFormat="false" ht="16" hidden="false" customHeight="false" outlineLevel="0" collapsed="false">
      <c r="A4129" s="1" t="s">
        <v>6192</v>
      </c>
      <c r="B4129" s="1" t="s">
        <v>6189</v>
      </c>
      <c r="C4129" s="1" t="s">
        <v>4737</v>
      </c>
      <c r="D4129" s="1" t="s">
        <v>4745</v>
      </c>
      <c r="E4129" s="1" t="s">
        <v>7</v>
      </c>
    </row>
    <row r="4130" customFormat="false" ht="16" hidden="false" customHeight="false" outlineLevel="0" collapsed="false">
      <c r="A4130" s="1" t="s">
        <v>6193</v>
      </c>
      <c r="B4130" s="1" t="s">
        <v>6189</v>
      </c>
      <c r="C4130" s="1" t="s">
        <v>4737</v>
      </c>
      <c r="D4130" s="1" t="s">
        <v>770</v>
      </c>
      <c r="E4130" s="1" t="s">
        <v>7</v>
      </c>
    </row>
    <row r="4131" customFormat="false" ht="16" hidden="false" customHeight="false" outlineLevel="0" collapsed="false">
      <c r="A4131" s="1" t="s">
        <v>6194</v>
      </c>
      <c r="B4131" s="1" t="s">
        <v>2732</v>
      </c>
      <c r="C4131" s="1" t="s">
        <v>4737</v>
      </c>
      <c r="D4131" s="1" t="s">
        <v>4739</v>
      </c>
      <c r="E4131" s="1" t="s">
        <v>7</v>
      </c>
    </row>
    <row r="4132" customFormat="false" ht="16" hidden="false" customHeight="false" outlineLevel="0" collapsed="false">
      <c r="A4132" s="1" t="s">
        <v>6195</v>
      </c>
      <c r="B4132" s="1" t="s">
        <v>2732</v>
      </c>
      <c r="C4132" s="1" t="s">
        <v>4737</v>
      </c>
      <c r="D4132" s="1" t="s">
        <v>4741</v>
      </c>
      <c r="E4132" s="1" t="s">
        <v>7</v>
      </c>
    </row>
    <row r="4133" customFormat="false" ht="16" hidden="false" customHeight="false" outlineLevel="0" collapsed="false">
      <c r="A4133" s="1" t="s">
        <v>6196</v>
      </c>
      <c r="B4133" s="1" t="s">
        <v>2732</v>
      </c>
      <c r="C4133" s="1" t="s">
        <v>4737</v>
      </c>
      <c r="D4133" s="1" t="s">
        <v>4743</v>
      </c>
      <c r="E4133" s="1" t="s">
        <v>7</v>
      </c>
    </row>
    <row r="4134" customFormat="false" ht="16" hidden="false" customHeight="false" outlineLevel="0" collapsed="false">
      <c r="A4134" s="1" t="s">
        <v>6197</v>
      </c>
      <c r="B4134" s="1" t="s">
        <v>2732</v>
      </c>
      <c r="C4134" s="1" t="s">
        <v>4737</v>
      </c>
      <c r="D4134" s="1" t="s">
        <v>4745</v>
      </c>
      <c r="E4134" s="1" t="s">
        <v>7</v>
      </c>
    </row>
    <row r="4135" customFormat="false" ht="16" hidden="false" customHeight="false" outlineLevel="0" collapsed="false">
      <c r="A4135" s="1" t="s">
        <v>6198</v>
      </c>
      <c r="B4135" s="1" t="s">
        <v>2732</v>
      </c>
      <c r="C4135" s="1" t="s">
        <v>4737</v>
      </c>
      <c r="D4135" s="1" t="s">
        <v>770</v>
      </c>
      <c r="E4135" s="1" t="s">
        <v>7</v>
      </c>
    </row>
    <row r="4136" customFormat="false" ht="16" hidden="false" customHeight="false" outlineLevel="0" collapsed="false">
      <c r="A4136" s="1" t="s">
        <v>6199</v>
      </c>
      <c r="B4136" s="1" t="s">
        <v>6200</v>
      </c>
      <c r="C4136" s="1" t="s">
        <v>4737</v>
      </c>
      <c r="D4136" s="1" t="s">
        <v>4739</v>
      </c>
      <c r="E4136" s="1" t="s">
        <v>7</v>
      </c>
    </row>
    <row r="4137" customFormat="false" ht="16" hidden="false" customHeight="false" outlineLevel="0" collapsed="false">
      <c r="A4137" s="1" t="s">
        <v>6201</v>
      </c>
      <c r="B4137" s="1" t="s">
        <v>6200</v>
      </c>
      <c r="C4137" s="1" t="s">
        <v>4737</v>
      </c>
      <c r="D4137" s="1" t="s">
        <v>4741</v>
      </c>
      <c r="E4137" s="1" t="s">
        <v>7</v>
      </c>
    </row>
    <row r="4138" customFormat="false" ht="16" hidden="false" customHeight="false" outlineLevel="0" collapsed="false">
      <c r="A4138" s="1" t="s">
        <v>6202</v>
      </c>
      <c r="B4138" s="1" t="s">
        <v>6200</v>
      </c>
      <c r="C4138" s="1" t="s">
        <v>4737</v>
      </c>
      <c r="D4138" s="1" t="s">
        <v>4743</v>
      </c>
      <c r="E4138" s="1" t="s">
        <v>7</v>
      </c>
    </row>
    <row r="4139" customFormat="false" ht="16" hidden="false" customHeight="false" outlineLevel="0" collapsed="false">
      <c r="A4139" s="1" t="s">
        <v>6203</v>
      </c>
      <c r="B4139" s="1" t="s">
        <v>6200</v>
      </c>
      <c r="C4139" s="1" t="s">
        <v>4737</v>
      </c>
      <c r="D4139" s="1" t="s">
        <v>4745</v>
      </c>
      <c r="E4139" s="1" t="s">
        <v>7</v>
      </c>
    </row>
    <row r="4140" customFormat="false" ht="16" hidden="false" customHeight="false" outlineLevel="0" collapsed="false">
      <c r="A4140" s="1" t="s">
        <v>6204</v>
      </c>
      <c r="B4140" s="1" t="s">
        <v>6200</v>
      </c>
      <c r="C4140" s="1" t="s">
        <v>4737</v>
      </c>
      <c r="D4140" s="1" t="s">
        <v>770</v>
      </c>
      <c r="E4140" s="1" t="s">
        <v>7</v>
      </c>
    </row>
    <row r="4141" customFormat="false" ht="16" hidden="false" customHeight="false" outlineLevel="0" collapsed="false">
      <c r="A4141" s="1" t="s">
        <v>6205</v>
      </c>
      <c r="B4141" s="1" t="s">
        <v>2738</v>
      </c>
      <c r="C4141" s="1" t="s">
        <v>4737</v>
      </c>
      <c r="D4141" s="1" t="s">
        <v>4739</v>
      </c>
      <c r="E4141" s="1" t="s">
        <v>7</v>
      </c>
    </row>
    <row r="4142" customFormat="false" ht="16" hidden="false" customHeight="false" outlineLevel="0" collapsed="false">
      <c r="A4142" s="1" t="s">
        <v>6206</v>
      </c>
      <c r="B4142" s="1" t="s">
        <v>2738</v>
      </c>
      <c r="C4142" s="1" t="s">
        <v>4737</v>
      </c>
      <c r="D4142" s="1" t="s">
        <v>4745</v>
      </c>
      <c r="E4142" s="1" t="s">
        <v>7</v>
      </c>
    </row>
    <row r="4143" customFormat="false" ht="16" hidden="false" customHeight="false" outlineLevel="0" collapsed="false">
      <c r="A4143" s="1" t="s">
        <v>6207</v>
      </c>
      <c r="B4143" s="1" t="s">
        <v>2742</v>
      </c>
      <c r="C4143" s="1" t="s">
        <v>4737</v>
      </c>
      <c r="D4143" s="1" t="s">
        <v>4739</v>
      </c>
      <c r="E4143" s="1" t="s">
        <v>7</v>
      </c>
    </row>
    <row r="4144" customFormat="false" ht="16" hidden="false" customHeight="false" outlineLevel="0" collapsed="false">
      <c r="A4144" s="1" t="s">
        <v>6208</v>
      </c>
      <c r="B4144" s="1" t="s">
        <v>2742</v>
      </c>
      <c r="C4144" s="1" t="s">
        <v>4737</v>
      </c>
      <c r="D4144" s="1" t="s">
        <v>4741</v>
      </c>
      <c r="E4144" s="1" t="s">
        <v>7</v>
      </c>
    </row>
    <row r="4145" customFormat="false" ht="16" hidden="false" customHeight="false" outlineLevel="0" collapsed="false">
      <c r="A4145" s="1" t="s">
        <v>6209</v>
      </c>
      <c r="B4145" s="1" t="s">
        <v>2742</v>
      </c>
      <c r="C4145" s="1" t="s">
        <v>4737</v>
      </c>
      <c r="D4145" s="1" t="s">
        <v>4743</v>
      </c>
      <c r="E4145" s="1" t="s">
        <v>7</v>
      </c>
    </row>
    <row r="4146" customFormat="false" ht="16" hidden="false" customHeight="false" outlineLevel="0" collapsed="false">
      <c r="A4146" s="1" t="s">
        <v>6210</v>
      </c>
      <c r="B4146" s="1" t="s">
        <v>2742</v>
      </c>
      <c r="C4146" s="1" t="s">
        <v>4737</v>
      </c>
      <c r="D4146" s="1" t="s">
        <v>4745</v>
      </c>
      <c r="E4146" s="1" t="s">
        <v>7</v>
      </c>
    </row>
    <row r="4147" customFormat="false" ht="16" hidden="false" customHeight="false" outlineLevel="0" collapsed="false">
      <c r="A4147" s="1" t="s">
        <v>6211</v>
      </c>
      <c r="B4147" s="1" t="s">
        <v>2742</v>
      </c>
      <c r="C4147" s="1" t="s">
        <v>4737</v>
      </c>
      <c r="D4147" s="1" t="s">
        <v>770</v>
      </c>
      <c r="E4147" s="1" t="s">
        <v>7</v>
      </c>
    </row>
    <row r="4148" customFormat="false" ht="16" hidden="false" customHeight="false" outlineLevel="0" collapsed="false">
      <c r="A4148" s="1" t="s">
        <v>6212</v>
      </c>
      <c r="B4148" s="1" t="s">
        <v>6213</v>
      </c>
      <c r="C4148" s="1" t="s">
        <v>4737</v>
      </c>
      <c r="D4148" s="1" t="s">
        <v>4743</v>
      </c>
      <c r="E4148" s="1" t="s">
        <v>7</v>
      </c>
    </row>
    <row r="4149" customFormat="false" ht="16" hidden="false" customHeight="false" outlineLevel="0" collapsed="false">
      <c r="A4149" s="1" t="s">
        <v>6214</v>
      </c>
      <c r="B4149" s="1" t="s">
        <v>6215</v>
      </c>
      <c r="C4149" s="1" t="s">
        <v>4737</v>
      </c>
      <c r="D4149" s="1" t="s">
        <v>4743</v>
      </c>
      <c r="E4149" s="1" t="s">
        <v>7</v>
      </c>
    </row>
    <row r="4150" customFormat="false" ht="16" hidden="false" customHeight="false" outlineLevel="0" collapsed="false">
      <c r="A4150" s="1" t="s">
        <v>6216</v>
      </c>
      <c r="B4150" s="1" t="s">
        <v>2750</v>
      </c>
      <c r="C4150" s="1" t="s">
        <v>4737</v>
      </c>
      <c r="D4150" s="1" t="s">
        <v>4739</v>
      </c>
      <c r="E4150" s="1" t="s">
        <v>7</v>
      </c>
    </row>
    <row r="4151" customFormat="false" ht="16" hidden="false" customHeight="false" outlineLevel="0" collapsed="false">
      <c r="A4151" s="1" t="s">
        <v>6217</v>
      </c>
      <c r="B4151" s="1" t="s">
        <v>2750</v>
      </c>
      <c r="C4151" s="1" t="s">
        <v>4737</v>
      </c>
      <c r="D4151" s="1" t="s">
        <v>4741</v>
      </c>
      <c r="E4151" s="1" t="s">
        <v>7</v>
      </c>
    </row>
    <row r="4152" customFormat="false" ht="16" hidden="false" customHeight="false" outlineLevel="0" collapsed="false">
      <c r="A4152" s="1" t="s">
        <v>6218</v>
      </c>
      <c r="B4152" s="1" t="s">
        <v>2750</v>
      </c>
      <c r="C4152" s="1" t="s">
        <v>4737</v>
      </c>
      <c r="D4152" s="1" t="s">
        <v>4743</v>
      </c>
      <c r="E4152" s="1" t="s">
        <v>7</v>
      </c>
    </row>
    <row r="4153" customFormat="false" ht="16" hidden="false" customHeight="false" outlineLevel="0" collapsed="false">
      <c r="A4153" s="1" t="s">
        <v>6219</v>
      </c>
      <c r="B4153" s="1" t="s">
        <v>2750</v>
      </c>
      <c r="C4153" s="1" t="s">
        <v>4737</v>
      </c>
      <c r="D4153" s="1" t="s">
        <v>4745</v>
      </c>
      <c r="E4153" s="1" t="s">
        <v>7</v>
      </c>
    </row>
    <row r="4154" customFormat="false" ht="16" hidden="false" customHeight="false" outlineLevel="0" collapsed="false">
      <c r="A4154" s="1" t="s">
        <v>6220</v>
      </c>
      <c r="B4154" s="1" t="s">
        <v>2750</v>
      </c>
      <c r="C4154" s="1" t="s">
        <v>4737</v>
      </c>
      <c r="D4154" s="1" t="s">
        <v>770</v>
      </c>
      <c r="E4154" s="1" t="s">
        <v>7</v>
      </c>
    </row>
    <row r="4155" customFormat="false" ht="16" hidden="false" customHeight="false" outlineLevel="0" collapsed="false">
      <c r="A4155" s="1" t="s">
        <v>6221</v>
      </c>
      <c r="B4155" s="1" t="s">
        <v>2761</v>
      </c>
      <c r="C4155" s="1" t="s">
        <v>4737</v>
      </c>
      <c r="D4155" s="1" t="s">
        <v>4739</v>
      </c>
      <c r="E4155" s="1" t="s">
        <v>906</v>
      </c>
    </row>
    <row r="4156" customFormat="false" ht="16" hidden="false" customHeight="false" outlineLevel="0" collapsed="false">
      <c r="A4156" s="1" t="s">
        <v>6222</v>
      </c>
      <c r="B4156" s="1" t="s">
        <v>2761</v>
      </c>
      <c r="C4156" s="1" t="s">
        <v>4737</v>
      </c>
      <c r="D4156" s="1" t="s">
        <v>4741</v>
      </c>
      <c r="E4156" s="1" t="s">
        <v>906</v>
      </c>
    </row>
    <row r="4157" customFormat="false" ht="16" hidden="false" customHeight="false" outlineLevel="0" collapsed="false">
      <c r="A4157" s="1" t="s">
        <v>6223</v>
      </c>
      <c r="B4157" s="1" t="s">
        <v>2761</v>
      </c>
      <c r="C4157" s="1" t="s">
        <v>4737</v>
      </c>
      <c r="D4157" s="1" t="s">
        <v>4743</v>
      </c>
      <c r="E4157" s="1" t="s">
        <v>906</v>
      </c>
    </row>
    <row r="4158" customFormat="false" ht="16" hidden="false" customHeight="false" outlineLevel="0" collapsed="false">
      <c r="A4158" s="1" t="s">
        <v>6224</v>
      </c>
      <c r="B4158" s="1" t="s">
        <v>2761</v>
      </c>
      <c r="C4158" s="1" t="s">
        <v>4737</v>
      </c>
      <c r="D4158" s="1" t="s">
        <v>4745</v>
      </c>
      <c r="E4158" s="1" t="s">
        <v>906</v>
      </c>
    </row>
    <row r="4159" customFormat="false" ht="16" hidden="false" customHeight="false" outlineLevel="0" collapsed="false">
      <c r="A4159" s="1" t="s">
        <v>6225</v>
      </c>
      <c r="B4159" s="1" t="s">
        <v>2761</v>
      </c>
      <c r="C4159" s="1" t="s">
        <v>4737</v>
      </c>
      <c r="D4159" s="1" t="s">
        <v>770</v>
      </c>
      <c r="E4159" s="1" t="s">
        <v>906</v>
      </c>
    </row>
    <row r="4160" customFormat="false" ht="16" hidden="false" customHeight="false" outlineLevel="0" collapsed="false">
      <c r="A4160" s="1" t="s">
        <v>6226</v>
      </c>
      <c r="B4160" s="1" t="s">
        <v>2767</v>
      </c>
      <c r="C4160" s="1" t="s">
        <v>4737</v>
      </c>
      <c r="D4160" s="1" t="s">
        <v>4739</v>
      </c>
      <c r="E4160" s="1" t="s">
        <v>906</v>
      </c>
    </row>
    <row r="4161" customFormat="false" ht="16" hidden="false" customHeight="false" outlineLevel="0" collapsed="false">
      <c r="A4161" s="1" t="s">
        <v>6227</v>
      </c>
      <c r="B4161" s="1" t="s">
        <v>2767</v>
      </c>
      <c r="C4161" s="1" t="s">
        <v>4737</v>
      </c>
      <c r="D4161" s="1" t="s">
        <v>4741</v>
      </c>
      <c r="E4161" s="1" t="s">
        <v>906</v>
      </c>
    </row>
    <row r="4162" customFormat="false" ht="16" hidden="false" customHeight="false" outlineLevel="0" collapsed="false">
      <c r="A4162" s="1" t="s">
        <v>6228</v>
      </c>
      <c r="B4162" s="1" t="s">
        <v>2767</v>
      </c>
      <c r="C4162" s="1" t="s">
        <v>4737</v>
      </c>
      <c r="D4162" s="1" t="s">
        <v>4743</v>
      </c>
      <c r="E4162" s="1" t="s">
        <v>906</v>
      </c>
    </row>
    <row r="4163" customFormat="false" ht="16" hidden="false" customHeight="false" outlineLevel="0" collapsed="false">
      <c r="A4163" s="1" t="s">
        <v>6229</v>
      </c>
      <c r="B4163" s="1" t="s">
        <v>2767</v>
      </c>
      <c r="C4163" s="1" t="s">
        <v>4737</v>
      </c>
      <c r="D4163" s="1" t="s">
        <v>4745</v>
      </c>
      <c r="E4163" s="1" t="s">
        <v>906</v>
      </c>
    </row>
    <row r="4164" customFormat="false" ht="16" hidden="false" customHeight="false" outlineLevel="0" collapsed="false">
      <c r="A4164" s="1" t="s">
        <v>6230</v>
      </c>
      <c r="B4164" s="1" t="s">
        <v>2767</v>
      </c>
      <c r="C4164" s="1" t="s">
        <v>4737</v>
      </c>
      <c r="D4164" s="1" t="s">
        <v>770</v>
      </c>
      <c r="E4164" s="1" t="s">
        <v>906</v>
      </c>
    </row>
    <row r="4165" customFormat="false" ht="16" hidden="false" customHeight="false" outlineLevel="0" collapsed="false">
      <c r="A4165" s="1" t="s">
        <v>6231</v>
      </c>
      <c r="B4165" s="1" t="s">
        <v>2773</v>
      </c>
      <c r="C4165" s="1" t="s">
        <v>4737</v>
      </c>
      <c r="D4165" s="1" t="s">
        <v>4739</v>
      </c>
      <c r="E4165" s="1" t="s">
        <v>906</v>
      </c>
    </row>
    <row r="4166" customFormat="false" ht="16" hidden="false" customHeight="false" outlineLevel="0" collapsed="false">
      <c r="A4166" s="1" t="s">
        <v>6232</v>
      </c>
      <c r="B4166" s="1" t="s">
        <v>2773</v>
      </c>
      <c r="C4166" s="1" t="s">
        <v>4737</v>
      </c>
      <c r="D4166" s="1" t="s">
        <v>4741</v>
      </c>
      <c r="E4166" s="1" t="s">
        <v>906</v>
      </c>
    </row>
    <row r="4167" customFormat="false" ht="16" hidden="false" customHeight="false" outlineLevel="0" collapsed="false">
      <c r="A4167" s="1" t="s">
        <v>6233</v>
      </c>
      <c r="B4167" s="1" t="s">
        <v>2773</v>
      </c>
      <c r="C4167" s="1" t="s">
        <v>4737</v>
      </c>
      <c r="D4167" s="1" t="s">
        <v>4743</v>
      </c>
      <c r="E4167" s="1" t="s">
        <v>906</v>
      </c>
    </row>
    <row r="4168" customFormat="false" ht="16" hidden="false" customHeight="false" outlineLevel="0" collapsed="false">
      <c r="A4168" s="1" t="s">
        <v>6234</v>
      </c>
      <c r="B4168" s="1" t="s">
        <v>2773</v>
      </c>
      <c r="C4168" s="1" t="s">
        <v>4737</v>
      </c>
      <c r="D4168" s="1" t="s">
        <v>4745</v>
      </c>
      <c r="E4168" s="1" t="s">
        <v>906</v>
      </c>
    </row>
    <row r="4169" customFormat="false" ht="16" hidden="false" customHeight="false" outlineLevel="0" collapsed="false">
      <c r="A4169" s="1" t="s">
        <v>6235</v>
      </c>
      <c r="B4169" s="1" t="s">
        <v>2773</v>
      </c>
      <c r="C4169" s="1" t="s">
        <v>4737</v>
      </c>
      <c r="D4169" s="1" t="s">
        <v>770</v>
      </c>
      <c r="E4169" s="1" t="s">
        <v>906</v>
      </c>
    </row>
    <row r="4170" customFormat="false" ht="16" hidden="false" customHeight="false" outlineLevel="0" collapsed="false">
      <c r="A4170" s="1" t="s">
        <v>6236</v>
      </c>
      <c r="B4170" s="1" t="s">
        <v>2779</v>
      </c>
      <c r="C4170" s="1" t="s">
        <v>4737</v>
      </c>
      <c r="D4170" s="1" t="s">
        <v>4739</v>
      </c>
      <c r="E4170" s="1" t="s">
        <v>906</v>
      </c>
    </row>
    <row r="4171" customFormat="false" ht="16" hidden="false" customHeight="false" outlineLevel="0" collapsed="false">
      <c r="A4171" s="1" t="s">
        <v>6237</v>
      </c>
      <c r="B4171" s="1" t="s">
        <v>2779</v>
      </c>
      <c r="C4171" s="1" t="s">
        <v>4737</v>
      </c>
      <c r="D4171" s="1" t="s">
        <v>4741</v>
      </c>
      <c r="E4171" s="1" t="s">
        <v>906</v>
      </c>
    </row>
    <row r="4172" customFormat="false" ht="16" hidden="false" customHeight="false" outlineLevel="0" collapsed="false">
      <c r="A4172" s="1" t="s">
        <v>6238</v>
      </c>
      <c r="B4172" s="1" t="s">
        <v>2779</v>
      </c>
      <c r="C4172" s="1" t="s">
        <v>4737</v>
      </c>
      <c r="D4172" s="1" t="s">
        <v>4743</v>
      </c>
      <c r="E4172" s="1" t="s">
        <v>906</v>
      </c>
    </row>
    <row r="4173" customFormat="false" ht="16" hidden="false" customHeight="false" outlineLevel="0" collapsed="false">
      <c r="A4173" s="1" t="s">
        <v>6239</v>
      </c>
      <c r="B4173" s="1" t="s">
        <v>2779</v>
      </c>
      <c r="C4173" s="1" t="s">
        <v>4737</v>
      </c>
      <c r="D4173" s="1" t="s">
        <v>4745</v>
      </c>
      <c r="E4173" s="1" t="s">
        <v>906</v>
      </c>
    </row>
    <row r="4174" customFormat="false" ht="16" hidden="false" customHeight="false" outlineLevel="0" collapsed="false">
      <c r="A4174" s="1" t="s">
        <v>6240</v>
      </c>
      <c r="B4174" s="1" t="s">
        <v>2779</v>
      </c>
      <c r="C4174" s="1" t="s">
        <v>4737</v>
      </c>
      <c r="D4174" s="1" t="s">
        <v>770</v>
      </c>
      <c r="E4174" s="1" t="s">
        <v>906</v>
      </c>
    </row>
    <row r="4175" customFormat="false" ht="16" hidden="false" customHeight="false" outlineLevel="0" collapsed="false">
      <c r="A4175" s="1" t="s">
        <v>6241</v>
      </c>
      <c r="B4175" s="1" t="s">
        <v>6242</v>
      </c>
      <c r="C4175" s="1" t="s">
        <v>4737</v>
      </c>
      <c r="D4175" s="1" t="s">
        <v>4739</v>
      </c>
      <c r="E4175" s="1" t="s">
        <v>7</v>
      </c>
    </row>
    <row r="4176" customFormat="false" ht="16" hidden="false" customHeight="false" outlineLevel="0" collapsed="false">
      <c r="A4176" s="1" t="s">
        <v>6243</v>
      </c>
      <c r="B4176" s="1" t="s">
        <v>6242</v>
      </c>
      <c r="C4176" s="1" t="s">
        <v>4737</v>
      </c>
      <c r="D4176" s="1" t="s">
        <v>4741</v>
      </c>
      <c r="E4176" s="1" t="s">
        <v>7</v>
      </c>
    </row>
    <row r="4177" customFormat="false" ht="16" hidden="false" customHeight="false" outlineLevel="0" collapsed="false">
      <c r="A4177" s="1" t="s">
        <v>6244</v>
      </c>
      <c r="B4177" s="1" t="s">
        <v>6242</v>
      </c>
      <c r="C4177" s="1" t="s">
        <v>4737</v>
      </c>
      <c r="D4177" s="1" t="s">
        <v>4743</v>
      </c>
      <c r="E4177" s="1" t="s">
        <v>7</v>
      </c>
    </row>
    <row r="4178" customFormat="false" ht="16" hidden="false" customHeight="false" outlineLevel="0" collapsed="false">
      <c r="A4178" s="1" t="s">
        <v>6245</v>
      </c>
      <c r="B4178" s="1" t="s">
        <v>6242</v>
      </c>
      <c r="C4178" s="1" t="s">
        <v>4737</v>
      </c>
      <c r="D4178" s="1" t="s">
        <v>4745</v>
      </c>
      <c r="E4178" s="1" t="s">
        <v>7</v>
      </c>
    </row>
    <row r="4179" customFormat="false" ht="16" hidden="false" customHeight="false" outlineLevel="0" collapsed="false">
      <c r="A4179" s="1" t="s">
        <v>6246</v>
      </c>
      <c r="B4179" s="1" t="s">
        <v>6242</v>
      </c>
      <c r="C4179" s="1" t="s">
        <v>4737</v>
      </c>
      <c r="D4179" s="1" t="s">
        <v>770</v>
      </c>
      <c r="E4179" s="1" t="s">
        <v>7</v>
      </c>
    </row>
    <row r="4180" customFormat="false" ht="16" hidden="false" customHeight="false" outlineLevel="0" collapsed="false">
      <c r="A4180" s="1" t="s">
        <v>6247</v>
      </c>
      <c r="B4180" s="1" t="s">
        <v>2785</v>
      </c>
      <c r="C4180" s="1" t="s">
        <v>4737</v>
      </c>
      <c r="D4180" s="1" t="s">
        <v>4739</v>
      </c>
      <c r="E4180" s="1" t="s">
        <v>7</v>
      </c>
    </row>
    <row r="4181" customFormat="false" ht="16" hidden="false" customHeight="false" outlineLevel="0" collapsed="false">
      <c r="A4181" s="1" t="s">
        <v>6248</v>
      </c>
      <c r="B4181" s="1" t="s">
        <v>2785</v>
      </c>
      <c r="C4181" s="1" t="s">
        <v>4737</v>
      </c>
      <c r="D4181" s="1" t="s">
        <v>4741</v>
      </c>
      <c r="E4181" s="1" t="s">
        <v>7</v>
      </c>
    </row>
    <row r="4182" customFormat="false" ht="16" hidden="false" customHeight="false" outlineLevel="0" collapsed="false">
      <c r="A4182" s="1" t="s">
        <v>6249</v>
      </c>
      <c r="B4182" s="1" t="s">
        <v>2785</v>
      </c>
      <c r="C4182" s="1" t="s">
        <v>4737</v>
      </c>
      <c r="D4182" s="1" t="s">
        <v>4743</v>
      </c>
      <c r="E4182" s="1" t="s">
        <v>7</v>
      </c>
    </row>
    <row r="4183" customFormat="false" ht="16" hidden="false" customHeight="false" outlineLevel="0" collapsed="false">
      <c r="A4183" s="1" t="s">
        <v>6250</v>
      </c>
      <c r="B4183" s="1" t="s">
        <v>2785</v>
      </c>
      <c r="C4183" s="1" t="s">
        <v>4737</v>
      </c>
      <c r="D4183" s="1" t="s">
        <v>4745</v>
      </c>
      <c r="E4183" s="1" t="s">
        <v>7</v>
      </c>
    </row>
    <row r="4184" customFormat="false" ht="16" hidden="false" customHeight="false" outlineLevel="0" collapsed="false">
      <c r="A4184" s="1" t="s">
        <v>6251</v>
      </c>
      <c r="B4184" s="1" t="s">
        <v>2785</v>
      </c>
      <c r="C4184" s="1" t="s">
        <v>4737</v>
      </c>
      <c r="D4184" s="1" t="s">
        <v>770</v>
      </c>
      <c r="E4184" s="1" t="s">
        <v>7</v>
      </c>
    </row>
    <row r="4185" customFormat="false" ht="16" hidden="false" customHeight="false" outlineLevel="0" collapsed="false">
      <c r="A4185" s="1" t="s">
        <v>6252</v>
      </c>
      <c r="B4185" s="1" t="s">
        <v>6253</v>
      </c>
      <c r="C4185" s="1" t="s">
        <v>4737</v>
      </c>
      <c r="D4185" s="1" t="s">
        <v>4739</v>
      </c>
      <c r="E4185" s="1" t="s">
        <v>7</v>
      </c>
    </row>
    <row r="4186" customFormat="false" ht="16" hidden="false" customHeight="false" outlineLevel="0" collapsed="false">
      <c r="A4186" s="1" t="s">
        <v>6254</v>
      </c>
      <c r="B4186" s="1" t="s">
        <v>6253</v>
      </c>
      <c r="C4186" s="1" t="s">
        <v>4737</v>
      </c>
      <c r="D4186" s="1" t="s">
        <v>4741</v>
      </c>
      <c r="E4186" s="1" t="s">
        <v>7</v>
      </c>
    </row>
    <row r="4187" customFormat="false" ht="16" hidden="false" customHeight="false" outlineLevel="0" collapsed="false">
      <c r="A4187" s="1" t="s">
        <v>6255</v>
      </c>
      <c r="B4187" s="1" t="s">
        <v>6253</v>
      </c>
      <c r="C4187" s="1" t="s">
        <v>4737</v>
      </c>
      <c r="D4187" s="1" t="s">
        <v>4743</v>
      </c>
      <c r="E4187" s="1" t="s">
        <v>7</v>
      </c>
    </row>
    <row r="4188" customFormat="false" ht="16" hidden="false" customHeight="false" outlineLevel="0" collapsed="false">
      <c r="A4188" s="1" t="s">
        <v>6256</v>
      </c>
      <c r="B4188" s="1" t="s">
        <v>6253</v>
      </c>
      <c r="C4188" s="1" t="s">
        <v>4737</v>
      </c>
      <c r="D4188" s="1" t="s">
        <v>4745</v>
      </c>
      <c r="E4188" s="1" t="s">
        <v>7</v>
      </c>
    </row>
    <row r="4189" customFormat="false" ht="16" hidden="false" customHeight="false" outlineLevel="0" collapsed="false">
      <c r="A4189" s="1" t="s">
        <v>6257</v>
      </c>
      <c r="B4189" s="1" t="s">
        <v>6253</v>
      </c>
      <c r="C4189" s="1" t="s">
        <v>4737</v>
      </c>
      <c r="D4189" s="1" t="s">
        <v>770</v>
      </c>
      <c r="E4189" s="1" t="s">
        <v>7</v>
      </c>
    </row>
    <row r="4190" customFormat="false" ht="16" hidden="false" customHeight="false" outlineLevel="0" collapsed="false">
      <c r="A4190" s="1" t="s">
        <v>6258</v>
      </c>
      <c r="B4190" s="1" t="s">
        <v>2792</v>
      </c>
      <c r="C4190" s="1" t="s">
        <v>4737</v>
      </c>
      <c r="D4190" s="1" t="s">
        <v>4739</v>
      </c>
      <c r="E4190" s="1" t="s">
        <v>2793</v>
      </c>
    </row>
    <row r="4191" customFormat="false" ht="16" hidden="false" customHeight="false" outlineLevel="0" collapsed="false">
      <c r="A4191" s="1" t="s">
        <v>6259</v>
      </c>
      <c r="B4191" s="1" t="s">
        <v>2792</v>
      </c>
      <c r="C4191" s="1" t="s">
        <v>4737</v>
      </c>
      <c r="D4191" s="1" t="s">
        <v>4741</v>
      </c>
      <c r="E4191" s="1" t="s">
        <v>2793</v>
      </c>
    </row>
    <row r="4192" customFormat="false" ht="16" hidden="false" customHeight="false" outlineLevel="0" collapsed="false">
      <c r="A4192" s="1" t="s">
        <v>6260</v>
      </c>
      <c r="B4192" s="1" t="s">
        <v>2792</v>
      </c>
      <c r="C4192" s="1" t="s">
        <v>4737</v>
      </c>
      <c r="D4192" s="1" t="s">
        <v>4743</v>
      </c>
      <c r="E4192" s="1" t="s">
        <v>2793</v>
      </c>
    </row>
    <row r="4193" customFormat="false" ht="16" hidden="false" customHeight="false" outlineLevel="0" collapsed="false">
      <c r="A4193" s="1" t="s">
        <v>6261</v>
      </c>
      <c r="B4193" s="1" t="s">
        <v>2792</v>
      </c>
      <c r="C4193" s="1" t="s">
        <v>4737</v>
      </c>
      <c r="D4193" s="1" t="s">
        <v>4745</v>
      </c>
      <c r="E4193" s="1" t="s">
        <v>2793</v>
      </c>
    </row>
    <row r="4194" customFormat="false" ht="16" hidden="false" customHeight="false" outlineLevel="0" collapsed="false">
      <c r="A4194" s="1" t="s">
        <v>6262</v>
      </c>
      <c r="B4194" s="1" t="s">
        <v>2792</v>
      </c>
      <c r="C4194" s="1" t="s">
        <v>4737</v>
      </c>
      <c r="D4194" s="1" t="s">
        <v>770</v>
      </c>
      <c r="E4194" s="1" t="s">
        <v>2793</v>
      </c>
    </row>
    <row r="4195" customFormat="false" ht="16" hidden="false" customHeight="false" outlineLevel="0" collapsed="false">
      <c r="A4195" s="1" t="s">
        <v>6263</v>
      </c>
      <c r="B4195" s="1" t="s">
        <v>2841</v>
      </c>
      <c r="C4195" s="1" t="s">
        <v>4737</v>
      </c>
      <c r="D4195" s="1" t="s">
        <v>4739</v>
      </c>
      <c r="E4195" s="1" t="s">
        <v>7</v>
      </c>
    </row>
    <row r="4196" customFormat="false" ht="16" hidden="false" customHeight="false" outlineLevel="0" collapsed="false">
      <c r="A4196" s="1" t="s">
        <v>6264</v>
      </c>
      <c r="B4196" s="1" t="s">
        <v>2841</v>
      </c>
      <c r="C4196" s="1" t="s">
        <v>4737</v>
      </c>
      <c r="D4196" s="1" t="s">
        <v>4741</v>
      </c>
      <c r="E4196" s="1" t="s">
        <v>7</v>
      </c>
    </row>
    <row r="4197" customFormat="false" ht="16" hidden="false" customHeight="false" outlineLevel="0" collapsed="false">
      <c r="A4197" s="1" t="s">
        <v>6265</v>
      </c>
      <c r="B4197" s="1" t="s">
        <v>2841</v>
      </c>
      <c r="C4197" s="1" t="s">
        <v>4737</v>
      </c>
      <c r="D4197" s="1" t="s">
        <v>4743</v>
      </c>
      <c r="E4197" s="1" t="s">
        <v>7</v>
      </c>
    </row>
    <row r="4198" customFormat="false" ht="16" hidden="false" customHeight="false" outlineLevel="0" collapsed="false">
      <c r="A4198" s="1" t="s">
        <v>6266</v>
      </c>
      <c r="B4198" s="1" t="s">
        <v>2841</v>
      </c>
      <c r="C4198" s="1" t="s">
        <v>4737</v>
      </c>
      <c r="D4198" s="1" t="s">
        <v>4745</v>
      </c>
      <c r="E4198" s="1" t="s">
        <v>7</v>
      </c>
    </row>
    <row r="4199" customFormat="false" ht="16" hidden="false" customHeight="false" outlineLevel="0" collapsed="false">
      <c r="A4199" s="1" t="s">
        <v>6267</v>
      </c>
      <c r="B4199" s="1" t="s">
        <v>2841</v>
      </c>
      <c r="C4199" s="1" t="s">
        <v>4737</v>
      </c>
      <c r="D4199" s="1" t="s">
        <v>770</v>
      </c>
      <c r="E4199" s="1" t="s">
        <v>7</v>
      </c>
    </row>
    <row r="4200" customFormat="false" ht="16" hidden="false" customHeight="false" outlineLevel="0" collapsed="false">
      <c r="A4200" s="1" t="s">
        <v>6268</v>
      </c>
      <c r="B4200" s="1" t="s">
        <v>6269</v>
      </c>
      <c r="C4200" s="1" t="s">
        <v>4737</v>
      </c>
      <c r="D4200" s="1" t="s">
        <v>4739</v>
      </c>
      <c r="E4200" s="1" t="s">
        <v>906</v>
      </c>
    </row>
    <row r="4201" customFormat="false" ht="16" hidden="false" customHeight="false" outlineLevel="0" collapsed="false">
      <c r="A4201" s="1" t="s">
        <v>6270</v>
      </c>
      <c r="B4201" s="1" t="s">
        <v>6269</v>
      </c>
      <c r="C4201" s="1" t="s">
        <v>4737</v>
      </c>
      <c r="D4201" s="1" t="s">
        <v>4741</v>
      </c>
      <c r="E4201" s="1" t="s">
        <v>906</v>
      </c>
    </row>
    <row r="4202" customFormat="false" ht="16" hidden="false" customHeight="false" outlineLevel="0" collapsed="false">
      <c r="A4202" s="1" t="s">
        <v>6271</v>
      </c>
      <c r="B4202" s="1" t="s">
        <v>6269</v>
      </c>
      <c r="C4202" s="1" t="s">
        <v>4737</v>
      </c>
      <c r="D4202" s="1" t="s">
        <v>4743</v>
      </c>
      <c r="E4202" s="1" t="s">
        <v>906</v>
      </c>
    </row>
    <row r="4203" customFormat="false" ht="16" hidden="false" customHeight="false" outlineLevel="0" collapsed="false">
      <c r="A4203" s="1" t="s">
        <v>6272</v>
      </c>
      <c r="B4203" s="1" t="s">
        <v>6269</v>
      </c>
      <c r="C4203" s="1" t="s">
        <v>4737</v>
      </c>
      <c r="D4203" s="1" t="s">
        <v>4745</v>
      </c>
      <c r="E4203" s="1" t="s">
        <v>906</v>
      </c>
    </row>
    <row r="4204" customFormat="false" ht="16" hidden="false" customHeight="false" outlineLevel="0" collapsed="false">
      <c r="A4204" s="1" t="s">
        <v>6273</v>
      </c>
      <c r="B4204" s="1" t="s">
        <v>6269</v>
      </c>
      <c r="C4204" s="1" t="s">
        <v>4737</v>
      </c>
      <c r="D4204" s="1" t="s">
        <v>770</v>
      </c>
      <c r="E4204" s="1" t="s">
        <v>906</v>
      </c>
    </row>
    <row r="4205" customFormat="false" ht="16" hidden="false" customHeight="false" outlineLevel="0" collapsed="false">
      <c r="A4205" s="1" t="s">
        <v>6274</v>
      </c>
      <c r="B4205" s="1" t="s">
        <v>6275</v>
      </c>
      <c r="C4205" s="1" t="s">
        <v>4737</v>
      </c>
      <c r="D4205" s="1" t="s">
        <v>4739</v>
      </c>
      <c r="E4205" s="1" t="s">
        <v>7</v>
      </c>
    </row>
    <row r="4206" customFormat="false" ht="16" hidden="false" customHeight="false" outlineLevel="0" collapsed="false">
      <c r="A4206" s="1" t="s">
        <v>6276</v>
      </c>
      <c r="B4206" s="1" t="s">
        <v>6275</v>
      </c>
      <c r="C4206" s="1" t="s">
        <v>4737</v>
      </c>
      <c r="D4206" s="1" t="s">
        <v>4741</v>
      </c>
      <c r="E4206" s="1" t="s">
        <v>7</v>
      </c>
    </row>
    <row r="4207" customFormat="false" ht="16" hidden="false" customHeight="false" outlineLevel="0" collapsed="false">
      <c r="A4207" s="1" t="s">
        <v>6277</v>
      </c>
      <c r="B4207" s="1" t="s">
        <v>6275</v>
      </c>
      <c r="C4207" s="1" t="s">
        <v>4737</v>
      </c>
      <c r="D4207" s="1" t="s">
        <v>4743</v>
      </c>
      <c r="E4207" s="1" t="s">
        <v>7</v>
      </c>
    </row>
    <row r="4208" customFormat="false" ht="16" hidden="false" customHeight="false" outlineLevel="0" collapsed="false">
      <c r="A4208" s="1" t="s">
        <v>6278</v>
      </c>
      <c r="B4208" s="1" t="s">
        <v>6275</v>
      </c>
      <c r="C4208" s="1" t="s">
        <v>4737</v>
      </c>
      <c r="D4208" s="1" t="s">
        <v>4745</v>
      </c>
      <c r="E4208" s="1" t="s">
        <v>7</v>
      </c>
    </row>
    <row r="4209" customFormat="false" ht="16" hidden="false" customHeight="false" outlineLevel="0" collapsed="false">
      <c r="A4209" s="1" t="s">
        <v>6279</v>
      </c>
      <c r="B4209" s="1" t="s">
        <v>6275</v>
      </c>
      <c r="C4209" s="1" t="s">
        <v>4737</v>
      </c>
      <c r="D4209" s="1" t="s">
        <v>770</v>
      </c>
      <c r="E4209" s="1" t="s">
        <v>7</v>
      </c>
    </row>
    <row r="4210" customFormat="false" ht="16" hidden="false" customHeight="false" outlineLevel="0" collapsed="false">
      <c r="A4210" s="1" t="s">
        <v>6280</v>
      </c>
      <c r="B4210" s="1" t="s">
        <v>2854</v>
      </c>
      <c r="C4210" s="1" t="s">
        <v>4737</v>
      </c>
      <c r="D4210" s="1" t="s">
        <v>4739</v>
      </c>
      <c r="E4210" s="1" t="s">
        <v>906</v>
      </c>
    </row>
    <row r="4211" customFormat="false" ht="16" hidden="false" customHeight="false" outlineLevel="0" collapsed="false">
      <c r="A4211" s="1" t="s">
        <v>6281</v>
      </c>
      <c r="B4211" s="1" t="s">
        <v>2854</v>
      </c>
      <c r="C4211" s="1" t="s">
        <v>4737</v>
      </c>
      <c r="D4211" s="1" t="s">
        <v>4741</v>
      </c>
      <c r="E4211" s="1" t="s">
        <v>906</v>
      </c>
    </row>
    <row r="4212" customFormat="false" ht="16" hidden="false" customHeight="false" outlineLevel="0" collapsed="false">
      <c r="A4212" s="1" t="s">
        <v>6282</v>
      </c>
      <c r="B4212" s="1" t="s">
        <v>2854</v>
      </c>
      <c r="C4212" s="1" t="s">
        <v>4737</v>
      </c>
      <c r="D4212" s="1" t="s">
        <v>4743</v>
      </c>
      <c r="E4212" s="1" t="s">
        <v>906</v>
      </c>
    </row>
    <row r="4213" customFormat="false" ht="16" hidden="false" customHeight="false" outlineLevel="0" collapsed="false">
      <c r="A4213" s="1" t="s">
        <v>6283</v>
      </c>
      <c r="B4213" s="1" t="s">
        <v>2854</v>
      </c>
      <c r="C4213" s="1" t="s">
        <v>4737</v>
      </c>
      <c r="D4213" s="1" t="s">
        <v>4745</v>
      </c>
      <c r="E4213" s="1" t="s">
        <v>906</v>
      </c>
    </row>
    <row r="4214" customFormat="false" ht="16" hidden="false" customHeight="false" outlineLevel="0" collapsed="false">
      <c r="A4214" s="1" t="s">
        <v>6284</v>
      </c>
      <c r="B4214" s="1" t="s">
        <v>2854</v>
      </c>
      <c r="C4214" s="1" t="s">
        <v>4737</v>
      </c>
      <c r="D4214" s="1" t="s">
        <v>770</v>
      </c>
      <c r="E4214" s="1" t="s">
        <v>906</v>
      </c>
    </row>
    <row r="4215" customFormat="false" ht="16" hidden="false" customHeight="false" outlineLevel="0" collapsed="false">
      <c r="A4215" s="1" t="s">
        <v>6285</v>
      </c>
      <c r="B4215" s="1" t="s">
        <v>2865</v>
      </c>
      <c r="C4215" s="1" t="s">
        <v>4737</v>
      </c>
      <c r="D4215" s="1" t="s">
        <v>4739</v>
      </c>
      <c r="E4215" s="1" t="s">
        <v>906</v>
      </c>
    </row>
    <row r="4216" customFormat="false" ht="16" hidden="false" customHeight="false" outlineLevel="0" collapsed="false">
      <c r="A4216" s="1" t="s">
        <v>6286</v>
      </c>
      <c r="B4216" s="1" t="s">
        <v>2865</v>
      </c>
      <c r="C4216" s="1" t="s">
        <v>4737</v>
      </c>
      <c r="D4216" s="1" t="s">
        <v>4741</v>
      </c>
      <c r="E4216" s="1" t="s">
        <v>906</v>
      </c>
    </row>
    <row r="4217" customFormat="false" ht="16" hidden="false" customHeight="false" outlineLevel="0" collapsed="false">
      <c r="A4217" s="1" t="s">
        <v>6287</v>
      </c>
      <c r="B4217" s="1" t="s">
        <v>2865</v>
      </c>
      <c r="C4217" s="1" t="s">
        <v>4737</v>
      </c>
      <c r="D4217" s="1" t="s">
        <v>4743</v>
      </c>
      <c r="E4217" s="1" t="s">
        <v>906</v>
      </c>
    </row>
    <row r="4218" customFormat="false" ht="16" hidden="false" customHeight="false" outlineLevel="0" collapsed="false">
      <c r="A4218" s="1" t="s">
        <v>6288</v>
      </c>
      <c r="B4218" s="1" t="s">
        <v>2865</v>
      </c>
      <c r="C4218" s="1" t="s">
        <v>4737</v>
      </c>
      <c r="D4218" s="1" t="s">
        <v>4745</v>
      </c>
      <c r="E4218" s="1" t="s">
        <v>906</v>
      </c>
    </row>
    <row r="4219" customFormat="false" ht="16" hidden="false" customHeight="false" outlineLevel="0" collapsed="false">
      <c r="A4219" s="1" t="s">
        <v>6289</v>
      </c>
      <c r="B4219" s="1" t="s">
        <v>2865</v>
      </c>
      <c r="C4219" s="1" t="s">
        <v>4737</v>
      </c>
      <c r="D4219" s="1" t="s">
        <v>770</v>
      </c>
      <c r="E4219" s="1" t="s">
        <v>906</v>
      </c>
    </row>
    <row r="4220" customFormat="false" ht="16" hidden="false" customHeight="false" outlineLevel="0" collapsed="false">
      <c r="A4220" s="1" t="s">
        <v>6290</v>
      </c>
      <c r="B4220" s="1" t="s">
        <v>2871</v>
      </c>
      <c r="C4220" s="1" t="s">
        <v>4737</v>
      </c>
      <c r="D4220" s="1" t="s">
        <v>4739</v>
      </c>
      <c r="E4220" s="1" t="s">
        <v>7</v>
      </c>
    </row>
    <row r="4221" customFormat="false" ht="16" hidden="false" customHeight="false" outlineLevel="0" collapsed="false">
      <c r="A4221" s="1" t="s">
        <v>6291</v>
      </c>
      <c r="B4221" s="1" t="s">
        <v>2871</v>
      </c>
      <c r="C4221" s="1" t="s">
        <v>4737</v>
      </c>
      <c r="D4221" s="1" t="s">
        <v>4741</v>
      </c>
      <c r="E4221" s="1" t="s">
        <v>7</v>
      </c>
    </row>
    <row r="4222" customFormat="false" ht="16" hidden="false" customHeight="false" outlineLevel="0" collapsed="false">
      <c r="A4222" s="1" t="s">
        <v>6292</v>
      </c>
      <c r="B4222" s="1" t="s">
        <v>2871</v>
      </c>
      <c r="C4222" s="1" t="s">
        <v>4737</v>
      </c>
      <c r="D4222" s="1" t="s">
        <v>4743</v>
      </c>
      <c r="E4222" s="1" t="s">
        <v>7</v>
      </c>
    </row>
    <row r="4223" customFormat="false" ht="16" hidden="false" customHeight="false" outlineLevel="0" collapsed="false">
      <c r="A4223" s="1" t="s">
        <v>6293</v>
      </c>
      <c r="B4223" s="1" t="s">
        <v>2871</v>
      </c>
      <c r="C4223" s="1" t="s">
        <v>4737</v>
      </c>
      <c r="D4223" s="1" t="s">
        <v>4745</v>
      </c>
      <c r="E4223" s="1" t="s">
        <v>7</v>
      </c>
    </row>
    <row r="4224" customFormat="false" ht="16" hidden="false" customHeight="false" outlineLevel="0" collapsed="false">
      <c r="A4224" s="1" t="s">
        <v>6294</v>
      </c>
      <c r="B4224" s="1" t="s">
        <v>2871</v>
      </c>
      <c r="C4224" s="1" t="s">
        <v>4737</v>
      </c>
      <c r="D4224" s="1" t="s">
        <v>770</v>
      </c>
      <c r="E4224" s="1" t="s">
        <v>7</v>
      </c>
    </row>
    <row r="4225" customFormat="false" ht="16" hidden="false" customHeight="false" outlineLevel="0" collapsed="false">
      <c r="A4225" s="1" t="s">
        <v>6295</v>
      </c>
      <c r="B4225" s="1" t="s">
        <v>6296</v>
      </c>
      <c r="C4225" s="1" t="s">
        <v>4737</v>
      </c>
      <c r="D4225" s="1" t="s">
        <v>4739</v>
      </c>
      <c r="E4225" s="1" t="s">
        <v>7</v>
      </c>
    </row>
    <row r="4226" customFormat="false" ht="16" hidden="false" customHeight="false" outlineLevel="0" collapsed="false">
      <c r="A4226" s="1" t="s">
        <v>6297</v>
      </c>
      <c r="B4226" s="1" t="s">
        <v>6296</v>
      </c>
      <c r="C4226" s="1" t="s">
        <v>4737</v>
      </c>
      <c r="D4226" s="1" t="s">
        <v>4741</v>
      </c>
      <c r="E4226" s="1" t="s">
        <v>7</v>
      </c>
    </row>
    <row r="4227" customFormat="false" ht="16" hidden="false" customHeight="false" outlineLevel="0" collapsed="false">
      <c r="A4227" s="1" t="s">
        <v>6298</v>
      </c>
      <c r="B4227" s="1" t="s">
        <v>6296</v>
      </c>
      <c r="C4227" s="1" t="s">
        <v>4737</v>
      </c>
      <c r="D4227" s="1" t="s">
        <v>4743</v>
      </c>
      <c r="E4227" s="1" t="s">
        <v>7</v>
      </c>
    </row>
    <row r="4228" customFormat="false" ht="16" hidden="false" customHeight="false" outlineLevel="0" collapsed="false">
      <c r="A4228" s="1" t="s">
        <v>6299</v>
      </c>
      <c r="B4228" s="1" t="s">
        <v>6296</v>
      </c>
      <c r="C4228" s="1" t="s">
        <v>4737</v>
      </c>
      <c r="D4228" s="1" t="s">
        <v>4745</v>
      </c>
      <c r="E4228" s="1" t="s">
        <v>7</v>
      </c>
    </row>
    <row r="4229" customFormat="false" ht="16" hidden="false" customHeight="false" outlineLevel="0" collapsed="false">
      <c r="A4229" s="1" t="s">
        <v>6300</v>
      </c>
      <c r="B4229" s="1" t="s">
        <v>6296</v>
      </c>
      <c r="C4229" s="1" t="s">
        <v>4737</v>
      </c>
      <c r="D4229" s="1" t="s">
        <v>770</v>
      </c>
      <c r="E4229" s="1" t="s">
        <v>7</v>
      </c>
    </row>
    <row r="4230" customFormat="false" ht="16" hidden="false" customHeight="false" outlineLevel="0" collapsed="false">
      <c r="A4230" s="1" t="s">
        <v>6301</v>
      </c>
      <c r="B4230" s="1" t="s">
        <v>2883</v>
      </c>
      <c r="C4230" s="1" t="s">
        <v>4737</v>
      </c>
      <c r="D4230" s="1" t="s">
        <v>4739</v>
      </c>
      <c r="E4230" s="1" t="s">
        <v>7</v>
      </c>
    </row>
    <row r="4231" customFormat="false" ht="16" hidden="false" customHeight="false" outlineLevel="0" collapsed="false">
      <c r="A4231" s="1" t="s">
        <v>6302</v>
      </c>
      <c r="B4231" s="1" t="s">
        <v>2883</v>
      </c>
      <c r="C4231" s="1" t="s">
        <v>4737</v>
      </c>
      <c r="D4231" s="1" t="s">
        <v>4741</v>
      </c>
      <c r="E4231" s="1" t="s">
        <v>7</v>
      </c>
    </row>
    <row r="4232" customFormat="false" ht="16" hidden="false" customHeight="false" outlineLevel="0" collapsed="false">
      <c r="A4232" s="1" t="s">
        <v>6303</v>
      </c>
      <c r="B4232" s="1" t="s">
        <v>2883</v>
      </c>
      <c r="C4232" s="1" t="s">
        <v>4737</v>
      </c>
      <c r="D4232" s="1" t="s">
        <v>4743</v>
      </c>
      <c r="E4232" s="1" t="s">
        <v>7</v>
      </c>
    </row>
    <row r="4233" customFormat="false" ht="16" hidden="false" customHeight="false" outlineLevel="0" collapsed="false">
      <c r="A4233" s="1" t="s">
        <v>6304</v>
      </c>
      <c r="B4233" s="1" t="s">
        <v>2883</v>
      </c>
      <c r="C4233" s="1" t="s">
        <v>4737</v>
      </c>
      <c r="D4233" s="1" t="s">
        <v>4745</v>
      </c>
      <c r="E4233" s="1" t="s">
        <v>7</v>
      </c>
    </row>
    <row r="4234" customFormat="false" ht="16" hidden="false" customHeight="false" outlineLevel="0" collapsed="false">
      <c r="A4234" s="1" t="s">
        <v>6305</v>
      </c>
      <c r="B4234" s="1" t="s">
        <v>2883</v>
      </c>
      <c r="C4234" s="1" t="s">
        <v>4737</v>
      </c>
      <c r="D4234" s="1" t="s">
        <v>770</v>
      </c>
      <c r="E4234" s="1" t="s">
        <v>7</v>
      </c>
    </row>
    <row r="4235" customFormat="false" ht="16" hidden="false" customHeight="false" outlineLevel="0" collapsed="false">
      <c r="A4235" s="1" t="s">
        <v>6306</v>
      </c>
      <c r="B4235" s="1" t="s">
        <v>2889</v>
      </c>
      <c r="C4235" s="1" t="s">
        <v>4737</v>
      </c>
      <c r="D4235" s="1" t="s">
        <v>4739</v>
      </c>
      <c r="E4235" s="1" t="s">
        <v>7</v>
      </c>
    </row>
    <row r="4236" customFormat="false" ht="16" hidden="false" customHeight="false" outlineLevel="0" collapsed="false">
      <c r="A4236" s="1" t="s">
        <v>6307</v>
      </c>
      <c r="B4236" s="1" t="s">
        <v>2889</v>
      </c>
      <c r="C4236" s="1" t="s">
        <v>4737</v>
      </c>
      <c r="D4236" s="1" t="s">
        <v>4741</v>
      </c>
      <c r="E4236" s="1" t="s">
        <v>7</v>
      </c>
    </row>
    <row r="4237" customFormat="false" ht="16" hidden="false" customHeight="false" outlineLevel="0" collapsed="false">
      <c r="A4237" s="1" t="s">
        <v>6308</v>
      </c>
      <c r="B4237" s="1" t="s">
        <v>2889</v>
      </c>
      <c r="C4237" s="1" t="s">
        <v>4737</v>
      </c>
      <c r="D4237" s="1" t="s">
        <v>4743</v>
      </c>
      <c r="E4237" s="1" t="s">
        <v>7</v>
      </c>
    </row>
    <row r="4238" customFormat="false" ht="16" hidden="false" customHeight="false" outlineLevel="0" collapsed="false">
      <c r="A4238" s="1" t="s">
        <v>6309</v>
      </c>
      <c r="B4238" s="1" t="s">
        <v>2889</v>
      </c>
      <c r="C4238" s="1" t="s">
        <v>4737</v>
      </c>
      <c r="D4238" s="1" t="s">
        <v>4745</v>
      </c>
      <c r="E4238" s="1" t="s">
        <v>7</v>
      </c>
    </row>
    <row r="4239" customFormat="false" ht="16" hidden="false" customHeight="false" outlineLevel="0" collapsed="false">
      <c r="A4239" s="1" t="s">
        <v>6310</v>
      </c>
      <c r="B4239" s="1" t="s">
        <v>2889</v>
      </c>
      <c r="C4239" s="1" t="s">
        <v>4737</v>
      </c>
      <c r="D4239" s="1" t="s">
        <v>770</v>
      </c>
      <c r="E4239" s="1" t="s">
        <v>7</v>
      </c>
    </row>
    <row r="4240" customFormat="false" ht="16" hidden="false" customHeight="false" outlineLevel="0" collapsed="false">
      <c r="A4240" s="1" t="s">
        <v>6311</v>
      </c>
      <c r="B4240" s="1" t="s">
        <v>2895</v>
      </c>
      <c r="C4240" s="1" t="s">
        <v>4737</v>
      </c>
      <c r="D4240" s="1" t="s">
        <v>4739</v>
      </c>
      <c r="E4240" s="1" t="s">
        <v>7</v>
      </c>
    </row>
    <row r="4241" customFormat="false" ht="16" hidden="false" customHeight="false" outlineLevel="0" collapsed="false">
      <c r="A4241" s="1" t="s">
        <v>6312</v>
      </c>
      <c r="B4241" s="1" t="s">
        <v>2895</v>
      </c>
      <c r="C4241" s="1" t="s">
        <v>4737</v>
      </c>
      <c r="D4241" s="1" t="s">
        <v>4741</v>
      </c>
      <c r="E4241" s="1" t="s">
        <v>7</v>
      </c>
    </row>
    <row r="4242" customFormat="false" ht="16" hidden="false" customHeight="false" outlineLevel="0" collapsed="false">
      <c r="A4242" s="1" t="s">
        <v>6313</v>
      </c>
      <c r="B4242" s="1" t="s">
        <v>2895</v>
      </c>
      <c r="C4242" s="1" t="s">
        <v>4737</v>
      </c>
      <c r="D4242" s="1" t="s">
        <v>4743</v>
      </c>
      <c r="E4242" s="1" t="s">
        <v>7</v>
      </c>
    </row>
    <row r="4243" customFormat="false" ht="16" hidden="false" customHeight="false" outlineLevel="0" collapsed="false">
      <c r="A4243" s="1" t="s">
        <v>6314</v>
      </c>
      <c r="B4243" s="1" t="s">
        <v>2895</v>
      </c>
      <c r="C4243" s="1" t="s">
        <v>4737</v>
      </c>
      <c r="D4243" s="1" t="s">
        <v>4745</v>
      </c>
      <c r="E4243" s="1" t="s">
        <v>7</v>
      </c>
    </row>
    <row r="4244" customFormat="false" ht="16" hidden="false" customHeight="false" outlineLevel="0" collapsed="false">
      <c r="A4244" s="1" t="s">
        <v>6315</v>
      </c>
      <c r="B4244" s="1" t="s">
        <v>2895</v>
      </c>
      <c r="C4244" s="1" t="s">
        <v>4737</v>
      </c>
      <c r="D4244" s="1" t="s">
        <v>770</v>
      </c>
      <c r="E4244" s="1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T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C1" activeCellId="0" sqref="C1"/>
    </sheetView>
  </sheetViews>
  <sheetFormatPr defaultColWidth="8.62109375" defaultRowHeight="16" zeroHeight="false" outlineLevelRow="0" outlineLevelCol="0"/>
  <cols>
    <col collapsed="false" customWidth="true" hidden="false" outlineLevel="0" max="1" min="1" style="1" width="22.33"/>
    <col collapsed="false" customWidth="true" hidden="false" outlineLevel="0" max="2" min="2" style="1" width="13.67"/>
    <col collapsed="false" customWidth="true" hidden="false" outlineLevel="0" max="3" min="3" style="1" width="13.33"/>
    <col collapsed="false" customWidth="false" hidden="false" outlineLevel="0" max="1025" min="4" style="1" width="8.67"/>
  </cols>
  <sheetData>
    <row r="1" customFormat="false" ht="16" hidden="false" customHeight="false" outlineLevel="0" collapsed="false">
      <c r="A1" s="1" t="s">
        <v>6316</v>
      </c>
      <c r="B1" s="1" t="str">
        <f aca="false" t="array" ref="B1:GT1">IF(TRANSPOSE(l_fp!A3:A203)=0,"",TRANSPOSE(l_fp!A3:A203))</f>
        <v/>
      </c>
      <c r="C1" s="1" t="str">
        <v>73ed05cc-9727-4abf-9516-4b5c0fe54a16</v>
      </c>
      <c r="D1" s="1" t="str">
        <v>b53d3744-3629-4219-be20-980865e54031</v>
      </c>
      <c r="E1" s="1" t="str">
        <v>9990b51b-7023-4700-bca0-1a32ef921f74</v>
      </c>
      <c r="F1" s="1" t="str">
        <v>d068f3e2-b033-417b-a359-ca4f25da9731</v>
      </c>
      <c r="G1" s="1" t="str">
        <v>e3f5fd63-7dcb-41f1-9b8a-a48a8d68bc65</v>
      </c>
      <c r="H1" s="1" t="str">
        <v>af01e564-f816-4906-bd4f-b7c932f926b9</v>
      </c>
      <c r="I1" s="1" t="str">
        <v/>
      </c>
      <c r="J1" s="1" t="str">
        <v/>
      </c>
      <c r="K1" s="1" t="str">
        <v/>
      </c>
      <c r="L1" s="1" t="str">
        <v/>
      </c>
      <c r="M1" s="1" t="str">
        <v/>
      </c>
      <c r="N1" s="1" t="str">
        <v/>
      </c>
      <c r="O1" s="1" t="str">
        <v/>
      </c>
      <c r="P1" s="1" t="str">
        <v/>
      </c>
      <c r="Q1" s="1" t="str">
        <v/>
      </c>
      <c r="R1" s="1" t="str">
        <v/>
      </c>
      <c r="S1" s="1" t="str">
        <v/>
      </c>
      <c r="T1" s="1" t="str">
        <v/>
      </c>
      <c r="U1" s="1" t="str">
        <v/>
      </c>
      <c r="V1" s="1" t="str">
        <v/>
      </c>
      <c r="W1" s="1" t="str">
        <v/>
      </c>
      <c r="X1" s="1" t="str">
        <v/>
      </c>
      <c r="Y1" s="1" t="str">
        <v/>
      </c>
      <c r="Z1" s="1" t="str">
        <v/>
      </c>
      <c r="AA1" s="1" t="str">
        <v/>
      </c>
      <c r="AB1" s="1" t="str">
        <v/>
      </c>
      <c r="AC1" s="1" t="str">
        <v/>
      </c>
      <c r="AD1" s="1" t="str">
        <v/>
      </c>
      <c r="AE1" s="1" t="str">
        <v/>
      </c>
      <c r="AF1" s="1" t="str">
        <v/>
      </c>
      <c r="AG1" s="1" t="str">
        <v/>
      </c>
      <c r="AH1" s="1" t="str">
        <v/>
      </c>
      <c r="AI1" s="1" t="str">
        <v/>
      </c>
      <c r="AJ1" s="1" t="str">
        <v/>
      </c>
      <c r="AK1" s="1" t="str">
        <v/>
      </c>
      <c r="AL1" s="1" t="str">
        <v/>
      </c>
      <c r="AM1" s="1" t="str">
        <v/>
      </c>
      <c r="AN1" s="1" t="str">
        <v/>
      </c>
      <c r="AO1" s="1" t="str">
        <v/>
      </c>
      <c r="AP1" s="1" t="str">
        <v/>
      </c>
      <c r="AQ1" s="1" t="str">
        <v/>
      </c>
      <c r="AR1" s="1" t="str">
        <v/>
      </c>
      <c r="AS1" s="1" t="str">
        <v/>
      </c>
      <c r="AT1" s="1" t="str">
        <v/>
      </c>
      <c r="AU1" s="1" t="str">
        <v/>
      </c>
      <c r="AV1" s="1" t="str">
        <v/>
      </c>
      <c r="AW1" s="1" t="str">
        <v/>
      </c>
      <c r="AX1" s="1" t="str">
        <v/>
      </c>
      <c r="AY1" s="1" t="str">
        <v/>
      </c>
      <c r="AZ1" s="1" t="str">
        <v/>
      </c>
      <c r="BA1" s="1" t="str">
        <v/>
      </c>
      <c r="BB1" s="1" t="str">
        <v/>
      </c>
      <c r="BC1" s="1" t="str">
        <v/>
      </c>
      <c r="BD1" s="1" t="str">
        <v/>
      </c>
      <c r="BE1" s="1" t="str">
        <v/>
      </c>
      <c r="BF1" s="1" t="str">
        <v/>
      </c>
      <c r="BG1" s="1" t="str">
        <v/>
      </c>
      <c r="BH1" s="1" t="str">
        <v/>
      </c>
      <c r="BI1" s="1" t="str">
        <v/>
      </c>
      <c r="BJ1" s="1" t="str">
        <v/>
      </c>
      <c r="BK1" s="1" t="str">
        <v/>
      </c>
      <c r="BL1" s="1" t="str">
        <v/>
      </c>
      <c r="BM1" s="1" t="str">
        <v/>
      </c>
      <c r="BN1" s="1" t="str">
        <v/>
      </c>
      <c r="BO1" s="1" t="str">
        <v/>
      </c>
      <c r="BP1" s="1" t="str">
        <v/>
      </c>
      <c r="BQ1" s="1" t="str">
        <v/>
      </c>
      <c r="BR1" s="1" t="str">
        <v/>
      </c>
      <c r="BS1" s="1" t="str">
        <v/>
      </c>
      <c r="BT1" s="1" t="str">
        <v/>
      </c>
      <c r="BU1" s="1" t="str">
        <v/>
      </c>
      <c r="BV1" s="1" t="str">
        <v/>
      </c>
      <c r="BW1" s="1" t="str">
        <v/>
      </c>
      <c r="BX1" s="1" t="str">
        <v/>
      </c>
      <c r="BY1" s="1" t="str">
        <v/>
      </c>
      <c r="BZ1" s="1" t="str">
        <v/>
      </c>
      <c r="CA1" s="1" t="str">
        <v/>
      </c>
      <c r="CB1" s="1" t="str">
        <v/>
      </c>
      <c r="CC1" s="1" t="str">
        <v/>
      </c>
      <c r="CD1" s="1" t="str">
        <v/>
      </c>
      <c r="CE1" s="1" t="str">
        <v/>
      </c>
      <c r="CF1" s="1" t="str">
        <v/>
      </c>
      <c r="CG1" s="1" t="str">
        <v/>
      </c>
      <c r="CH1" s="1" t="str">
        <v/>
      </c>
      <c r="CI1" s="1" t="str">
        <v/>
      </c>
      <c r="CJ1" s="1" t="str">
        <v/>
      </c>
      <c r="CK1" s="1" t="str">
        <v/>
      </c>
      <c r="CL1" s="1" t="str">
        <v/>
      </c>
      <c r="CM1" s="1" t="str">
        <v/>
      </c>
      <c r="CN1" s="1" t="str">
        <v/>
      </c>
      <c r="CO1" s="1" t="str">
        <v/>
      </c>
      <c r="CP1" s="1" t="str">
        <v/>
      </c>
      <c r="CQ1" s="1" t="str">
        <v/>
      </c>
      <c r="CR1" s="1" t="str">
        <v/>
      </c>
      <c r="CS1" s="1" t="str">
        <v/>
      </c>
      <c r="CT1" s="1" t="str">
        <v/>
      </c>
      <c r="CU1" s="1" t="str">
        <v/>
      </c>
      <c r="CV1" s="1" t="str">
        <v/>
      </c>
      <c r="CW1" s="1" t="str">
        <v/>
      </c>
      <c r="CX1" s="1" t="str">
        <v/>
      </c>
      <c r="CY1" s="1" t="str">
        <v/>
      </c>
      <c r="CZ1" s="1" t="str">
        <v/>
      </c>
      <c r="DA1" s="1" t="str">
        <v/>
      </c>
      <c r="DB1" s="1" t="str">
        <v/>
      </c>
      <c r="DC1" s="1" t="str">
        <v/>
      </c>
      <c r="DD1" s="1" t="str">
        <v/>
      </c>
      <c r="DE1" s="1" t="str">
        <v/>
      </c>
      <c r="DF1" s="1" t="str">
        <v/>
      </c>
      <c r="DG1" s="1" t="str">
        <v/>
      </c>
      <c r="DH1" s="1" t="str">
        <v/>
      </c>
      <c r="DI1" s="1" t="str">
        <v/>
      </c>
      <c r="DJ1" s="1" t="str">
        <v/>
      </c>
      <c r="DK1" s="1" t="str">
        <v/>
      </c>
      <c r="DL1" s="1" t="str">
        <v/>
      </c>
      <c r="DM1" s="1" t="str">
        <v/>
      </c>
      <c r="DN1" s="1" t="str">
        <v/>
      </c>
      <c r="DO1" s="1" t="str">
        <v/>
      </c>
      <c r="DP1" s="1" t="str">
        <v/>
      </c>
      <c r="DQ1" s="1" t="str">
        <v/>
      </c>
      <c r="DR1" s="1" t="str">
        <v/>
      </c>
      <c r="DS1" s="1" t="str">
        <v/>
      </c>
      <c r="DT1" s="1" t="str">
        <v/>
      </c>
      <c r="DU1" s="1" t="str">
        <v/>
      </c>
      <c r="DV1" s="1" t="str">
        <v/>
      </c>
      <c r="DW1" s="1" t="str">
        <v/>
      </c>
      <c r="DX1" s="1" t="str">
        <v/>
      </c>
      <c r="DY1" s="1" t="str">
        <v/>
      </c>
      <c r="DZ1" s="1" t="str">
        <v/>
      </c>
      <c r="EA1" s="1" t="str">
        <v/>
      </c>
      <c r="EB1" s="1" t="str">
        <v/>
      </c>
      <c r="EC1" s="1" t="str">
        <v/>
      </c>
      <c r="ED1" s="1" t="str">
        <v/>
      </c>
      <c r="EE1" s="1" t="str">
        <v/>
      </c>
      <c r="EF1" s="1" t="str">
        <v/>
      </c>
      <c r="EG1" s="1" t="str">
        <v/>
      </c>
      <c r="EH1" s="1" t="str">
        <v/>
      </c>
      <c r="EI1" s="1" t="str">
        <v/>
      </c>
      <c r="EJ1" s="1" t="str">
        <v/>
      </c>
      <c r="EK1" s="1" t="str">
        <v/>
      </c>
      <c r="EL1" s="1" t="str">
        <v/>
      </c>
      <c r="EM1" s="1" t="str">
        <v/>
      </c>
      <c r="EN1" s="1" t="str">
        <v/>
      </c>
      <c r="EO1" s="1" t="str">
        <v/>
      </c>
      <c r="EP1" s="1" t="str">
        <v/>
      </c>
      <c r="EQ1" s="1" t="str">
        <v/>
      </c>
      <c r="ER1" s="1" t="str">
        <v/>
      </c>
      <c r="ES1" s="1" t="str">
        <v/>
      </c>
      <c r="ET1" s="1" t="str">
        <v/>
      </c>
      <c r="EU1" s="1" t="str">
        <v/>
      </c>
      <c r="EV1" s="1" t="str">
        <v/>
      </c>
      <c r="EW1" s="1" t="str">
        <v/>
      </c>
      <c r="EX1" s="1" t="str">
        <v/>
      </c>
      <c r="EY1" s="1" t="str">
        <v/>
      </c>
      <c r="EZ1" s="1" t="str">
        <v/>
      </c>
      <c r="FA1" s="1" t="str">
        <v/>
      </c>
      <c r="FB1" s="1" t="str">
        <v/>
      </c>
      <c r="FC1" s="1" t="str">
        <v/>
      </c>
      <c r="FD1" s="1" t="str">
        <v/>
      </c>
      <c r="FE1" s="1" t="str">
        <v/>
      </c>
      <c r="FF1" s="1" t="str">
        <v/>
      </c>
      <c r="FG1" s="1" t="str">
        <v/>
      </c>
      <c r="FH1" s="1" t="str">
        <v/>
      </c>
      <c r="FI1" s="1" t="str">
        <v/>
      </c>
      <c r="FJ1" s="1" t="str">
        <v/>
      </c>
      <c r="FK1" s="1" t="str">
        <v/>
      </c>
      <c r="FL1" s="1" t="str">
        <v/>
      </c>
      <c r="FM1" s="1" t="str">
        <v/>
      </c>
      <c r="FN1" s="1" t="str">
        <v/>
      </c>
      <c r="FO1" s="1" t="str">
        <v/>
      </c>
      <c r="FP1" s="1" t="str">
        <v/>
      </c>
      <c r="FQ1" s="1" t="str">
        <v/>
      </c>
      <c r="FR1" s="1" t="str">
        <v/>
      </c>
      <c r="FS1" s="1" t="str">
        <v/>
      </c>
      <c r="FT1" s="1" t="str">
        <v/>
      </c>
      <c r="FU1" s="1" t="str">
        <v/>
      </c>
      <c r="FV1" s="1" t="str">
        <v/>
      </c>
      <c r="FW1" s="1" t="str">
        <v/>
      </c>
      <c r="FX1" s="1" t="str">
        <v/>
      </c>
      <c r="FY1" s="1" t="str">
        <v/>
      </c>
      <c r="FZ1" s="1" t="str">
        <v/>
      </c>
      <c r="GA1" s="1" t="str">
        <v/>
      </c>
      <c r="GB1" s="1" t="str">
        <v/>
      </c>
      <c r="GC1" s="1" t="str">
        <v/>
      </c>
      <c r="GD1" s="1" t="str">
        <v/>
      </c>
      <c r="GE1" s="1" t="str">
        <v/>
      </c>
      <c r="GF1" s="1" t="str">
        <v/>
      </c>
      <c r="GG1" s="1" t="str">
        <v/>
      </c>
      <c r="GH1" s="1" t="str">
        <v/>
      </c>
      <c r="GI1" s="1" t="str">
        <v/>
      </c>
      <c r="GJ1" s="1" t="str">
        <v/>
      </c>
      <c r="GK1" s="1" t="str">
        <v/>
      </c>
      <c r="GL1" s="1" t="str">
        <v/>
      </c>
      <c r="GM1" s="1" t="str">
        <v/>
      </c>
      <c r="GN1" s="1" t="str">
        <v/>
      </c>
      <c r="GO1" s="1" t="str">
        <v/>
      </c>
      <c r="GP1" s="1" t="str">
        <v/>
      </c>
      <c r="GQ1" s="1" t="str">
        <v/>
      </c>
      <c r="GR1" s="1" t="str">
        <v/>
      </c>
      <c r="GS1" s="1" t="str">
        <v/>
      </c>
      <c r="GT1" s="1" t="str">
        <v/>
      </c>
    </row>
    <row r="4" customFormat="false" ht="16" hidden="false" customHeight="false" outlineLevel="0" collapsed="false">
      <c r="A4" s="1" t="str">
        <f aca="false">l_trans!$A$3</f>
        <v>CO2</v>
      </c>
    </row>
    <row r="5" customFormat="false" ht="16" hidden="false" customHeight="false" outlineLevel="0" collapsed="false">
      <c r="A5" s="1" t="str">
        <f aca="false">l_trans!$A$4</f>
        <v>CH4</v>
      </c>
    </row>
    <row r="6" customFormat="false" ht="16" hidden="false" customHeight="false" outlineLevel="0" collapsed="false">
      <c r="A6" s="1" t="str">
        <f aca="false">l_trans!$A$26</f>
        <v>Fe n.e.s.</v>
      </c>
    </row>
    <row r="7" customFormat="false" ht="16" hidden="false" customHeight="false" outlineLevel="0" collapsed="false">
      <c r="A7" s="1" t="e">
        <f aca="false">l_trans #REF!</f>
        <v>#VALUE!</v>
      </c>
    </row>
    <row r="8" customFormat="false" ht="16" hidden="false" customHeight="false" outlineLevel="0" collapsed="false">
      <c r="A8" s="1" t="str">
        <f aca="false">l_trans!$A$5</f>
        <v>C n.e.s.</v>
      </c>
    </row>
    <row r="9" customFormat="false" ht="16" hidden="false" customHeight="false" outlineLevel="0" collapsed="false">
      <c r="A9" s="1" t="str">
        <f aca="false">l_trans!$A$6</f>
        <v>C_bio</v>
      </c>
    </row>
    <row r="10" customFormat="false" ht="16" hidden="false" customHeight="false" outlineLevel="0" collapsed="false">
      <c r="A10" s="1" t="str">
        <f aca="false">l_trans!$A$7</f>
        <v>C_fossil</v>
      </c>
    </row>
    <row r="11" customFormat="false" ht="16" hidden="false" customHeight="false" outlineLevel="0" collapsed="false">
      <c r="A11" s="1" t="str">
        <f aca="false">l_trans!$A$8</f>
        <v>Ca n.e.s.</v>
      </c>
    </row>
    <row r="12" customFormat="false" ht="16" hidden="false" customHeight="false" outlineLevel="0" collapsed="false">
      <c r="A12" s="1" t="str">
        <f aca="false">l_trans!$A$9</f>
        <v>Cl n.e.s.</v>
      </c>
    </row>
    <row r="13" customFormat="false" ht="16" hidden="false" customHeight="false" outlineLevel="0" collapsed="false">
      <c r="A13" s="1" t="str">
        <f aca="false">l_trans!$A$10</f>
        <v>F n.e.s.</v>
      </c>
    </row>
    <row r="14" customFormat="false" ht="16" hidden="false" customHeight="false" outlineLevel="0" collapsed="false">
      <c r="A14" s="1" t="str">
        <f aca="false">l_trans!$A$11</f>
        <v>H n.e.s.</v>
      </c>
    </row>
    <row r="15" customFormat="false" ht="16" hidden="false" customHeight="false" outlineLevel="0" collapsed="false">
      <c r="A15" s="1" t="str">
        <f aca="false">l_trans!$A$12</f>
        <v>K n.e.s.</v>
      </c>
    </row>
    <row r="16" customFormat="false" ht="16" hidden="false" customHeight="false" outlineLevel="0" collapsed="false">
      <c r="A16" s="1" t="str">
        <f aca="false">l_trans!$A$13</f>
        <v>N n.e.s.</v>
      </c>
    </row>
    <row r="17" customFormat="false" ht="16" hidden="false" customHeight="false" outlineLevel="0" collapsed="false">
      <c r="A17" s="1" t="str">
        <f aca="false">l_trans!$A$14</f>
        <v>Na n.e.s.</v>
      </c>
    </row>
    <row r="18" customFormat="false" ht="16" hidden="false" customHeight="false" outlineLevel="0" collapsed="false">
      <c r="A18" s="1" t="str">
        <f aca="false">l_trans!$A$15</f>
        <v>O n.e.s.</v>
      </c>
    </row>
    <row r="19" customFormat="false" ht="16" hidden="false" customHeight="false" outlineLevel="0" collapsed="false">
      <c r="A19" s="1" t="str">
        <f aca="false">l_trans!$A$16</f>
        <v>P n.e.s.</v>
      </c>
    </row>
    <row r="20" customFormat="false" ht="16" hidden="false" customHeight="false" outlineLevel="0" collapsed="false">
      <c r="A20" s="1" t="str">
        <f aca="false">l_trans!$A$17</f>
        <v>S n.e.s.</v>
      </c>
    </row>
    <row r="21" customFormat="false" ht="16" hidden="false" customHeight="false" outlineLevel="0" collapsed="false">
      <c r="A21" s="1" t="str">
        <f aca="false">l_trans!$A$18</f>
        <v>Ag n.e.s.</v>
      </c>
    </row>
    <row r="22" customFormat="false" ht="16" hidden="false" customHeight="false" outlineLevel="0" collapsed="false">
      <c r="A22" s="1" t="str">
        <f aca="false">l_trans!$A$19</f>
        <v>Al n.e.s.</v>
      </c>
    </row>
    <row r="23" customFormat="false" ht="16" hidden="false" customHeight="false" outlineLevel="0" collapsed="false">
      <c r="A23" s="1" t="str">
        <f aca="false">l_trans!$A$20</f>
        <v>Ar n.e.s.</v>
      </c>
    </row>
    <row r="24" customFormat="false" ht="16" hidden="false" customHeight="false" outlineLevel="0" collapsed="false">
      <c r="A24" s="1" t="str">
        <f aca="false">l_trans!$A$21</f>
        <v>As n.e.s.</v>
      </c>
    </row>
    <row r="25" customFormat="false" ht="16" hidden="false" customHeight="false" outlineLevel="0" collapsed="false">
      <c r="A25" s="1" t="str">
        <f aca="false">l_trans!$A$22</f>
        <v>Cd n.e.s.</v>
      </c>
    </row>
    <row r="26" customFormat="false" ht="16" hidden="false" customHeight="false" outlineLevel="0" collapsed="false">
      <c r="A26" s="1" t="str">
        <f aca="false">l_trans!$A$23</f>
        <v>Co n.e.s.</v>
      </c>
    </row>
    <row r="27" customFormat="false" ht="16" hidden="false" customHeight="false" outlineLevel="0" collapsed="false">
      <c r="A27" s="1" t="str">
        <f aca="false">l_trans!$A$24</f>
        <v>Cr n.e.s.</v>
      </c>
    </row>
    <row r="28" customFormat="false" ht="16" hidden="false" customHeight="false" outlineLevel="0" collapsed="false">
      <c r="A28" s="1" t="str">
        <f aca="false">l_trans!$A$25</f>
        <v>Cu n.e.s.</v>
      </c>
    </row>
    <row r="29" customFormat="false" ht="16" hidden="false" customHeight="false" outlineLevel="0" collapsed="false">
      <c r="A29" s="1" t="e">
        <f aca="false">l_trans #REF!</f>
        <v>#VALUE!</v>
      </c>
    </row>
    <row r="30" customFormat="false" ht="16" hidden="false" customHeight="false" outlineLevel="0" collapsed="false">
      <c r="A30" s="1" t="str">
        <f aca="false">l_trans!$A$27</f>
        <v>Hg n.e.s.</v>
      </c>
    </row>
    <row r="31" customFormat="false" ht="16" hidden="false" customHeight="false" outlineLevel="0" collapsed="false">
      <c r="A31" s="1" t="str">
        <f aca="false">l_trans!$A$28</f>
        <v>Mg n.e.s.</v>
      </c>
    </row>
    <row r="32" customFormat="false" ht="16" hidden="false" customHeight="false" outlineLevel="0" collapsed="false">
      <c r="A32" s="1" t="str">
        <f aca="false">l_trans!$A$29</f>
        <v>Mn n.e.s.</v>
      </c>
    </row>
    <row r="33" customFormat="false" ht="16" hidden="false" customHeight="false" outlineLevel="0" collapsed="false">
      <c r="A33" s="1" t="str">
        <f aca="false">l_trans!$A$30</f>
        <v>Mo n.e.s.</v>
      </c>
    </row>
    <row r="34" customFormat="false" ht="16" hidden="false" customHeight="false" outlineLevel="0" collapsed="false">
      <c r="A34" s="1" t="str">
        <f aca="false">l_trans!$A$31</f>
        <v>Ni n.e.s.</v>
      </c>
    </row>
    <row r="35" customFormat="false" ht="16" hidden="false" customHeight="false" outlineLevel="0" collapsed="false">
      <c r="A35" s="1" t="str">
        <f aca="false">l_trans!$A$32</f>
        <v>Pb n.e.s.</v>
      </c>
    </row>
    <row r="36" customFormat="false" ht="16" hidden="false" customHeight="false" outlineLevel="0" collapsed="false">
      <c r="A36" s="1" t="str">
        <f aca="false">l_trans!$A$33</f>
        <v>Zn n.e.s.</v>
      </c>
    </row>
    <row r="37" customFormat="false" ht="16" hidden="false" customHeight="false" outlineLevel="0" collapsed="false">
      <c r="A37" s="1" t="str">
        <f aca="false">l_trans!$A$34</f>
        <v>Inertes n.e.s.</v>
      </c>
    </row>
    <row r="38" customFormat="false" ht="16" hidden="false" customHeight="false" outlineLevel="0" collapsed="false">
      <c r="A38" s="1" t="e">
        <f aca="false">l_trans #REF!</f>
        <v>#VALUE!</v>
      </c>
    </row>
    <row r="39" customFormat="false" ht="16" hidden="false" customHeight="false" outlineLevel="0" collapsed="false">
      <c r="A39" s="1" t="str">
        <f aca="false">l_trans!$A$35</f>
        <v>N2</v>
      </c>
    </row>
    <row r="40" customFormat="false" ht="16" hidden="false" customHeight="false" outlineLevel="0" collapsed="false">
      <c r="A40" s="1" t="str">
        <f aca="false">l_trans!$A$40</f>
        <v>Be n.e.s.</v>
      </c>
    </row>
    <row r="41" customFormat="false" ht="16" hidden="false" customHeight="false" outlineLevel="0" collapsed="false">
      <c r="A41" s="1" t="str">
        <f aca="false">l_trans!$A$41</f>
        <v>B n.e.s.</v>
      </c>
    </row>
    <row r="42" customFormat="false" ht="16" hidden="false" customHeight="false" outlineLevel="0" collapsed="false">
      <c r="A42" s="1" t="str">
        <f aca="false">l_trans!$A$42</f>
        <v>Ne n.e.s.</v>
      </c>
    </row>
    <row r="43" customFormat="false" ht="16" hidden="false" customHeight="false" outlineLevel="0" collapsed="false">
      <c r="A43" s="1" t="str">
        <f aca="false">l_trans!$A$43</f>
        <v>Si n.e.s.</v>
      </c>
    </row>
    <row r="44" customFormat="false" ht="16" hidden="false" customHeight="false" outlineLevel="0" collapsed="false">
      <c r="A44" s="1" t="str">
        <f aca="false">l_trans!$A$44</f>
        <v>Sc n.e.s.</v>
      </c>
    </row>
    <row r="45" customFormat="false" ht="16" hidden="false" customHeight="false" outlineLevel="0" collapsed="false">
      <c r="A45" s="1" t="str">
        <f aca="false">l_trans!$A$45</f>
        <v>Ti n.e.s.</v>
      </c>
    </row>
    <row r="46" customFormat="false" ht="16" hidden="false" customHeight="false" outlineLevel="0" collapsed="false">
      <c r="A46" s="1" t="str">
        <f aca="false">l_trans!$A$46</f>
        <v>V n.e.s.</v>
      </c>
    </row>
    <row r="47" customFormat="false" ht="16" hidden="false" customHeight="false" outlineLevel="0" collapsed="false">
      <c r="A47" s="1" t="str">
        <f aca="false">l_trans!$A$47</f>
        <v>Ga n.e.s.</v>
      </c>
    </row>
    <row r="48" customFormat="false" ht="16" hidden="false" customHeight="false" outlineLevel="0" collapsed="false">
      <c r="A48" s="1" t="str">
        <f aca="false">l_trans!$A$48</f>
        <v>Ge n.e.s.</v>
      </c>
    </row>
    <row r="49" customFormat="false" ht="16" hidden="false" customHeight="false" outlineLevel="0" collapsed="false">
      <c r="A49" s="1" t="str">
        <f aca="false">l_trans!$A$49</f>
        <v>Se n.e.s.</v>
      </c>
    </row>
    <row r="50" customFormat="false" ht="16" hidden="false" customHeight="false" outlineLevel="0" collapsed="false">
      <c r="A50" s="1" t="str">
        <f aca="false">l_trans!$A$50</f>
        <v>Br n.e.s.</v>
      </c>
    </row>
    <row r="51" customFormat="false" ht="16" hidden="false" customHeight="false" outlineLevel="0" collapsed="false">
      <c r="A51" s="1" t="str">
        <f aca="false">l_trans!$A$51</f>
        <v>Kr n.e.s.</v>
      </c>
    </row>
    <row r="52" customFormat="false" ht="16" hidden="false" customHeight="false" outlineLevel="0" collapsed="false">
      <c r="A52" s="1" t="str">
        <f aca="false">l_trans!$A$52</f>
        <v>Rb n.e.s.</v>
      </c>
    </row>
    <row r="53" customFormat="false" ht="16" hidden="false" customHeight="false" outlineLevel="0" collapsed="false">
      <c r="A53" s="1" t="str">
        <f aca="false">l_trans!$A$53</f>
        <v>Sr n.e.s.</v>
      </c>
    </row>
    <row r="54" customFormat="false" ht="16" hidden="false" customHeight="false" outlineLevel="0" collapsed="false">
      <c r="A54" s="1" t="str">
        <f aca="false">l_trans!$A$54</f>
        <v>Y n.e.s.</v>
      </c>
    </row>
    <row r="55" customFormat="false" ht="16" hidden="false" customHeight="false" outlineLevel="0" collapsed="false">
      <c r="A55" s="1" t="str">
        <f aca="false">l_trans!$A$55</f>
        <v>Zr n.e.s.</v>
      </c>
    </row>
    <row r="56" customFormat="false" ht="16" hidden="false" customHeight="false" outlineLevel="0" collapsed="false">
      <c r="A56" s="1" t="str">
        <f aca="false">l_trans!$A$56</f>
        <v>Nb n.e.s.</v>
      </c>
    </row>
    <row r="57" customFormat="false" ht="16" hidden="false" customHeight="false" outlineLevel="0" collapsed="false">
      <c r="A57" s="1" t="str">
        <f aca="false">l_trans!$A$57</f>
        <v>Tc n.e.s.</v>
      </c>
    </row>
    <row r="58" customFormat="false" ht="16" hidden="false" customHeight="false" outlineLevel="0" collapsed="false">
      <c r="A58" s="1" t="str">
        <f aca="false">l_trans!$A$58</f>
        <v>Ru n.e.s.</v>
      </c>
    </row>
    <row r="59" customFormat="false" ht="16" hidden="false" customHeight="false" outlineLevel="0" collapsed="false">
      <c r="A59" s="1" t="str">
        <f aca="false">l_trans!$A$59</f>
        <v>Rh n.e.s.</v>
      </c>
    </row>
    <row r="60" customFormat="false" ht="16" hidden="false" customHeight="false" outlineLevel="0" collapsed="false">
      <c r="A60" s="1" t="str">
        <f aca="false">l_trans!$A$60</f>
        <v>Pd n.e.s.</v>
      </c>
    </row>
    <row r="61" customFormat="false" ht="16" hidden="false" customHeight="false" outlineLevel="0" collapsed="false">
      <c r="A61" s="1" t="str">
        <f aca="false">l_trans!$A$61</f>
        <v>In n.e.s.</v>
      </c>
    </row>
    <row r="62" customFormat="false" ht="16" hidden="false" customHeight="false" outlineLevel="0" collapsed="false">
      <c r="A62" s="1" t="str">
        <f aca="false">l_trans!$A$62</f>
        <v>Sn n.e.s.</v>
      </c>
    </row>
    <row r="63" customFormat="false" ht="16" hidden="false" customHeight="false" outlineLevel="0" collapsed="false">
      <c r="A63" s="1" t="str">
        <f aca="false">l_trans!$A$63</f>
        <v>Sb n.e.s.</v>
      </c>
    </row>
    <row r="64" customFormat="false" ht="16" hidden="false" customHeight="false" outlineLevel="0" collapsed="false">
      <c r="A64" s="1" t="str">
        <f aca="false">l_trans!$A$64</f>
        <v>Te n.e.s.</v>
      </c>
    </row>
    <row r="65" customFormat="false" ht="16" hidden="false" customHeight="false" outlineLevel="0" collapsed="false">
      <c r="A65" s="1" t="str">
        <f aca="false">l_trans!$A$65</f>
        <v>I n.e.s.</v>
      </c>
    </row>
    <row r="66" customFormat="false" ht="16" hidden="false" customHeight="false" outlineLevel="0" collapsed="false">
      <c r="A66" s="1" t="str">
        <f aca="false">l_trans!$A$66</f>
        <v>Xe n.e.s.</v>
      </c>
    </row>
    <row r="67" customFormat="false" ht="16" hidden="false" customHeight="false" outlineLevel="0" collapsed="false">
      <c r="A67" s="1" t="str">
        <f aca="false">l_trans!$A$67</f>
        <v>Cs n.e.s.</v>
      </c>
    </row>
    <row r="68" customFormat="false" ht="16" hidden="false" customHeight="false" outlineLevel="0" collapsed="false">
      <c r="A68" s="1" t="str">
        <f aca="false">l_trans!$A$68</f>
        <v>Ba n.e.s.</v>
      </c>
    </row>
    <row r="69" customFormat="false" ht="16" hidden="false" customHeight="false" outlineLevel="0" collapsed="false">
      <c r="A69" s="1" t="str">
        <f aca="false">l_trans!$A$69</f>
        <v>La n.e.s.</v>
      </c>
    </row>
    <row r="70" customFormat="false" ht="16" hidden="false" customHeight="false" outlineLevel="0" collapsed="false">
      <c r="A70" s="1" t="str">
        <f aca="false">l_trans!$A$70</f>
        <v>Ce n.e.s.</v>
      </c>
    </row>
    <row r="71" customFormat="false" ht="16" hidden="false" customHeight="false" outlineLevel="0" collapsed="false">
      <c r="A71" s="1" t="str">
        <f aca="false">l_trans!$A$71</f>
        <v>Pr n.e.s.</v>
      </c>
    </row>
    <row r="72" customFormat="false" ht="16" hidden="false" customHeight="false" outlineLevel="0" collapsed="false">
      <c r="A72" s="1" t="str">
        <f aca="false">l_trans!$A$72</f>
        <v>Nd n.e.s.</v>
      </c>
    </row>
    <row r="73" customFormat="false" ht="16" hidden="false" customHeight="false" outlineLevel="0" collapsed="false">
      <c r="A73" s="1" t="str">
        <f aca="false">l_trans!$A$73</f>
        <v>Pm n.e.s.</v>
      </c>
    </row>
    <row r="74" customFormat="false" ht="16" hidden="false" customHeight="false" outlineLevel="0" collapsed="false">
      <c r="A74" s="1" t="str">
        <f aca="false">l_trans!$A$74</f>
        <v>Sm n.e.s.</v>
      </c>
    </row>
    <row r="75" customFormat="false" ht="16" hidden="false" customHeight="false" outlineLevel="0" collapsed="false">
      <c r="A75" s="1" t="str">
        <f aca="false">l_trans!$A$75</f>
        <v>Eu n.e.s.</v>
      </c>
    </row>
    <row r="76" customFormat="false" ht="16" hidden="false" customHeight="false" outlineLevel="0" collapsed="false">
      <c r="A76" s="1" t="str">
        <f aca="false">l_trans!$A$76</f>
        <v>Gd n.e.s.</v>
      </c>
    </row>
    <row r="77" customFormat="false" ht="16" hidden="false" customHeight="false" outlineLevel="0" collapsed="false">
      <c r="A77" s="1" t="str">
        <f aca="false">l_trans!$A$77</f>
        <v>Tb n.e.s.</v>
      </c>
    </row>
    <row r="78" customFormat="false" ht="16" hidden="false" customHeight="false" outlineLevel="0" collapsed="false">
      <c r="A78" s="1" t="str">
        <f aca="false">l_trans!$A$78</f>
        <v>Dy n.e.s.</v>
      </c>
    </row>
    <row r="79" customFormat="false" ht="16" hidden="false" customHeight="false" outlineLevel="0" collapsed="false">
      <c r="A79" s="1" t="str">
        <f aca="false">l_trans!$A$79</f>
        <v>Ho n.e.s.</v>
      </c>
    </row>
    <row r="80" customFormat="false" ht="16" hidden="false" customHeight="false" outlineLevel="0" collapsed="false">
      <c r="A80" s="1" t="str">
        <f aca="false">l_trans!$A$80</f>
        <v>Er n.e.s.</v>
      </c>
    </row>
    <row r="81" customFormat="false" ht="16" hidden="false" customHeight="false" outlineLevel="0" collapsed="false">
      <c r="A81" s="1" t="str">
        <f aca="false">l_trans!$A$81</f>
        <v>Tm n.e.s.</v>
      </c>
    </row>
    <row r="82" customFormat="false" ht="16" hidden="false" customHeight="false" outlineLevel="0" collapsed="false">
      <c r="A82" s="1" t="str">
        <f aca="false">l_trans!$A$82</f>
        <v>Yb n.e.s.</v>
      </c>
    </row>
    <row r="83" customFormat="false" ht="16" hidden="false" customHeight="false" outlineLevel="0" collapsed="false">
      <c r="A83" s="1" t="str">
        <f aca="false">l_trans!$A$83</f>
        <v>Lu n.e.s.</v>
      </c>
    </row>
    <row r="84" customFormat="false" ht="16" hidden="false" customHeight="false" outlineLevel="0" collapsed="false">
      <c r="A84" s="1" t="str">
        <f aca="false">l_trans!$A$84</f>
        <v>Hf n.e.s.</v>
      </c>
    </row>
    <row r="85" customFormat="false" ht="16" hidden="false" customHeight="false" outlineLevel="0" collapsed="false">
      <c r="A85" s="1" t="str">
        <f aca="false">l_trans!$A$85</f>
        <v>Ta n.e.s.</v>
      </c>
    </row>
    <row r="86" customFormat="false" ht="16" hidden="false" customHeight="false" outlineLevel="0" collapsed="false">
      <c r="A86" s="1" t="str">
        <f aca="false">l_trans!$A$86</f>
        <v>W n.e.s.</v>
      </c>
    </row>
    <row r="87" customFormat="false" ht="16" hidden="false" customHeight="false" outlineLevel="0" collapsed="false">
      <c r="A87" s="1" t="str">
        <f aca="false">l_trans!$A$87</f>
        <v>Re n.e.s.</v>
      </c>
    </row>
    <row r="88" customFormat="false" ht="16" hidden="false" customHeight="false" outlineLevel="0" collapsed="false">
      <c r="A88" s="1" t="str">
        <f aca="false">l_trans!$A$88</f>
        <v>Os n.e.s.</v>
      </c>
    </row>
    <row r="89" customFormat="false" ht="16" hidden="false" customHeight="false" outlineLevel="0" collapsed="false">
      <c r="A89" s="1" t="str">
        <f aca="false">l_trans!$A$89</f>
        <v>Ir n.e.s.</v>
      </c>
    </row>
    <row r="90" customFormat="false" ht="16" hidden="false" customHeight="false" outlineLevel="0" collapsed="false">
      <c r="A90" s="1" t="str">
        <f aca="false">l_trans!$A$90</f>
        <v>Pt n.e.s.</v>
      </c>
    </row>
    <row r="91" customFormat="false" ht="16" hidden="false" customHeight="false" outlineLevel="0" collapsed="false">
      <c r="A91" s="1" t="str">
        <f aca="false">l_trans!$A$91</f>
        <v>Au n.e.s.</v>
      </c>
    </row>
    <row r="92" customFormat="false" ht="16" hidden="false" customHeight="false" outlineLevel="0" collapsed="false">
      <c r="A92" s="1" t="str">
        <f aca="false">l_trans!$A$92</f>
        <v>Tl n.e.s.</v>
      </c>
    </row>
    <row r="93" customFormat="false" ht="16" hidden="false" customHeight="false" outlineLevel="0" collapsed="false">
      <c r="A93" s="1" t="str">
        <f aca="false">l_trans!$A$93</f>
        <v>Bi n.e.s.</v>
      </c>
    </row>
    <row r="94" customFormat="false" ht="16" hidden="false" customHeight="false" outlineLevel="0" collapsed="false">
      <c r="A94" s="1" t="str">
        <f aca="false">l_trans!$A$94</f>
        <v>Po n.e.s.</v>
      </c>
    </row>
    <row r="95" customFormat="false" ht="16" hidden="false" customHeight="false" outlineLevel="0" collapsed="false">
      <c r="A95" s="1" t="str">
        <f aca="false">l_trans!$A$95</f>
        <v>At n.e.s.</v>
      </c>
    </row>
    <row r="96" customFormat="false" ht="16" hidden="false" customHeight="false" outlineLevel="0" collapsed="false">
      <c r="A96" s="1" t="str">
        <f aca="false">l_trans!$A$96</f>
        <v>Rn n.e.s.</v>
      </c>
    </row>
    <row r="97" customFormat="false" ht="16" hidden="false" customHeight="false" outlineLevel="0" collapsed="false">
      <c r="A97" s="1" t="str">
        <f aca="false">l_trans!$A$97</f>
        <v>Fr n.e.s.</v>
      </c>
    </row>
    <row r="98" customFormat="false" ht="16" hidden="false" customHeight="false" outlineLevel="0" collapsed="false">
      <c r="A98" s="1" t="str">
        <f aca="false">l_trans!$A$98</f>
        <v>Ra n.e.s.</v>
      </c>
    </row>
    <row r="99" customFormat="false" ht="16" hidden="false" customHeight="false" outlineLevel="0" collapsed="false">
      <c r="A99" s="1" t="str">
        <f aca="false">l_trans!$A$99</f>
        <v>Ac n.e.s.</v>
      </c>
    </row>
    <row r="100" customFormat="false" ht="16" hidden="false" customHeight="false" outlineLevel="0" collapsed="false">
      <c r="A100" s="1" t="str">
        <f aca="false">l_trans!$A$100</f>
        <v>Th n.e.s.</v>
      </c>
    </row>
    <row r="101" customFormat="false" ht="16" hidden="false" customHeight="false" outlineLevel="0" collapsed="false">
      <c r="A101" s="1" t="str">
        <f aca="false">l_trans!$A$101</f>
        <v>Pa n.e.s.</v>
      </c>
    </row>
    <row r="102" customFormat="false" ht="16" hidden="false" customHeight="false" outlineLevel="0" collapsed="false">
      <c r="A102" s="1" t="str">
        <f aca="false">l_trans!$A$102</f>
        <v>U n.e.s.</v>
      </c>
    </row>
    <row r="103" customFormat="false" ht="16" hidden="false" customHeight="false" outlineLevel="0" collapsed="false">
      <c r="A103" s="1" t="str">
        <f aca="false">l_trans!$A$103</f>
        <v>Np n.e.s.</v>
      </c>
    </row>
    <row r="104" customFormat="false" ht="16" hidden="false" customHeight="false" outlineLevel="0" collapsed="false">
      <c r="A104" s="1" t="str">
        <f aca="false">l_trans!$A$104</f>
        <v>Pu n.e.s.</v>
      </c>
    </row>
    <row r="105" customFormat="false" ht="16" hidden="false" customHeight="false" outlineLevel="0" collapsed="false">
      <c r="A105" s="1" t="str">
        <f aca="false">l_trans!$A$105</f>
        <v>Am n.e.s.</v>
      </c>
    </row>
    <row r="106" customFormat="false" ht="16" hidden="false" customHeight="false" outlineLevel="0" collapsed="false">
      <c r="A106" s="1" t="str">
        <f aca="false">l_trans!$A$106</f>
        <v>Cm n.e.s.</v>
      </c>
    </row>
    <row r="107" customFormat="false" ht="16" hidden="false" customHeight="false" outlineLevel="0" collapsed="false">
      <c r="A107" s="1" t="str">
        <f aca="false">l_trans!$A$107</f>
        <v>Bk n.e.s.</v>
      </c>
    </row>
    <row r="108" customFormat="false" ht="16" hidden="false" customHeight="false" outlineLevel="0" collapsed="false">
      <c r="A108" s="1" t="str">
        <f aca="false">l_trans!$A$108</f>
        <v>Cf n.e.s.</v>
      </c>
    </row>
    <row r="109" customFormat="false" ht="16" hidden="false" customHeight="false" outlineLevel="0" collapsed="false">
      <c r="A109" s="1" t="str">
        <f aca="false">l_trans!$A$109</f>
        <v>Es n.e.s.</v>
      </c>
    </row>
    <row r="110" customFormat="false" ht="16" hidden="false" customHeight="false" outlineLevel="0" collapsed="false">
      <c r="A110" s="1" t="str">
        <f aca="false">l_trans!$A$110</f>
        <v>Fm n.e.s.</v>
      </c>
    </row>
    <row r="111" customFormat="false" ht="16" hidden="false" customHeight="false" outlineLevel="0" collapsed="false">
      <c r="A111" s="1" t="str">
        <f aca="false">l_trans!$A$111</f>
        <v>Md n.e.s.</v>
      </c>
    </row>
    <row r="112" customFormat="false" ht="16" hidden="false" customHeight="false" outlineLevel="0" collapsed="false">
      <c r="A112" s="1" t="str">
        <f aca="false">l_trans!$A$112</f>
        <v>No n.e.s.</v>
      </c>
    </row>
    <row r="113" customFormat="false" ht="16" hidden="false" customHeight="false" outlineLevel="0" collapsed="false">
      <c r="A113" s="1" t="str">
        <f aca="false">l_trans!$A$113</f>
        <v>Lr n.e.s.</v>
      </c>
    </row>
    <row r="114" customFormat="false" ht="16" hidden="false" customHeight="false" outlineLevel="0" collapsed="false">
      <c r="A114" s="1" t="str">
        <f aca="false">l_trans!$A$114</f>
        <v>Rf n.e.s.</v>
      </c>
    </row>
    <row r="115" customFormat="false" ht="16" hidden="false" customHeight="false" outlineLevel="0" collapsed="false">
      <c r="A115" s="1" t="str">
        <f aca="false">l_trans!$A$115</f>
        <v>Db n.e.s.</v>
      </c>
    </row>
    <row r="116" customFormat="false" ht="16" hidden="false" customHeight="false" outlineLevel="0" collapsed="false">
      <c r="A116" s="1" t="str">
        <f aca="false">l_trans!$A$116</f>
        <v>Sg n.e.s.</v>
      </c>
    </row>
    <row r="117" customFormat="false" ht="16" hidden="false" customHeight="false" outlineLevel="0" collapsed="false">
      <c r="A117" s="1" t="str">
        <f aca="false">l_trans!$A$117</f>
        <v>Bh n.e.s.</v>
      </c>
    </row>
    <row r="118" customFormat="false" ht="16" hidden="false" customHeight="false" outlineLevel="0" collapsed="false">
      <c r="A118" s="1" t="str">
        <f aca="false">l_trans!$A$118</f>
        <v>Hs n.e.s.</v>
      </c>
    </row>
    <row r="119" customFormat="false" ht="16" hidden="false" customHeight="false" outlineLevel="0" collapsed="false">
      <c r="A119" s="1" t="str">
        <f aca="false">l_trans!$A$119</f>
        <v>Mt n.e.s.</v>
      </c>
    </row>
    <row r="120" customFormat="false" ht="16" hidden="false" customHeight="false" outlineLevel="0" collapsed="false">
      <c r="A120" s="1" t="str">
        <f aca="false">l_trans!$A$120</f>
        <v>Ds n.e.s.</v>
      </c>
    </row>
    <row r="121" customFormat="false" ht="16" hidden="false" customHeight="false" outlineLevel="0" collapsed="false">
      <c r="A121" s="1" t="str">
        <f aca="false">l_trans!$A$121</f>
        <v>Rg n.e.s.</v>
      </c>
    </row>
    <row r="122" customFormat="false" ht="16" hidden="false" customHeight="false" outlineLevel="0" collapsed="false">
      <c r="A122" s="1" t="str">
        <f aca="false">l_trans!$A$122</f>
        <v>Cn n.e.s.</v>
      </c>
    </row>
    <row r="123" customFormat="false" ht="16" hidden="false" customHeight="false" outlineLevel="0" collapsed="false">
      <c r="A123" s="1" t="str">
        <f aca="false">l_trans!$A$123</f>
        <v>Nh n.e.s.</v>
      </c>
    </row>
    <row r="124" customFormat="false" ht="16" hidden="false" customHeight="false" outlineLevel="0" collapsed="false">
      <c r="A124" s="1" t="str">
        <f aca="false">l_trans!$A$124</f>
        <v>Fl n.e.s.</v>
      </c>
    </row>
    <row r="125" customFormat="false" ht="16" hidden="false" customHeight="false" outlineLevel="0" collapsed="false">
      <c r="A125" s="1" t="str">
        <f aca="false">l_trans!$A$125</f>
        <v>Mc n.e.s.</v>
      </c>
    </row>
    <row r="126" customFormat="false" ht="16" hidden="false" customHeight="false" outlineLevel="0" collapsed="false">
      <c r="A126" s="1" t="str">
        <f aca="false">l_trans!$A$126</f>
        <v>Lv n.e.s.</v>
      </c>
    </row>
    <row r="127" customFormat="false" ht="16" hidden="false" customHeight="false" outlineLevel="0" collapsed="false">
      <c r="A127" s="1" t="str">
        <f aca="false">l_trans!$A$127</f>
        <v>Ts n.e.s.</v>
      </c>
    </row>
    <row r="128" customFormat="false" ht="16" hidden="false" customHeight="false" outlineLevel="0" collapsed="false">
      <c r="A128" s="1" t="str">
        <f aca="false">l_trans!$A$128</f>
        <v>Og n.e.s.</v>
      </c>
    </row>
    <row r="129" customFormat="false" ht="16" hidden="false" customHeight="false" outlineLevel="0" collapsed="false">
      <c r="A129" s="1" t="str">
        <f aca="false">l_trans!$A$129</f>
        <v/>
      </c>
    </row>
    <row r="130" customFormat="false" ht="16" hidden="false" customHeight="false" outlineLevel="0" collapsed="false">
      <c r="A130" s="1" t="str">
        <f aca="false">l_trans!$A$130</f>
        <v/>
      </c>
    </row>
    <row r="131" customFormat="false" ht="16" hidden="false" customHeight="false" outlineLevel="0" collapsed="false">
      <c r="A131" s="1" t="str">
        <f aca="false">l_trans!$A$131</f>
        <v/>
      </c>
    </row>
    <row r="132" customFormat="false" ht="16" hidden="false" customHeight="false" outlineLevel="0" collapsed="false">
      <c r="A132" s="1" t="str">
        <f aca="false">l_trans!$A$132</f>
        <v/>
      </c>
    </row>
    <row r="133" customFormat="false" ht="16" hidden="false" customHeight="false" outlineLevel="0" collapsed="false">
      <c r="A133" s="1" t="str">
        <f aca="false">l_trans!$A$133</f>
        <v/>
      </c>
    </row>
    <row r="134" customFormat="false" ht="16" hidden="false" customHeight="false" outlineLevel="0" collapsed="false">
      <c r="A134" s="1" t="str">
        <f aca="false">l_trans!$A$134</f>
        <v/>
      </c>
    </row>
    <row r="135" customFormat="false" ht="16" hidden="false" customHeight="false" outlineLevel="0" collapsed="false">
      <c r="A135" s="1" t="str">
        <f aca="false">l_trans!$A$135</f>
        <v/>
      </c>
    </row>
    <row r="136" customFormat="false" ht="16" hidden="false" customHeight="false" outlineLevel="0" collapsed="false">
      <c r="A136" s="1" t="str">
        <f aca="false">l_trans!$A$136</f>
        <v/>
      </c>
    </row>
    <row r="137" customFormat="false" ht="16" hidden="false" customHeight="false" outlineLevel="0" collapsed="false">
      <c r="A137" s="1" t="str">
        <f aca="false">l_trans!$A$137</f>
        <v/>
      </c>
    </row>
    <row r="138" customFormat="false" ht="16" hidden="false" customHeight="false" outlineLevel="0" collapsed="false">
      <c r="A138" s="1" t="str">
        <f aca="false">l_trans!$A$138</f>
        <v/>
      </c>
    </row>
    <row r="139" customFormat="false" ht="16" hidden="false" customHeight="false" outlineLevel="0" collapsed="false">
      <c r="A139" s="1" t="str">
        <f aca="false">l_trans!$A$139</f>
        <v/>
      </c>
    </row>
    <row r="140" customFormat="false" ht="16" hidden="false" customHeight="false" outlineLevel="0" collapsed="false">
      <c r="A140" s="1" t="str">
        <f aca="false">l_trans!$A$140</f>
        <v/>
      </c>
    </row>
    <row r="141" customFormat="false" ht="16" hidden="false" customHeight="false" outlineLevel="0" collapsed="false">
      <c r="A141" s="1" t="str">
        <f aca="false">l_trans!$A$141</f>
        <v/>
      </c>
    </row>
    <row r="142" customFormat="false" ht="16" hidden="false" customHeight="false" outlineLevel="0" collapsed="false">
      <c r="A142" s="1" t="str">
        <f aca="false">l_trans!$A$142</f>
        <v/>
      </c>
    </row>
    <row r="143" customFormat="false" ht="16" hidden="false" customHeight="false" outlineLevel="0" collapsed="false">
      <c r="A143" s="1" t="str">
        <f aca="false">l_trans!$A$143</f>
        <v/>
      </c>
    </row>
    <row r="144" customFormat="false" ht="16" hidden="false" customHeight="false" outlineLevel="0" collapsed="false">
      <c r="A144" s="1" t="str">
        <f aca="false">l_trans!$A$144</f>
        <v/>
      </c>
    </row>
    <row r="145" customFormat="false" ht="16" hidden="false" customHeight="false" outlineLevel="0" collapsed="false">
      <c r="A145" s="1" t="str">
        <f aca="false">l_trans!$A$145</f>
        <v/>
      </c>
    </row>
    <row r="146" customFormat="false" ht="16" hidden="false" customHeight="false" outlineLevel="0" collapsed="false">
      <c r="A146" s="1" t="str">
        <f aca="false">l_trans!$A$146</f>
        <v/>
      </c>
    </row>
    <row r="147" customFormat="false" ht="16" hidden="false" customHeight="false" outlineLevel="0" collapsed="false">
      <c r="A147" s="1" t="str">
        <f aca="false">l_trans!$A$147</f>
        <v/>
      </c>
    </row>
    <row r="148" customFormat="false" ht="16" hidden="false" customHeight="false" outlineLevel="0" collapsed="false">
      <c r="A148" s="1" t="str">
        <f aca="false">l_trans!$A$148</f>
        <v/>
      </c>
    </row>
    <row r="149" customFormat="false" ht="16" hidden="false" customHeight="false" outlineLevel="0" collapsed="false">
      <c r="A149" s="1" t="str">
        <f aca="false">l_trans!$A$149</f>
        <v/>
      </c>
    </row>
    <row r="150" customFormat="false" ht="16" hidden="false" customHeight="false" outlineLevel="0" collapsed="false">
      <c r="A150" s="1" t="str">
        <f aca="false">l_trans!$A$150</f>
        <v/>
      </c>
    </row>
    <row r="151" customFormat="false" ht="16" hidden="false" customHeight="false" outlineLevel="0" collapsed="false">
      <c r="A151" s="1" t="str">
        <f aca="false">l_trans!$A$151</f>
        <v/>
      </c>
    </row>
    <row r="152" customFormat="false" ht="16" hidden="false" customHeight="false" outlineLevel="0" collapsed="false">
      <c r="A152" s="1" t="str">
        <f aca="false">l_trans!$A$152</f>
        <v/>
      </c>
    </row>
    <row r="153" customFormat="false" ht="16" hidden="false" customHeight="false" outlineLevel="0" collapsed="false">
      <c r="A153" s="1" t="str">
        <f aca="false">l_trans!$A$153</f>
        <v/>
      </c>
    </row>
    <row r="154" customFormat="false" ht="16" hidden="false" customHeight="false" outlineLevel="0" collapsed="false">
      <c r="A154" s="1" t="str">
        <f aca="false">l_trans!$A$154</f>
        <v/>
      </c>
    </row>
    <row r="155" customFormat="false" ht="16" hidden="false" customHeight="false" outlineLevel="0" collapsed="false">
      <c r="A155" s="1" t="str">
        <f aca="false">l_trans!$A$155</f>
        <v/>
      </c>
    </row>
    <row r="156" customFormat="false" ht="16" hidden="false" customHeight="false" outlineLevel="0" collapsed="false">
      <c r="A156" s="1" t="str">
        <f aca="false">l_trans!$A$156</f>
        <v/>
      </c>
    </row>
    <row r="157" customFormat="false" ht="16" hidden="false" customHeight="false" outlineLevel="0" collapsed="false">
      <c r="A157" s="1" t="str">
        <f aca="false">l_trans!$A$157</f>
        <v/>
      </c>
    </row>
    <row r="158" customFormat="false" ht="16" hidden="false" customHeight="false" outlineLevel="0" collapsed="false">
      <c r="A158" s="1" t="str">
        <f aca="false">l_trans!$A$158</f>
        <v/>
      </c>
    </row>
    <row r="159" customFormat="false" ht="16" hidden="false" customHeight="false" outlineLevel="0" collapsed="false">
      <c r="A159" s="1" t="str">
        <f aca="false">l_trans!$A$159</f>
        <v/>
      </c>
    </row>
    <row r="160" customFormat="false" ht="16" hidden="false" customHeight="false" outlineLevel="0" collapsed="false">
      <c r="A160" s="1" t="str">
        <f aca="false">l_trans!$A$160</f>
        <v/>
      </c>
    </row>
    <row r="161" customFormat="false" ht="16" hidden="false" customHeight="false" outlineLevel="0" collapsed="false">
      <c r="A161" s="1" t="str">
        <f aca="false">l_trans!$A$161</f>
        <v/>
      </c>
    </row>
    <row r="162" customFormat="false" ht="16" hidden="false" customHeight="false" outlineLevel="0" collapsed="false">
      <c r="A162" s="1" t="str">
        <f aca="false">l_trans!$A$162</f>
        <v/>
      </c>
    </row>
    <row r="163" customFormat="false" ht="16" hidden="false" customHeight="false" outlineLevel="0" collapsed="false">
      <c r="A163" s="1" t="str">
        <f aca="false">l_trans!$A$163</f>
        <v/>
      </c>
    </row>
    <row r="164" customFormat="false" ht="16" hidden="false" customHeight="false" outlineLevel="0" collapsed="false">
      <c r="A164" s="1" t="str">
        <f aca="false">l_trans!$A$164</f>
        <v/>
      </c>
    </row>
    <row r="165" customFormat="false" ht="16" hidden="false" customHeight="false" outlineLevel="0" collapsed="false">
      <c r="A165" s="1" t="str">
        <f aca="false">l_trans!$A$165</f>
        <v/>
      </c>
    </row>
    <row r="166" customFormat="false" ht="16" hidden="false" customHeight="false" outlineLevel="0" collapsed="false">
      <c r="A166" s="1" t="str">
        <f aca="false">l_trans!$A$166</f>
        <v/>
      </c>
    </row>
    <row r="167" customFormat="false" ht="16" hidden="false" customHeight="false" outlineLevel="0" collapsed="false">
      <c r="A167" s="1" t="str">
        <f aca="false">l_trans!$A$167</f>
        <v/>
      </c>
    </row>
    <row r="168" customFormat="false" ht="16" hidden="false" customHeight="false" outlineLevel="0" collapsed="false">
      <c r="A168" s="1" t="str">
        <f aca="false">l_trans!$A$168</f>
        <v/>
      </c>
    </row>
    <row r="169" customFormat="false" ht="16" hidden="false" customHeight="false" outlineLevel="0" collapsed="false">
      <c r="A169" s="1" t="str">
        <f aca="false">l_trans!$A$169</f>
        <v/>
      </c>
    </row>
    <row r="170" customFormat="false" ht="16" hidden="false" customHeight="false" outlineLevel="0" collapsed="false">
      <c r="A170" s="1" t="str">
        <f aca="false">l_trans!$A$170</f>
        <v/>
      </c>
    </row>
    <row r="171" customFormat="false" ht="16" hidden="false" customHeight="false" outlineLevel="0" collapsed="false">
      <c r="A171" s="1" t="str">
        <f aca="false">l_trans!$A$171</f>
        <v/>
      </c>
    </row>
    <row r="172" customFormat="false" ht="16" hidden="false" customHeight="false" outlineLevel="0" collapsed="false">
      <c r="A172" s="1" t="str">
        <f aca="false">l_trans!$A$172</f>
        <v/>
      </c>
    </row>
    <row r="173" customFormat="false" ht="16" hidden="false" customHeight="false" outlineLevel="0" collapsed="false">
      <c r="A173" s="1" t="str">
        <f aca="false">l_trans!$A$173</f>
        <v/>
      </c>
    </row>
    <row r="174" customFormat="false" ht="16" hidden="false" customHeight="false" outlineLevel="0" collapsed="false">
      <c r="A174" s="1" t="str">
        <f aca="false">l_trans!$A$174</f>
        <v/>
      </c>
    </row>
    <row r="175" customFormat="false" ht="16" hidden="false" customHeight="false" outlineLevel="0" collapsed="false">
      <c r="A175" s="1" t="str">
        <f aca="false">l_trans!$A$175</f>
        <v/>
      </c>
    </row>
    <row r="176" customFormat="false" ht="16" hidden="false" customHeight="false" outlineLevel="0" collapsed="false">
      <c r="A176" s="1" t="str">
        <f aca="false">l_trans!$A$176</f>
        <v/>
      </c>
    </row>
    <row r="177" customFormat="false" ht="16" hidden="false" customHeight="false" outlineLevel="0" collapsed="false">
      <c r="A177" s="1" t="str">
        <f aca="false">l_trans!$A$177</f>
        <v/>
      </c>
    </row>
    <row r="178" customFormat="false" ht="16" hidden="false" customHeight="false" outlineLevel="0" collapsed="false">
      <c r="A178" s="1" t="str">
        <f aca="false">l_trans!$A$178</f>
        <v/>
      </c>
    </row>
    <row r="179" customFormat="false" ht="16" hidden="false" customHeight="false" outlineLevel="0" collapsed="false">
      <c r="A179" s="1" t="str">
        <f aca="false">l_trans!$A$179</f>
        <v/>
      </c>
    </row>
    <row r="180" customFormat="false" ht="16" hidden="false" customHeight="false" outlineLevel="0" collapsed="false">
      <c r="A180" s="1" t="str">
        <f aca="false">l_trans!$A$180</f>
        <v/>
      </c>
    </row>
    <row r="181" customFormat="false" ht="16" hidden="false" customHeight="false" outlineLevel="0" collapsed="false">
      <c r="A181" s="1" t="str">
        <f aca="false">l_trans!$A$181</f>
        <v/>
      </c>
    </row>
    <row r="182" customFormat="false" ht="16" hidden="false" customHeight="false" outlineLevel="0" collapsed="false">
      <c r="A182" s="1" t="str">
        <f aca="false">l_trans!$A$182</f>
        <v/>
      </c>
    </row>
    <row r="183" customFormat="false" ht="16" hidden="false" customHeight="false" outlineLevel="0" collapsed="false">
      <c r="A183" s="1" t="str">
        <f aca="false">l_trans!$A$183</f>
        <v/>
      </c>
    </row>
    <row r="184" customFormat="false" ht="16" hidden="false" customHeight="false" outlineLevel="0" collapsed="false">
      <c r="A184" s="1" t="str">
        <f aca="false">l_trans!$A$184</f>
        <v/>
      </c>
    </row>
    <row r="185" customFormat="false" ht="16" hidden="false" customHeight="false" outlineLevel="0" collapsed="false">
      <c r="A185" s="1" t="str">
        <f aca="false">l_trans!$A$185</f>
        <v/>
      </c>
    </row>
    <row r="186" customFormat="false" ht="16" hidden="false" customHeight="false" outlineLevel="0" collapsed="false">
      <c r="A186" s="1" t="str">
        <f aca="false">l_trans!$A$186</f>
        <v/>
      </c>
    </row>
    <row r="187" customFormat="false" ht="16" hidden="false" customHeight="false" outlineLevel="0" collapsed="false">
      <c r="A187" s="1" t="str">
        <f aca="false">l_trans!$A$187</f>
        <v/>
      </c>
    </row>
    <row r="188" customFormat="false" ht="16" hidden="false" customHeight="false" outlineLevel="0" collapsed="false">
      <c r="A188" s="1" t="str">
        <f aca="false">l_trans!$A$188</f>
        <v/>
      </c>
    </row>
    <row r="189" customFormat="false" ht="16" hidden="false" customHeight="false" outlineLevel="0" collapsed="false">
      <c r="A189" s="1" t="str">
        <f aca="false">l_trans!$A$189</f>
        <v/>
      </c>
    </row>
    <row r="190" customFormat="false" ht="16" hidden="false" customHeight="false" outlineLevel="0" collapsed="false">
      <c r="A190" s="1" t="str">
        <f aca="false">l_trans!$A$190</f>
        <v/>
      </c>
    </row>
    <row r="191" customFormat="false" ht="16" hidden="false" customHeight="false" outlineLevel="0" collapsed="false">
      <c r="A191" s="1" t="str">
        <f aca="false">l_trans!$A$191</f>
        <v/>
      </c>
    </row>
    <row r="192" customFormat="false" ht="16" hidden="false" customHeight="false" outlineLevel="0" collapsed="false">
      <c r="A192" s="1" t="str">
        <f aca="false">l_trans!$A$192</f>
        <v/>
      </c>
    </row>
    <row r="193" customFormat="false" ht="16" hidden="false" customHeight="false" outlineLevel="0" collapsed="false">
      <c r="A193" s="1" t="str">
        <f aca="false">l_trans!$A$193</f>
        <v/>
      </c>
    </row>
    <row r="194" customFormat="false" ht="16" hidden="false" customHeight="false" outlineLevel="0" collapsed="false">
      <c r="A194" s="1" t="str">
        <f aca="false">l_trans!$A$194</f>
        <v/>
      </c>
    </row>
    <row r="195" customFormat="false" ht="16" hidden="false" customHeight="false" outlineLevel="0" collapsed="false">
      <c r="A195" s="1" t="str">
        <f aca="false">l_trans!$A$195</f>
        <v/>
      </c>
    </row>
    <row r="196" customFormat="false" ht="16" hidden="false" customHeight="false" outlineLevel="0" collapsed="false">
      <c r="A196" s="1" t="str">
        <f aca="false">l_trans!$A$196</f>
        <v/>
      </c>
    </row>
    <row r="197" customFormat="false" ht="16" hidden="false" customHeight="false" outlineLevel="0" collapsed="false">
      <c r="A197" s="1" t="str">
        <f aca="false">l_trans!$A$197</f>
        <v/>
      </c>
    </row>
    <row r="198" customFormat="false" ht="16" hidden="false" customHeight="false" outlineLevel="0" collapsed="false">
      <c r="A198" s="1" t="str">
        <f aca="false">l_trans!$A$198</f>
        <v/>
      </c>
    </row>
    <row r="199" customFormat="false" ht="16" hidden="false" customHeight="false" outlineLevel="0" collapsed="false">
      <c r="A199" s="1" t="str">
        <f aca="false">l_trans!$A$199</f>
        <v/>
      </c>
    </row>
    <row r="200" customFormat="false" ht="16" hidden="false" customHeight="false" outlineLevel="0" collapsed="false">
      <c r="A200" s="1" t="str">
        <f aca="false">l_trans!$A$200</f>
        <v/>
      </c>
    </row>
    <row r="201" customFormat="false" ht="16" hidden="false" customHeight="false" outlineLevel="0" collapsed="false">
      <c r="A201" s="1" t="str">
        <f aca="false">l_trans!$A$201</f>
        <v/>
      </c>
    </row>
    <row r="202" customFormat="false" ht="16" hidden="false" customHeight="false" outlineLevel="0" collapsed="false">
      <c r="A202" s="1" t="str">
        <f aca="false">l_trans!$A$202</f>
        <v/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2109375" defaultRowHeight="16" zeroHeight="false" outlineLevelRow="0" outlineLevelCol="0"/>
  <cols>
    <col collapsed="false" customWidth="true" hidden="false" outlineLevel="0" max="1" min="1" style="1" width="36.33"/>
    <col collapsed="false" customWidth="true" hidden="false" outlineLevel="0" max="2" min="2" style="1" width="33.51"/>
    <col collapsed="false" customWidth="true" hidden="false" outlineLevel="0" max="3" min="3" style="1" width="12.51"/>
    <col collapsed="false" customWidth="false" hidden="false" outlineLevel="0" max="1025" min="4" style="1" width="8.67"/>
  </cols>
  <sheetData>
    <row r="1" customFormat="false" ht="27" hidden="false" customHeight="true" outlineLevel="0" collapsed="false">
      <c r="A1" s="1" t="str">
        <f aca="false">l_goods!$A$1</f>
        <v>productId</v>
      </c>
      <c r="C1" s="1" t="s">
        <v>6317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276"/>
  <sheetViews>
    <sheetView showFormulas="false" showGridLines="true" showRowColHeaders="true" showZeros="true" rightToLeft="false" tabSelected="false" showOutlineSymbols="true" defaultGridColor="true" view="normal" topLeftCell="A1" colorId="64" zoomScale="86" zoomScaleNormal="86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2109375" defaultRowHeight="16" zeroHeight="false" outlineLevelRow="0" outlineLevelCol="0"/>
  <cols>
    <col collapsed="false" customWidth="true" hidden="false" outlineLevel="0" max="1" min="1" style="26" width="11.5"/>
    <col collapsed="false" customWidth="true" hidden="false" outlineLevel="0" max="2" min="2" style="26" width="16.33"/>
    <col collapsed="false" customWidth="true" hidden="false" outlineLevel="0" max="3" min="3" style="27" width="16.16"/>
    <col collapsed="false" customWidth="true" hidden="false" outlineLevel="0" max="4" min="4" style="27" width="91.83"/>
    <col collapsed="false" customWidth="true" hidden="false" outlineLevel="0" max="5" min="5" style="28" width="48.17"/>
    <col collapsed="false" customWidth="true" hidden="false" outlineLevel="0" max="6" min="6" style="1" width="19"/>
    <col collapsed="false" customWidth="true" hidden="false" outlineLevel="0" max="7" min="7" style="1" width="24.83"/>
    <col collapsed="false" customWidth="true" hidden="false" outlineLevel="0" max="8" min="8" style="1" width="30.17"/>
    <col collapsed="false" customWidth="true" hidden="false" outlineLevel="0" max="9" min="9" style="1" width="10.16"/>
    <col collapsed="false" customWidth="true" hidden="false" outlineLevel="0" max="10" min="10" style="1" width="12.83"/>
    <col collapsed="false" customWidth="true" hidden="false" outlineLevel="0" max="11" min="11" style="1" width="33.66"/>
    <col collapsed="false" customWidth="true" hidden="false" outlineLevel="0" max="12" min="12" style="1" width="19.51"/>
    <col collapsed="false" customWidth="true" hidden="false" outlineLevel="0" max="13" min="13" style="1" width="13.16"/>
    <col collapsed="false" customWidth="true" hidden="false" outlineLevel="0" max="14" min="14" style="1" width="52.83"/>
    <col collapsed="false" customWidth="true" hidden="false" outlineLevel="0" max="15" min="15" style="1" width="18.83"/>
    <col collapsed="false" customWidth="false" hidden="false" outlineLevel="0" max="18" min="16" style="1" width="8.67"/>
    <col collapsed="false" customWidth="true" hidden="false" outlineLevel="0" max="19" min="19" style="1" width="13.16"/>
    <col collapsed="false" customWidth="false" hidden="false" outlineLevel="0" max="1025" min="20" style="1" width="8.67"/>
  </cols>
  <sheetData>
    <row r="1" s="31" customFormat="true" ht="37" hidden="false" customHeight="true" outlineLevel="0" collapsed="false">
      <c r="A1" s="29" t="s">
        <v>6318</v>
      </c>
      <c r="B1" s="2" t="s">
        <v>6319</v>
      </c>
      <c r="C1" s="2" t="s">
        <v>6320</v>
      </c>
      <c r="D1" s="2"/>
      <c r="E1" s="9" t="s">
        <v>6321</v>
      </c>
      <c r="F1" s="30" t="s">
        <v>6322</v>
      </c>
      <c r="G1" s="31" t="s">
        <v>6323</v>
      </c>
      <c r="I1" s="31" t="s">
        <v>708</v>
      </c>
      <c r="J1" s="31" t="s">
        <v>6324</v>
      </c>
      <c r="K1" s="31" t="s">
        <v>6325</v>
      </c>
      <c r="L1" s="31" t="s">
        <v>6326</v>
      </c>
      <c r="M1" s="31" t="s">
        <v>6327</v>
      </c>
      <c r="N1" s="31" t="s">
        <v>6328</v>
      </c>
    </row>
    <row r="2" customFormat="false" ht="16" hidden="false" customHeight="false" outlineLevel="0" collapsed="false">
      <c r="C2" s="27" t="s">
        <v>358</v>
      </c>
      <c r="E2" s="28" t="s">
        <v>6329</v>
      </c>
      <c r="G2" s="1" t="s">
        <v>535</v>
      </c>
      <c r="I2" s="1" t="n">
        <v>1</v>
      </c>
      <c r="J2" s="1" t="n">
        <v>1</v>
      </c>
    </row>
    <row r="3" customFormat="false" ht="16" hidden="false" customHeight="false" outlineLevel="0" collapsed="false">
      <c r="C3" s="27" t="s">
        <v>361</v>
      </c>
      <c r="E3" s="28" t="s">
        <v>6329</v>
      </c>
      <c r="G3" s="1" t="s">
        <v>535</v>
      </c>
      <c r="I3" s="1" t="n">
        <v>1</v>
      </c>
      <c r="J3" s="1" t="n">
        <v>1</v>
      </c>
      <c r="N3" s="1" t="s">
        <v>6330</v>
      </c>
    </row>
    <row r="4" customFormat="false" ht="16" hidden="false" customHeight="false" outlineLevel="0" collapsed="false">
      <c r="C4" s="27" t="s">
        <v>363</v>
      </c>
      <c r="E4" s="28" t="s">
        <v>6329</v>
      </c>
      <c r="G4" s="1" t="s">
        <v>541</v>
      </c>
      <c r="I4" s="1" t="n">
        <v>1</v>
      </c>
      <c r="J4" s="1" t="n">
        <v>1</v>
      </c>
      <c r="N4" s="1" t="s">
        <v>6331</v>
      </c>
    </row>
    <row r="5" customFormat="false" ht="16" hidden="false" customHeight="false" outlineLevel="0" collapsed="false">
      <c r="C5" s="27" t="s">
        <v>365</v>
      </c>
      <c r="E5" s="28" t="s">
        <v>6329</v>
      </c>
      <c r="G5" s="1" t="s">
        <v>541</v>
      </c>
      <c r="I5" s="1" t="n">
        <v>1</v>
      </c>
      <c r="J5" s="1" t="n">
        <v>1</v>
      </c>
    </row>
    <row r="6" customFormat="false" ht="16" hidden="false" customHeight="false" outlineLevel="0" collapsed="false">
      <c r="C6" s="27" t="s">
        <v>367</v>
      </c>
      <c r="E6" s="28" t="s">
        <v>6329</v>
      </c>
      <c r="G6" s="1" t="s">
        <v>535</v>
      </c>
      <c r="I6" s="1" t="n">
        <v>1</v>
      </c>
      <c r="J6" s="1" t="n">
        <v>1</v>
      </c>
    </row>
    <row r="7" customFormat="false" ht="16" hidden="false" customHeight="false" outlineLevel="0" collapsed="false">
      <c r="C7" s="27" t="s">
        <v>369</v>
      </c>
      <c r="E7" s="28" t="s">
        <v>6329</v>
      </c>
      <c r="G7" s="1" t="s">
        <v>539</v>
      </c>
      <c r="I7" s="1" t="n">
        <v>1</v>
      </c>
      <c r="J7" s="1" t="n">
        <v>1</v>
      </c>
    </row>
    <row r="8" customFormat="false" ht="16" hidden="false" customHeight="false" outlineLevel="0" collapsed="false">
      <c r="C8" s="27" t="s">
        <v>371</v>
      </c>
      <c r="E8" s="28" t="s">
        <v>6329</v>
      </c>
      <c r="G8" s="1" t="s">
        <v>543</v>
      </c>
      <c r="I8" s="1" t="n">
        <v>1</v>
      </c>
      <c r="J8" s="1" t="n">
        <v>1</v>
      </c>
    </row>
    <row r="9" customFormat="false" ht="16" hidden="false" customHeight="false" outlineLevel="0" collapsed="false">
      <c r="C9" s="27" t="s">
        <v>373</v>
      </c>
      <c r="E9" s="28" t="s">
        <v>6329</v>
      </c>
      <c r="G9" s="1" t="s">
        <v>539</v>
      </c>
      <c r="I9" s="1" t="n">
        <v>1</v>
      </c>
      <c r="J9" s="1" t="n">
        <v>1</v>
      </c>
    </row>
    <row r="10" customFormat="false" ht="16" hidden="false" customHeight="false" outlineLevel="0" collapsed="false">
      <c r="C10" s="27" t="s">
        <v>375</v>
      </c>
      <c r="E10" s="28" t="s">
        <v>6329</v>
      </c>
      <c r="G10" s="1" t="s">
        <v>549</v>
      </c>
      <c r="I10" s="1" t="n">
        <v>1</v>
      </c>
      <c r="J10" s="1" t="n">
        <v>1</v>
      </c>
    </row>
    <row r="11" customFormat="false" ht="16" hidden="false" customHeight="false" outlineLevel="0" collapsed="false">
      <c r="C11" s="27" t="s">
        <v>377</v>
      </c>
      <c r="E11" s="28" t="s">
        <v>6329</v>
      </c>
      <c r="G11" s="1" t="s">
        <v>537</v>
      </c>
      <c r="I11" s="1" t="n">
        <v>1</v>
      </c>
      <c r="J11" s="1" t="n">
        <v>1</v>
      </c>
    </row>
    <row r="12" customFormat="false" ht="16" hidden="false" customHeight="false" outlineLevel="0" collapsed="false">
      <c r="C12" s="27" t="s">
        <v>379</v>
      </c>
      <c r="E12" s="28" t="s">
        <v>6329</v>
      </c>
      <c r="G12" s="1" t="s">
        <v>547</v>
      </c>
      <c r="I12" s="1" t="n">
        <v>1</v>
      </c>
      <c r="J12" s="1" t="n">
        <v>1</v>
      </c>
    </row>
    <row r="13" customFormat="false" ht="16" hidden="false" customHeight="false" outlineLevel="0" collapsed="false">
      <c r="C13" s="27" t="s">
        <v>381</v>
      </c>
      <c r="E13" s="28" t="s">
        <v>6329</v>
      </c>
      <c r="G13" s="1" t="s">
        <v>547</v>
      </c>
      <c r="I13" s="1" t="n">
        <v>1</v>
      </c>
      <c r="J13" s="1" t="n">
        <v>1</v>
      </c>
    </row>
    <row r="14" customFormat="false" ht="16" hidden="false" customHeight="false" outlineLevel="0" collapsed="false">
      <c r="C14" s="27" t="s">
        <v>383</v>
      </c>
      <c r="E14" s="28" t="s">
        <v>6329</v>
      </c>
      <c r="G14" s="1" t="s">
        <v>545</v>
      </c>
      <c r="I14" s="1" t="n">
        <v>1</v>
      </c>
      <c r="J14" s="1" t="n">
        <v>1</v>
      </c>
    </row>
    <row r="15" customFormat="false" ht="16" hidden="false" customHeight="false" outlineLevel="0" collapsed="false">
      <c r="C15" s="27" t="s">
        <v>385</v>
      </c>
      <c r="E15" s="28" t="s">
        <v>6329</v>
      </c>
      <c r="G15" s="1" t="s">
        <v>545</v>
      </c>
      <c r="I15" s="1" t="n">
        <v>1</v>
      </c>
      <c r="J15" s="1" t="n">
        <v>1</v>
      </c>
    </row>
    <row r="16" customFormat="false" ht="16" hidden="false" customHeight="false" outlineLevel="0" collapsed="false">
      <c r="C16" s="27" t="s">
        <v>387</v>
      </c>
      <c r="E16" s="28" t="s">
        <v>6329</v>
      </c>
      <c r="G16" s="1" t="s">
        <v>549</v>
      </c>
      <c r="I16" s="1" t="n">
        <v>1</v>
      </c>
      <c r="J16" s="1" t="n">
        <v>1</v>
      </c>
    </row>
    <row r="17" customFormat="false" ht="16" hidden="false" customHeight="false" outlineLevel="0" collapsed="false">
      <c r="C17" s="27" t="s">
        <v>389</v>
      </c>
      <c r="E17" s="28" t="s">
        <v>6329</v>
      </c>
      <c r="G17" s="1" t="s">
        <v>559</v>
      </c>
      <c r="I17" s="1" t="n">
        <v>1</v>
      </c>
      <c r="J17" s="1" t="n">
        <v>1</v>
      </c>
    </row>
    <row r="18" customFormat="false" ht="16" hidden="false" customHeight="false" outlineLevel="0" collapsed="false">
      <c r="C18" s="27" t="s">
        <v>391</v>
      </c>
      <c r="E18" s="28" t="s">
        <v>6329</v>
      </c>
      <c r="G18" s="1" t="s">
        <v>549</v>
      </c>
      <c r="I18" s="1" t="n">
        <v>1</v>
      </c>
      <c r="J18" s="1" t="n">
        <v>1</v>
      </c>
    </row>
    <row r="19" customFormat="false" ht="16" hidden="false" customHeight="false" outlineLevel="0" collapsed="false">
      <c r="C19" s="27" t="s">
        <v>393</v>
      </c>
      <c r="E19" s="28" t="s">
        <v>6329</v>
      </c>
      <c r="G19" s="1" t="s">
        <v>549</v>
      </c>
      <c r="I19" s="1" t="n">
        <v>1</v>
      </c>
      <c r="J19" s="1" t="n">
        <v>1</v>
      </c>
    </row>
    <row r="20" customFormat="false" ht="16" hidden="false" customHeight="false" outlineLevel="0" collapsed="false">
      <c r="C20" s="27" t="s">
        <v>395</v>
      </c>
      <c r="D20" s="32"/>
      <c r="E20" s="28" t="s">
        <v>6329</v>
      </c>
      <c r="G20" s="1" t="s">
        <v>549</v>
      </c>
      <c r="I20" s="1" t="n">
        <v>1</v>
      </c>
      <c r="J20" s="1" t="n">
        <v>1</v>
      </c>
    </row>
    <row r="21" customFormat="false" ht="16" hidden="false" customHeight="false" outlineLevel="0" collapsed="false">
      <c r="C21" s="27" t="s">
        <v>397</v>
      </c>
      <c r="E21" s="28" t="s">
        <v>6329</v>
      </c>
      <c r="G21" s="1" t="s">
        <v>559</v>
      </c>
      <c r="I21" s="1" t="n">
        <v>1</v>
      </c>
      <c r="J21" s="1" t="n">
        <v>1</v>
      </c>
    </row>
    <row r="22" customFormat="false" ht="16" hidden="false" customHeight="false" outlineLevel="0" collapsed="false">
      <c r="C22" s="27" t="s">
        <v>399</v>
      </c>
      <c r="E22" s="28" t="s">
        <v>6329</v>
      </c>
      <c r="G22" s="1" t="s">
        <v>529</v>
      </c>
      <c r="I22" s="1" t="n">
        <v>1</v>
      </c>
      <c r="J22" s="1" t="n">
        <v>1</v>
      </c>
    </row>
    <row r="23" customFormat="false" ht="16" hidden="false" customHeight="false" outlineLevel="0" collapsed="false">
      <c r="C23" s="27" t="s">
        <v>401</v>
      </c>
      <c r="E23" s="28" t="s">
        <v>6329</v>
      </c>
      <c r="G23" s="1" t="s">
        <v>571</v>
      </c>
      <c r="I23" s="1" t="n">
        <v>1</v>
      </c>
      <c r="J23" s="1" t="n">
        <v>1</v>
      </c>
    </row>
    <row r="24" customFormat="false" ht="16" hidden="false" customHeight="false" outlineLevel="0" collapsed="false">
      <c r="C24" s="27" t="s">
        <v>403</v>
      </c>
      <c r="E24" s="28" t="s">
        <v>6329</v>
      </c>
      <c r="G24" s="1" t="s">
        <v>571</v>
      </c>
      <c r="I24" s="1" t="n">
        <v>1</v>
      </c>
      <c r="J24" s="1" t="n">
        <v>1</v>
      </c>
    </row>
    <row r="25" customFormat="false" ht="16" hidden="false" customHeight="false" outlineLevel="0" collapsed="false">
      <c r="C25" s="27" t="s">
        <v>405</v>
      </c>
      <c r="E25" s="28" t="s">
        <v>6329</v>
      </c>
      <c r="G25" s="1" t="s">
        <v>571</v>
      </c>
      <c r="I25" s="1" t="n">
        <v>1</v>
      </c>
      <c r="J25" s="1" t="n">
        <v>1</v>
      </c>
    </row>
    <row r="26" customFormat="false" ht="16" hidden="false" customHeight="false" outlineLevel="0" collapsed="false">
      <c r="C26" s="27" t="s">
        <v>407</v>
      </c>
      <c r="E26" s="28" t="s">
        <v>6329</v>
      </c>
      <c r="G26" s="1" t="s">
        <v>571</v>
      </c>
      <c r="I26" s="1" t="n">
        <v>1</v>
      </c>
      <c r="J26" s="1" t="n">
        <v>1</v>
      </c>
    </row>
    <row r="27" customFormat="false" ht="16" hidden="false" customHeight="false" outlineLevel="0" collapsed="false">
      <c r="C27" s="27" t="s">
        <v>409</v>
      </c>
      <c r="E27" s="28" t="s">
        <v>6329</v>
      </c>
      <c r="G27" s="1" t="s">
        <v>555</v>
      </c>
      <c r="I27" s="1" t="n">
        <v>1</v>
      </c>
      <c r="J27" s="1" t="n">
        <v>1</v>
      </c>
    </row>
    <row r="28" customFormat="false" ht="16" hidden="false" customHeight="false" outlineLevel="0" collapsed="false">
      <c r="C28" s="27" t="s">
        <v>411</v>
      </c>
      <c r="E28" s="28" t="s">
        <v>6329</v>
      </c>
      <c r="G28" s="1" t="s">
        <v>571</v>
      </c>
      <c r="I28" s="1" t="n">
        <v>1</v>
      </c>
      <c r="J28" s="1" t="n">
        <v>1</v>
      </c>
    </row>
    <row r="29" customFormat="false" ht="16" hidden="false" customHeight="false" outlineLevel="0" collapsed="false">
      <c r="C29" s="27" t="s">
        <v>413</v>
      </c>
      <c r="E29" s="28" t="s">
        <v>6329</v>
      </c>
      <c r="G29" s="1" t="s">
        <v>565</v>
      </c>
      <c r="I29" s="1" t="n">
        <v>1</v>
      </c>
      <c r="J29" s="1" t="n">
        <v>1</v>
      </c>
    </row>
    <row r="30" customFormat="false" ht="16" hidden="false" customHeight="false" outlineLevel="0" collapsed="false">
      <c r="C30" s="27" t="s">
        <v>415</v>
      </c>
      <c r="E30" s="28" t="s">
        <v>6329</v>
      </c>
      <c r="G30" s="1" t="s">
        <v>565</v>
      </c>
      <c r="I30" s="1" t="n">
        <v>1</v>
      </c>
      <c r="J30" s="1" t="n">
        <v>1</v>
      </c>
    </row>
    <row r="31" customFormat="false" ht="16" hidden="false" customHeight="false" outlineLevel="0" collapsed="false">
      <c r="C31" s="27" t="s">
        <v>417</v>
      </c>
      <c r="E31" s="28" t="s">
        <v>6329</v>
      </c>
      <c r="G31" s="1" t="s">
        <v>565</v>
      </c>
      <c r="I31" s="1" t="n">
        <v>1</v>
      </c>
      <c r="J31" s="1" t="n">
        <v>1</v>
      </c>
    </row>
    <row r="32" customFormat="false" ht="16" hidden="false" customHeight="false" outlineLevel="0" collapsed="false">
      <c r="C32" s="27" t="s">
        <v>419</v>
      </c>
      <c r="E32" s="28" t="s">
        <v>6329</v>
      </c>
      <c r="G32" s="1" t="s">
        <v>567</v>
      </c>
      <c r="I32" s="1" t="n">
        <v>1</v>
      </c>
      <c r="J32" s="1" t="n">
        <v>1</v>
      </c>
    </row>
    <row r="33" customFormat="false" ht="16" hidden="false" customHeight="false" outlineLevel="0" collapsed="false">
      <c r="C33" s="27" t="s">
        <v>421</v>
      </c>
      <c r="E33" s="28" t="s">
        <v>6329</v>
      </c>
      <c r="G33" s="1" t="s">
        <v>563</v>
      </c>
      <c r="I33" s="1" t="n">
        <v>1</v>
      </c>
      <c r="J33" s="1" t="n">
        <v>1</v>
      </c>
    </row>
    <row r="34" customFormat="false" ht="16" hidden="false" customHeight="false" outlineLevel="0" collapsed="false">
      <c r="C34" s="27" t="s">
        <v>423</v>
      </c>
      <c r="E34" s="28" t="s">
        <v>6329</v>
      </c>
      <c r="G34" s="1" t="s">
        <v>561</v>
      </c>
      <c r="I34" s="1" t="n">
        <v>1</v>
      </c>
      <c r="J34" s="1" t="n">
        <v>1</v>
      </c>
    </row>
    <row r="35" customFormat="false" ht="16" hidden="false" customHeight="false" outlineLevel="0" collapsed="false">
      <c r="C35" s="27" t="s">
        <v>425</v>
      </c>
      <c r="E35" s="28" t="s">
        <v>6329</v>
      </c>
      <c r="G35" s="1" t="s">
        <v>563</v>
      </c>
      <c r="I35" s="1" t="n">
        <v>1</v>
      </c>
      <c r="J35" s="1" t="n">
        <v>1</v>
      </c>
    </row>
    <row r="36" customFormat="false" ht="16" hidden="false" customHeight="false" outlineLevel="0" collapsed="false">
      <c r="C36" s="27" t="s">
        <v>427</v>
      </c>
      <c r="E36" s="28" t="s">
        <v>6329</v>
      </c>
      <c r="G36" s="1" t="s">
        <v>555</v>
      </c>
      <c r="I36" s="1" t="n">
        <v>1</v>
      </c>
      <c r="J36" s="1" t="n">
        <v>1</v>
      </c>
    </row>
    <row r="37" customFormat="false" ht="16" hidden="false" customHeight="false" outlineLevel="0" collapsed="false">
      <c r="C37" s="27" t="s">
        <v>429</v>
      </c>
      <c r="E37" s="28" t="s">
        <v>6329</v>
      </c>
      <c r="G37" s="1" t="s">
        <v>555</v>
      </c>
      <c r="I37" s="1" t="n">
        <v>1</v>
      </c>
      <c r="J37" s="1" t="n">
        <v>1</v>
      </c>
    </row>
    <row r="38" customFormat="false" ht="16" hidden="false" customHeight="false" outlineLevel="0" collapsed="false">
      <c r="C38" s="27" t="s">
        <v>431</v>
      </c>
      <c r="E38" s="28" t="s">
        <v>6329</v>
      </c>
      <c r="G38" s="1" t="s">
        <v>555</v>
      </c>
      <c r="I38" s="1" t="n">
        <v>1</v>
      </c>
      <c r="J38" s="1" t="n">
        <v>1</v>
      </c>
    </row>
    <row r="39" customFormat="false" ht="16" hidden="false" customHeight="false" outlineLevel="0" collapsed="false">
      <c r="C39" s="27" t="s">
        <v>433</v>
      </c>
      <c r="E39" s="28" t="s">
        <v>6329</v>
      </c>
      <c r="G39" s="1" t="s">
        <v>555</v>
      </c>
      <c r="I39" s="1" t="n">
        <v>1</v>
      </c>
      <c r="J39" s="1" t="n">
        <v>1</v>
      </c>
    </row>
    <row r="40" customFormat="false" ht="16" hidden="false" customHeight="false" outlineLevel="0" collapsed="false">
      <c r="C40" s="27" t="s">
        <v>435</v>
      </c>
      <c r="E40" s="28" t="s">
        <v>6329</v>
      </c>
      <c r="G40" s="1" t="s">
        <v>555</v>
      </c>
      <c r="I40" s="1" t="n">
        <v>1</v>
      </c>
      <c r="J40" s="1" t="n">
        <v>1</v>
      </c>
    </row>
    <row r="41" customFormat="false" ht="16" hidden="false" customHeight="false" outlineLevel="0" collapsed="false">
      <c r="C41" s="27" t="s">
        <v>437</v>
      </c>
      <c r="E41" s="28" t="s">
        <v>6329</v>
      </c>
      <c r="G41" s="1" t="s">
        <v>555</v>
      </c>
      <c r="I41" s="1" t="n">
        <v>1</v>
      </c>
      <c r="J41" s="1" t="n">
        <v>1</v>
      </c>
    </row>
    <row r="42" customFormat="false" ht="16" hidden="false" customHeight="false" outlineLevel="0" collapsed="false">
      <c r="C42" s="27" t="s">
        <v>439</v>
      </c>
      <c r="E42" s="28" t="s">
        <v>6329</v>
      </c>
      <c r="G42" s="1" t="s">
        <v>555</v>
      </c>
      <c r="I42" s="1" t="n">
        <v>1</v>
      </c>
      <c r="J42" s="1" t="n">
        <v>1</v>
      </c>
    </row>
    <row r="43" customFormat="false" ht="16" hidden="false" customHeight="false" outlineLevel="0" collapsed="false">
      <c r="C43" s="27" t="s">
        <v>441</v>
      </c>
      <c r="E43" s="28" t="s">
        <v>6329</v>
      </c>
      <c r="G43" s="1" t="s">
        <v>555</v>
      </c>
      <c r="I43" s="1" t="n">
        <v>1</v>
      </c>
      <c r="J43" s="1" t="n">
        <v>1</v>
      </c>
    </row>
    <row r="44" customFormat="false" ht="16" hidden="false" customHeight="false" outlineLevel="0" collapsed="false">
      <c r="C44" s="27" t="s">
        <v>443</v>
      </c>
      <c r="E44" s="28" t="s">
        <v>6329</v>
      </c>
      <c r="G44" s="1" t="s">
        <v>551</v>
      </c>
      <c r="I44" s="1" t="n">
        <v>1</v>
      </c>
      <c r="J44" s="1" t="n">
        <v>1</v>
      </c>
    </row>
    <row r="45" customFormat="false" ht="16" hidden="false" customHeight="false" outlineLevel="0" collapsed="false">
      <c r="C45" s="27" t="s">
        <v>445</v>
      </c>
      <c r="E45" s="28" t="s">
        <v>6329</v>
      </c>
      <c r="G45" s="1" t="s">
        <v>551</v>
      </c>
      <c r="I45" s="1" t="n">
        <v>1</v>
      </c>
      <c r="J45" s="1" t="n">
        <v>1</v>
      </c>
    </row>
    <row r="46" customFormat="false" ht="16" hidden="false" customHeight="false" outlineLevel="0" collapsed="false">
      <c r="C46" s="27" t="s">
        <v>447</v>
      </c>
      <c r="E46" s="28" t="s">
        <v>6329</v>
      </c>
      <c r="G46" s="1" t="s">
        <v>553</v>
      </c>
      <c r="I46" s="1" t="n">
        <v>1</v>
      </c>
      <c r="J46" s="1" t="n">
        <v>1</v>
      </c>
    </row>
    <row r="47" customFormat="false" ht="16" hidden="false" customHeight="false" outlineLevel="0" collapsed="false">
      <c r="C47" s="27" t="s">
        <v>449</v>
      </c>
      <c r="E47" s="28" t="s">
        <v>6329</v>
      </c>
      <c r="G47" s="1" t="s">
        <v>553</v>
      </c>
      <c r="I47" s="1" t="n">
        <v>1</v>
      </c>
      <c r="J47" s="1" t="n">
        <v>1</v>
      </c>
    </row>
    <row r="48" customFormat="false" ht="16" hidden="false" customHeight="false" outlineLevel="0" collapsed="false">
      <c r="C48" s="27" t="s">
        <v>451</v>
      </c>
      <c r="E48" s="28" t="s">
        <v>6329</v>
      </c>
      <c r="G48" s="1" t="s">
        <v>553</v>
      </c>
      <c r="I48" s="1" t="n">
        <v>1</v>
      </c>
      <c r="J48" s="1" t="n">
        <v>1</v>
      </c>
    </row>
    <row r="49" customFormat="false" ht="16" hidden="false" customHeight="false" outlineLevel="0" collapsed="false">
      <c r="C49" s="27" t="s">
        <v>453</v>
      </c>
      <c r="E49" s="28" t="s">
        <v>6329</v>
      </c>
      <c r="G49" s="1" t="s">
        <v>553</v>
      </c>
      <c r="I49" s="1" t="n">
        <v>1</v>
      </c>
      <c r="J49" s="1" t="n">
        <v>1</v>
      </c>
    </row>
    <row r="50" customFormat="false" ht="16" hidden="false" customHeight="false" outlineLevel="0" collapsed="false">
      <c r="C50" s="27" t="s">
        <v>455</v>
      </c>
      <c r="E50" s="28" t="s">
        <v>6329</v>
      </c>
      <c r="G50" s="1" t="s">
        <v>553</v>
      </c>
      <c r="I50" s="1" t="n">
        <v>1</v>
      </c>
      <c r="J50" s="1" t="n">
        <v>1</v>
      </c>
    </row>
    <row r="51" customFormat="false" ht="16" hidden="false" customHeight="false" outlineLevel="0" collapsed="false">
      <c r="C51" s="27" t="s">
        <v>457</v>
      </c>
      <c r="E51" s="28" t="s">
        <v>6329</v>
      </c>
      <c r="G51" s="1" t="s">
        <v>559</v>
      </c>
      <c r="I51" s="1" t="n">
        <v>1</v>
      </c>
      <c r="J51" s="1" t="n">
        <v>1</v>
      </c>
    </row>
    <row r="52" customFormat="false" ht="16" hidden="false" customHeight="false" outlineLevel="0" collapsed="false">
      <c r="C52" s="27" t="s">
        <v>459</v>
      </c>
      <c r="E52" s="28" t="s">
        <v>6329</v>
      </c>
      <c r="G52" s="1" t="s">
        <v>559</v>
      </c>
      <c r="I52" s="1" t="n">
        <v>1</v>
      </c>
      <c r="J52" s="1" t="n">
        <v>1</v>
      </c>
    </row>
    <row r="53" customFormat="false" ht="16" hidden="false" customHeight="false" outlineLevel="0" collapsed="false">
      <c r="C53" s="27" t="s">
        <v>461</v>
      </c>
      <c r="E53" s="28" t="s">
        <v>6329</v>
      </c>
      <c r="G53" s="1" t="s">
        <v>559</v>
      </c>
      <c r="I53" s="1" t="n">
        <v>1</v>
      </c>
      <c r="J53" s="1" t="n">
        <v>1</v>
      </c>
    </row>
    <row r="54" customFormat="false" ht="16" hidden="false" customHeight="false" outlineLevel="0" collapsed="false">
      <c r="C54" s="27" t="s">
        <v>463</v>
      </c>
      <c r="E54" s="28" t="s">
        <v>6329</v>
      </c>
      <c r="G54" s="1" t="s">
        <v>559</v>
      </c>
      <c r="I54" s="1" t="n">
        <v>1</v>
      </c>
      <c r="J54" s="1" t="n">
        <v>1</v>
      </c>
    </row>
    <row r="55" customFormat="false" ht="16" hidden="false" customHeight="false" outlineLevel="0" collapsed="false">
      <c r="C55" s="27" t="s">
        <v>465</v>
      </c>
      <c r="E55" s="28" t="s">
        <v>6329</v>
      </c>
      <c r="G55" s="1" t="s">
        <v>559</v>
      </c>
      <c r="I55" s="1" t="n">
        <v>1</v>
      </c>
      <c r="J55" s="1" t="n">
        <v>1</v>
      </c>
    </row>
    <row r="56" customFormat="false" ht="16" hidden="false" customHeight="false" outlineLevel="0" collapsed="false">
      <c r="C56" s="27" t="s">
        <v>467</v>
      </c>
      <c r="E56" s="28" t="s">
        <v>6329</v>
      </c>
      <c r="G56" s="1" t="s">
        <v>559</v>
      </c>
      <c r="I56" s="1" t="n">
        <v>1</v>
      </c>
      <c r="J56" s="1" t="n">
        <v>1</v>
      </c>
    </row>
    <row r="57" customFormat="false" ht="16" hidden="false" customHeight="false" outlineLevel="0" collapsed="false">
      <c r="C57" s="27" t="s">
        <v>469</v>
      </c>
      <c r="E57" s="28" t="s">
        <v>6329</v>
      </c>
      <c r="G57" s="1" t="s">
        <v>557</v>
      </c>
      <c r="I57" s="1" t="n">
        <v>1</v>
      </c>
      <c r="J57" s="1" t="n">
        <v>1</v>
      </c>
    </row>
    <row r="58" customFormat="false" ht="16" hidden="false" customHeight="false" outlineLevel="0" collapsed="false">
      <c r="C58" s="27" t="s">
        <v>471</v>
      </c>
      <c r="E58" s="28" t="s">
        <v>6329</v>
      </c>
      <c r="G58" s="1" t="s">
        <v>559</v>
      </c>
      <c r="I58" s="1" t="n">
        <v>1</v>
      </c>
      <c r="J58" s="1" t="n">
        <v>1</v>
      </c>
    </row>
    <row r="59" customFormat="false" ht="16" hidden="false" customHeight="false" outlineLevel="0" collapsed="false">
      <c r="C59" s="27" t="s">
        <v>473</v>
      </c>
      <c r="E59" s="28" t="s">
        <v>6329</v>
      </c>
      <c r="G59" s="1" t="s">
        <v>557</v>
      </c>
      <c r="I59" s="1" t="n">
        <v>1</v>
      </c>
      <c r="J59" s="1" t="n">
        <v>1</v>
      </c>
    </row>
    <row r="60" customFormat="false" ht="16" hidden="false" customHeight="false" outlineLevel="0" collapsed="false">
      <c r="C60" s="27" t="s">
        <v>475</v>
      </c>
      <c r="E60" s="28" t="s">
        <v>6329</v>
      </c>
      <c r="G60" s="1" t="s">
        <v>559</v>
      </c>
      <c r="I60" s="1" t="n">
        <v>1</v>
      </c>
      <c r="J60" s="1" t="n">
        <v>1</v>
      </c>
    </row>
    <row r="61" customFormat="false" ht="16" hidden="false" customHeight="false" outlineLevel="0" collapsed="false">
      <c r="C61" s="27" t="s">
        <v>477</v>
      </c>
      <c r="E61" s="28" t="s">
        <v>6329</v>
      </c>
      <c r="G61" s="1" t="s">
        <v>557</v>
      </c>
      <c r="I61" s="1" t="n">
        <v>1</v>
      </c>
      <c r="J61" s="1" t="n">
        <v>1</v>
      </c>
    </row>
    <row r="62" customFormat="false" ht="16" hidden="false" customHeight="false" outlineLevel="0" collapsed="false">
      <c r="C62" s="27" t="s">
        <v>479</v>
      </c>
      <c r="E62" s="28" t="s">
        <v>6329</v>
      </c>
      <c r="G62" s="1" t="s">
        <v>559</v>
      </c>
      <c r="I62" s="1" t="n">
        <v>1</v>
      </c>
      <c r="J62" s="1" t="n">
        <v>1</v>
      </c>
    </row>
    <row r="63" customFormat="false" ht="16" hidden="false" customHeight="false" outlineLevel="0" collapsed="false">
      <c r="C63" s="27" t="s">
        <v>481</v>
      </c>
      <c r="E63" s="28" t="s">
        <v>6329</v>
      </c>
      <c r="G63" s="1" t="s">
        <v>523</v>
      </c>
      <c r="I63" s="1" t="n">
        <v>1</v>
      </c>
      <c r="J63" s="1" t="n">
        <v>1</v>
      </c>
    </row>
    <row r="64" customFormat="false" ht="16" hidden="false" customHeight="false" outlineLevel="0" collapsed="false">
      <c r="C64" s="27" t="s">
        <v>483</v>
      </c>
      <c r="E64" s="28" t="s">
        <v>6329</v>
      </c>
      <c r="G64" s="1" t="s">
        <v>521</v>
      </c>
      <c r="I64" s="1" t="n">
        <v>1</v>
      </c>
      <c r="J64" s="1" t="n">
        <v>1</v>
      </c>
    </row>
    <row r="65" customFormat="false" ht="16" hidden="false" customHeight="false" outlineLevel="0" collapsed="false">
      <c r="C65" s="27" t="s">
        <v>485</v>
      </c>
      <c r="E65" s="28" t="s">
        <v>6329</v>
      </c>
      <c r="G65" s="1" t="s">
        <v>525</v>
      </c>
      <c r="I65" s="1" t="n">
        <v>1</v>
      </c>
      <c r="J65" s="1" t="n">
        <v>1</v>
      </c>
    </row>
    <row r="66" customFormat="false" ht="16" hidden="false" customHeight="false" outlineLevel="0" collapsed="false">
      <c r="C66" s="27" t="s">
        <v>487</v>
      </c>
      <c r="E66" s="28" t="s">
        <v>6329</v>
      </c>
      <c r="G66" s="1" t="s">
        <v>527</v>
      </c>
      <c r="I66" s="1" t="n">
        <v>1</v>
      </c>
      <c r="J66" s="1" t="n">
        <v>1</v>
      </c>
    </row>
    <row r="67" customFormat="false" ht="16" hidden="false" customHeight="false" outlineLevel="0" collapsed="false">
      <c r="C67" s="27" t="s">
        <v>489</v>
      </c>
      <c r="E67" s="28" t="s">
        <v>6329</v>
      </c>
      <c r="G67" s="1" t="s">
        <v>575</v>
      </c>
      <c r="I67" s="1" t="n">
        <v>1</v>
      </c>
      <c r="J67" s="1" t="n">
        <v>1</v>
      </c>
    </row>
    <row r="68" customFormat="false" ht="16" hidden="false" customHeight="false" outlineLevel="0" collapsed="false">
      <c r="C68" s="27" t="s">
        <v>491</v>
      </c>
      <c r="E68" s="28" t="s">
        <v>6329</v>
      </c>
      <c r="G68" s="1" t="s">
        <v>559</v>
      </c>
      <c r="I68" s="1" t="n">
        <v>0.1274</v>
      </c>
      <c r="J68" s="1" t="n">
        <v>1</v>
      </c>
    </row>
    <row r="69" customFormat="false" ht="16" hidden="false" customHeight="false" outlineLevel="0" collapsed="false">
      <c r="C69" s="27" t="s">
        <v>491</v>
      </c>
      <c r="E69" s="28" t="s">
        <v>6329</v>
      </c>
      <c r="G69" s="1" t="s">
        <v>575</v>
      </c>
      <c r="I69" s="1" t="n">
        <f aca="false">1-I68</f>
        <v>0.8726</v>
      </c>
      <c r="J69" s="1" t="n">
        <v>1</v>
      </c>
    </row>
    <row r="70" customFormat="false" ht="16" hidden="false" customHeight="false" outlineLevel="0" collapsed="false">
      <c r="C70" s="27" t="s">
        <v>493</v>
      </c>
      <c r="E70" s="28" t="s">
        <v>6329</v>
      </c>
      <c r="G70" s="1" t="s">
        <v>575</v>
      </c>
      <c r="I70" s="1" t="n">
        <v>1</v>
      </c>
      <c r="J70" s="1" t="n">
        <v>1</v>
      </c>
    </row>
    <row r="71" customFormat="false" ht="16" hidden="false" customHeight="false" outlineLevel="0" collapsed="false">
      <c r="C71" s="27" t="s">
        <v>495</v>
      </c>
      <c r="E71" s="28" t="s">
        <v>6329</v>
      </c>
      <c r="G71" s="1" t="s">
        <v>573</v>
      </c>
      <c r="I71" s="1" t="n">
        <v>1</v>
      </c>
      <c r="J71" s="1" t="n">
        <v>1</v>
      </c>
    </row>
    <row r="72" customFormat="false" ht="16" hidden="false" customHeight="false" outlineLevel="0" collapsed="false">
      <c r="C72" s="27" t="s">
        <v>497</v>
      </c>
      <c r="E72" s="28" t="s">
        <v>6329</v>
      </c>
      <c r="G72" s="1" t="s">
        <v>573</v>
      </c>
      <c r="I72" s="1" t="n">
        <v>1</v>
      </c>
      <c r="J72" s="1" t="n">
        <v>1</v>
      </c>
    </row>
    <row r="73" customFormat="false" ht="16" hidden="false" customHeight="false" outlineLevel="0" collapsed="false">
      <c r="C73" s="27" t="s">
        <v>499</v>
      </c>
      <c r="E73" s="28" t="s">
        <v>6329</v>
      </c>
      <c r="G73" s="1" t="s">
        <v>529</v>
      </c>
      <c r="I73" s="1" t="n">
        <v>1</v>
      </c>
      <c r="J73" s="1" t="n">
        <v>1</v>
      </c>
    </row>
    <row r="74" customFormat="false" ht="16" hidden="false" customHeight="false" outlineLevel="0" collapsed="false">
      <c r="C74" s="27" t="s">
        <v>501</v>
      </c>
      <c r="E74" s="28" t="s">
        <v>6329</v>
      </c>
      <c r="G74" s="1" t="s">
        <v>573</v>
      </c>
      <c r="I74" s="1" t="n">
        <v>1</v>
      </c>
      <c r="J74" s="1" t="n">
        <v>1</v>
      </c>
    </row>
    <row r="75" customFormat="false" ht="16" hidden="false" customHeight="false" outlineLevel="0" collapsed="false">
      <c r="C75" s="27" t="s">
        <v>503</v>
      </c>
      <c r="E75" s="28" t="s">
        <v>6329</v>
      </c>
      <c r="G75" s="1" t="s">
        <v>573</v>
      </c>
      <c r="I75" s="1" t="n">
        <v>1</v>
      </c>
      <c r="J75" s="1" t="n">
        <v>1</v>
      </c>
    </row>
    <row r="76" customFormat="false" ht="16" hidden="false" customHeight="false" outlineLevel="0" collapsed="false">
      <c r="C76" s="27" t="s">
        <v>505</v>
      </c>
      <c r="E76" s="28" t="s">
        <v>6329</v>
      </c>
      <c r="G76" s="1" t="s">
        <v>531</v>
      </c>
      <c r="I76" s="1" t="n">
        <v>1</v>
      </c>
      <c r="J76" s="1" t="n">
        <v>1</v>
      </c>
    </row>
    <row r="77" customFormat="false" ht="16" hidden="false" customHeight="false" outlineLevel="0" collapsed="false">
      <c r="C77" s="27" t="s">
        <v>507</v>
      </c>
      <c r="E77" s="28" t="s">
        <v>6329</v>
      </c>
      <c r="G77" s="1" t="s">
        <v>573</v>
      </c>
      <c r="I77" s="1" t="n">
        <v>1</v>
      </c>
      <c r="J77" s="1" t="n">
        <v>1</v>
      </c>
    </row>
    <row r="78" customFormat="false" ht="16" hidden="false" customHeight="false" outlineLevel="0" collapsed="false">
      <c r="C78" s="27" t="s">
        <v>509</v>
      </c>
      <c r="E78" s="28" t="s">
        <v>6329</v>
      </c>
      <c r="G78" s="1" t="s">
        <v>573</v>
      </c>
      <c r="I78" s="1" t="n">
        <v>1</v>
      </c>
      <c r="J78" s="1" t="n">
        <v>1</v>
      </c>
    </row>
    <row r="79" customFormat="false" ht="16" hidden="false" customHeight="false" outlineLevel="0" collapsed="false">
      <c r="C79" s="27" t="s">
        <v>511</v>
      </c>
      <c r="E79" s="28" t="s">
        <v>6329</v>
      </c>
      <c r="G79" s="1" t="s">
        <v>573</v>
      </c>
      <c r="I79" s="1" t="n">
        <v>1</v>
      </c>
      <c r="J79" s="1" t="n">
        <v>1</v>
      </c>
    </row>
    <row r="80" customFormat="false" ht="16" hidden="false" customHeight="false" outlineLevel="0" collapsed="false">
      <c r="C80" s="27" t="s">
        <v>513</v>
      </c>
      <c r="E80" s="28" t="s">
        <v>6329</v>
      </c>
      <c r="G80" s="1" t="s">
        <v>533</v>
      </c>
      <c r="I80" s="1" t="n">
        <v>1</v>
      </c>
      <c r="J80" s="1" t="n">
        <v>1</v>
      </c>
    </row>
    <row r="81" customFormat="false" ht="16" hidden="false" customHeight="false" outlineLevel="0" collapsed="false">
      <c r="C81" s="27" t="s">
        <v>515</v>
      </c>
      <c r="E81" s="28" t="s">
        <v>6329</v>
      </c>
      <c r="G81" s="1" t="s">
        <v>573</v>
      </c>
      <c r="I81" s="1" t="n">
        <v>1</v>
      </c>
      <c r="J81" s="1" t="n">
        <v>1</v>
      </c>
    </row>
    <row r="82" customFormat="false" ht="16" hidden="false" customHeight="false" outlineLevel="0" collapsed="false">
      <c r="C82" s="27" t="s">
        <v>517</v>
      </c>
      <c r="E82" s="28" t="s">
        <v>6329</v>
      </c>
      <c r="G82" s="1" t="s">
        <v>573</v>
      </c>
      <c r="I82" s="1" t="n">
        <v>1</v>
      </c>
      <c r="J82" s="1" t="n">
        <v>1</v>
      </c>
    </row>
    <row r="83" customFormat="false" ht="16" hidden="false" customHeight="false" outlineLevel="0" collapsed="false">
      <c r="C83" s="27" t="s">
        <v>519</v>
      </c>
      <c r="E83" s="28" t="s">
        <v>6329</v>
      </c>
      <c r="G83" s="1" t="s">
        <v>573</v>
      </c>
      <c r="I83" s="1" t="n">
        <v>1</v>
      </c>
      <c r="J83" s="1" t="n">
        <v>1</v>
      </c>
    </row>
    <row r="85" customFormat="false" ht="16" hidden="false" customHeight="false" outlineLevel="0" collapsed="false">
      <c r="C85" s="27" t="s">
        <v>521</v>
      </c>
      <c r="E85" s="28" t="s">
        <v>6329</v>
      </c>
      <c r="G85" s="1" t="s">
        <v>577</v>
      </c>
      <c r="I85" s="1" t="n">
        <v>1</v>
      </c>
      <c r="J85" s="1" t="n">
        <v>2</v>
      </c>
    </row>
    <row r="86" customFormat="false" ht="16" hidden="false" customHeight="false" outlineLevel="0" collapsed="false">
      <c r="C86" s="27" t="s">
        <v>523</v>
      </c>
      <c r="E86" s="28" t="s">
        <v>6329</v>
      </c>
      <c r="G86" s="1" t="s">
        <v>578</v>
      </c>
      <c r="I86" s="1" t="n">
        <v>1</v>
      </c>
      <c r="J86" s="1" t="n">
        <v>2</v>
      </c>
    </row>
    <row r="87" customFormat="false" ht="16" hidden="false" customHeight="false" outlineLevel="0" collapsed="false">
      <c r="C87" s="27" t="s">
        <v>525</v>
      </c>
      <c r="E87" s="28" t="s">
        <v>6329</v>
      </c>
      <c r="G87" s="1" t="s">
        <v>579</v>
      </c>
      <c r="I87" s="1" t="n">
        <v>1</v>
      </c>
      <c r="J87" s="1" t="n">
        <v>2</v>
      </c>
    </row>
    <row r="88" customFormat="false" ht="16" hidden="false" customHeight="false" outlineLevel="0" collapsed="false">
      <c r="C88" s="27" t="s">
        <v>527</v>
      </c>
      <c r="E88" s="28" t="s">
        <v>6329</v>
      </c>
      <c r="G88" s="1" t="s">
        <v>580</v>
      </c>
      <c r="I88" s="1" t="n">
        <v>1</v>
      </c>
      <c r="J88" s="1" t="n">
        <v>2</v>
      </c>
    </row>
    <row r="89" customFormat="false" ht="16" hidden="false" customHeight="false" outlineLevel="0" collapsed="false">
      <c r="C89" s="27" t="s">
        <v>529</v>
      </c>
      <c r="E89" s="28" t="s">
        <v>6329</v>
      </c>
      <c r="G89" s="1" t="s">
        <v>581</v>
      </c>
      <c r="I89" s="1" t="n">
        <v>1</v>
      </c>
      <c r="J89" s="1" t="n">
        <v>2</v>
      </c>
    </row>
    <row r="90" customFormat="false" ht="16" hidden="false" customHeight="false" outlineLevel="0" collapsed="false">
      <c r="C90" s="27" t="s">
        <v>531</v>
      </c>
      <c r="E90" s="28" t="s">
        <v>6329</v>
      </c>
      <c r="G90" s="1" t="s">
        <v>589</v>
      </c>
      <c r="I90" s="1" t="n">
        <v>0.9</v>
      </c>
      <c r="J90" s="1" t="n">
        <v>2</v>
      </c>
    </row>
    <row r="91" customFormat="false" ht="16" hidden="false" customHeight="false" outlineLevel="0" collapsed="false">
      <c r="C91" s="27" t="s">
        <v>531</v>
      </c>
      <c r="E91" s="28" t="s">
        <v>6329</v>
      </c>
      <c r="G91" s="1" t="s">
        <v>584</v>
      </c>
      <c r="I91" s="1" t="n">
        <v>0.1</v>
      </c>
      <c r="J91" s="1" t="n">
        <v>2</v>
      </c>
    </row>
    <row r="92" customFormat="false" ht="16" hidden="false" customHeight="false" outlineLevel="0" collapsed="false">
      <c r="C92" s="27" t="s">
        <v>533</v>
      </c>
      <c r="E92" s="28" t="s">
        <v>6329</v>
      </c>
      <c r="G92" s="1" t="s">
        <v>593</v>
      </c>
      <c r="I92" s="1" t="n">
        <v>1</v>
      </c>
      <c r="J92" s="1" t="n">
        <v>2</v>
      </c>
    </row>
    <row r="93" customFormat="false" ht="16" hidden="false" customHeight="false" outlineLevel="0" collapsed="false">
      <c r="C93" s="27" t="s">
        <v>535</v>
      </c>
      <c r="E93" s="28" t="s">
        <v>6329</v>
      </c>
      <c r="G93" s="1" t="s">
        <v>585</v>
      </c>
      <c r="I93" s="1" t="n">
        <v>1</v>
      </c>
      <c r="J93" s="1" t="n">
        <v>2</v>
      </c>
    </row>
    <row r="94" customFormat="false" ht="16" hidden="false" customHeight="false" outlineLevel="0" collapsed="false">
      <c r="C94" s="27" t="s">
        <v>537</v>
      </c>
      <c r="E94" s="28" t="s">
        <v>6329</v>
      </c>
      <c r="G94" s="1" t="s">
        <v>585</v>
      </c>
      <c r="I94" s="1" t="n">
        <v>1</v>
      </c>
      <c r="J94" s="1" t="n">
        <v>2</v>
      </c>
    </row>
    <row r="95" customFormat="false" ht="16" hidden="false" customHeight="false" outlineLevel="0" collapsed="false">
      <c r="C95" s="27" t="s">
        <v>539</v>
      </c>
      <c r="E95" s="28" t="s">
        <v>6329</v>
      </c>
      <c r="G95" s="1" t="s">
        <v>584</v>
      </c>
      <c r="I95" s="1" t="n">
        <v>1</v>
      </c>
      <c r="J95" s="1" t="n">
        <v>2</v>
      </c>
    </row>
    <row r="96" customFormat="false" ht="16" hidden="false" customHeight="false" outlineLevel="0" collapsed="false">
      <c r="C96" s="27" t="s">
        <v>541</v>
      </c>
      <c r="E96" s="28" t="s">
        <v>6329</v>
      </c>
      <c r="G96" s="1" t="s">
        <v>585</v>
      </c>
      <c r="I96" s="1" t="n">
        <v>1</v>
      </c>
      <c r="J96" s="1" t="n">
        <v>2</v>
      </c>
    </row>
    <row r="97" customFormat="false" ht="16" hidden="false" customHeight="false" outlineLevel="0" collapsed="false">
      <c r="C97" s="27" t="s">
        <v>543</v>
      </c>
      <c r="E97" s="28" t="s">
        <v>6329</v>
      </c>
      <c r="G97" s="1" t="s">
        <v>585</v>
      </c>
      <c r="I97" s="1" t="n">
        <v>1</v>
      </c>
      <c r="J97" s="1" t="n">
        <v>2</v>
      </c>
    </row>
    <row r="98" customFormat="false" ht="16" hidden="false" customHeight="false" outlineLevel="0" collapsed="false">
      <c r="C98" s="27" t="s">
        <v>545</v>
      </c>
      <c r="E98" s="28" t="s">
        <v>6329</v>
      </c>
      <c r="G98" s="1" t="s">
        <v>585</v>
      </c>
      <c r="I98" s="1" t="n">
        <v>1</v>
      </c>
      <c r="J98" s="1" t="n">
        <v>2</v>
      </c>
    </row>
    <row r="99" customFormat="false" ht="16" hidden="false" customHeight="false" outlineLevel="0" collapsed="false">
      <c r="C99" s="27" t="s">
        <v>547</v>
      </c>
      <c r="E99" s="28" t="s">
        <v>6329</v>
      </c>
      <c r="G99" s="1" t="s">
        <v>585</v>
      </c>
      <c r="I99" s="1" t="n">
        <v>1</v>
      </c>
      <c r="J99" s="1" t="n">
        <v>2</v>
      </c>
    </row>
    <row r="100" customFormat="false" ht="16" hidden="false" customHeight="false" outlineLevel="0" collapsed="false">
      <c r="C100" s="27" t="s">
        <v>549</v>
      </c>
      <c r="E100" s="28" t="s">
        <v>6329</v>
      </c>
      <c r="G100" s="1" t="s">
        <v>585</v>
      </c>
      <c r="I100" s="1" t="n">
        <v>1</v>
      </c>
      <c r="J100" s="1" t="n">
        <v>2</v>
      </c>
    </row>
    <row r="101" customFormat="false" ht="16" hidden="false" customHeight="false" outlineLevel="0" collapsed="false">
      <c r="C101" s="27" t="s">
        <v>551</v>
      </c>
      <c r="E101" s="28" t="s">
        <v>6329</v>
      </c>
      <c r="G101" s="1" t="s">
        <v>587</v>
      </c>
      <c r="I101" s="1" t="n">
        <v>1</v>
      </c>
      <c r="J101" s="1" t="n">
        <v>2</v>
      </c>
    </row>
    <row r="102" customFormat="false" ht="16" hidden="false" customHeight="false" outlineLevel="0" collapsed="false">
      <c r="C102" s="27" t="s">
        <v>553</v>
      </c>
      <c r="E102" s="28" t="s">
        <v>6329</v>
      </c>
      <c r="G102" s="1" t="s">
        <v>587</v>
      </c>
      <c r="I102" s="1" t="n">
        <v>1</v>
      </c>
      <c r="J102" s="1" t="n">
        <v>2</v>
      </c>
    </row>
    <row r="103" customFormat="false" ht="16" hidden="false" customHeight="false" outlineLevel="0" collapsed="false">
      <c r="C103" s="27" t="s">
        <v>555</v>
      </c>
      <c r="E103" s="28" t="s">
        <v>6329</v>
      </c>
      <c r="G103" s="1" t="s">
        <v>587</v>
      </c>
      <c r="I103" s="1" t="n">
        <v>1</v>
      </c>
      <c r="J103" s="1" t="n">
        <v>2</v>
      </c>
    </row>
    <row r="104" customFormat="false" ht="16" hidden="false" customHeight="false" outlineLevel="0" collapsed="false">
      <c r="C104" s="27" t="s">
        <v>557</v>
      </c>
      <c r="E104" s="28" t="s">
        <v>6329</v>
      </c>
      <c r="G104" s="1" t="s">
        <v>589</v>
      </c>
      <c r="I104" s="1" t="n">
        <v>1</v>
      </c>
      <c r="J104" s="1" t="n">
        <v>2</v>
      </c>
    </row>
    <row r="105" customFormat="false" ht="16" hidden="false" customHeight="false" outlineLevel="0" collapsed="false">
      <c r="C105" s="27" t="s">
        <v>559</v>
      </c>
      <c r="E105" s="28" t="s">
        <v>6329</v>
      </c>
      <c r="G105" s="1" t="s">
        <v>589</v>
      </c>
      <c r="I105" s="1" t="n">
        <v>1</v>
      </c>
      <c r="J105" s="1" t="n">
        <v>2</v>
      </c>
    </row>
    <row r="106" customFormat="false" ht="16" hidden="false" customHeight="false" outlineLevel="0" collapsed="false">
      <c r="C106" s="27" t="s">
        <v>561</v>
      </c>
      <c r="E106" s="28" t="s">
        <v>6329</v>
      </c>
      <c r="G106" s="1" t="s">
        <v>591</v>
      </c>
      <c r="I106" s="1" t="n">
        <v>1</v>
      </c>
      <c r="J106" s="1" t="n">
        <v>2</v>
      </c>
    </row>
    <row r="107" customFormat="false" ht="16" hidden="false" customHeight="false" outlineLevel="0" collapsed="false">
      <c r="C107" s="27" t="s">
        <v>563</v>
      </c>
      <c r="E107" s="28" t="s">
        <v>6329</v>
      </c>
      <c r="G107" s="1" t="s">
        <v>591</v>
      </c>
      <c r="I107" s="1" t="n">
        <v>1</v>
      </c>
      <c r="J107" s="1" t="n">
        <v>2</v>
      </c>
    </row>
    <row r="108" customFormat="false" ht="16" hidden="false" customHeight="false" outlineLevel="0" collapsed="false">
      <c r="C108" s="27" t="s">
        <v>565</v>
      </c>
      <c r="E108" s="28" t="s">
        <v>6329</v>
      </c>
      <c r="G108" s="1" t="s">
        <v>591</v>
      </c>
      <c r="I108" s="1" t="n">
        <v>1</v>
      </c>
      <c r="J108" s="1" t="n">
        <v>2</v>
      </c>
    </row>
    <row r="109" customFormat="false" ht="16" hidden="false" customHeight="false" outlineLevel="0" collapsed="false">
      <c r="C109" s="27" t="s">
        <v>567</v>
      </c>
      <c r="E109" s="28" t="s">
        <v>6329</v>
      </c>
      <c r="G109" s="1" t="s">
        <v>591</v>
      </c>
      <c r="I109" s="1" t="n">
        <v>1</v>
      </c>
      <c r="J109" s="1" t="n">
        <v>2</v>
      </c>
    </row>
    <row r="110" customFormat="false" ht="16" hidden="false" customHeight="false" outlineLevel="0" collapsed="false">
      <c r="C110" s="27" t="s">
        <v>569</v>
      </c>
      <c r="E110" s="28" t="s">
        <v>6329</v>
      </c>
      <c r="G110" s="1" t="s">
        <v>591</v>
      </c>
      <c r="I110" s="1" t="n">
        <v>1</v>
      </c>
      <c r="J110" s="1" t="n">
        <v>2</v>
      </c>
    </row>
    <row r="111" customFormat="false" ht="16" hidden="false" customHeight="false" outlineLevel="0" collapsed="false">
      <c r="C111" s="27" t="s">
        <v>571</v>
      </c>
      <c r="E111" s="28" t="s">
        <v>6329</v>
      </c>
      <c r="G111" s="1" t="s">
        <v>591</v>
      </c>
      <c r="I111" s="1" t="n">
        <v>1</v>
      </c>
      <c r="J111" s="1" t="n">
        <v>2</v>
      </c>
    </row>
    <row r="112" customFormat="false" ht="16" hidden="false" customHeight="false" outlineLevel="0" collapsed="false">
      <c r="C112" s="27" t="s">
        <v>573</v>
      </c>
      <c r="E112" s="28" t="s">
        <v>6329</v>
      </c>
      <c r="G112" s="1" t="s">
        <v>595</v>
      </c>
      <c r="I112" s="1" t="n">
        <v>1</v>
      </c>
      <c r="J112" s="1" t="n">
        <v>2</v>
      </c>
    </row>
    <row r="113" customFormat="false" ht="16" hidden="false" customHeight="false" outlineLevel="0" collapsed="false">
      <c r="C113" s="27" t="s">
        <v>575</v>
      </c>
      <c r="E113" s="28" t="s">
        <v>6329</v>
      </c>
      <c r="G113" s="1" t="s">
        <v>582</v>
      </c>
      <c r="I113" s="1" t="n">
        <v>1</v>
      </c>
      <c r="J113" s="1" t="n">
        <v>2</v>
      </c>
    </row>
    <row r="115" customFormat="false" ht="16" hidden="false" customHeight="false" outlineLevel="0" collapsed="false">
      <c r="C115" s="27" t="s">
        <v>577</v>
      </c>
      <c r="E115" s="28" t="s">
        <v>6329</v>
      </c>
      <c r="G115" s="1" t="s">
        <v>628</v>
      </c>
      <c r="I115" s="1" t="n">
        <v>1</v>
      </c>
      <c r="J115" s="1" t="n">
        <v>3</v>
      </c>
    </row>
    <row r="116" customFormat="false" ht="16" hidden="false" customHeight="false" outlineLevel="0" collapsed="false">
      <c r="C116" s="27" t="s">
        <v>578</v>
      </c>
      <c r="E116" s="28" t="s">
        <v>6329</v>
      </c>
      <c r="G116" s="1" t="s">
        <v>628</v>
      </c>
      <c r="I116" s="1" t="n">
        <v>1</v>
      </c>
      <c r="J116" s="1" t="n">
        <v>3</v>
      </c>
    </row>
    <row r="117" customFormat="false" ht="16" hidden="false" customHeight="false" outlineLevel="0" collapsed="false">
      <c r="C117" s="27" t="s">
        <v>579</v>
      </c>
      <c r="E117" s="28" t="s">
        <v>6329</v>
      </c>
      <c r="G117" s="1" t="s">
        <v>628</v>
      </c>
      <c r="I117" s="1" t="n">
        <v>1</v>
      </c>
      <c r="J117" s="1" t="n">
        <v>3</v>
      </c>
    </row>
    <row r="118" customFormat="false" ht="16" hidden="false" customHeight="false" outlineLevel="0" collapsed="false">
      <c r="C118" s="27" t="s">
        <v>580</v>
      </c>
      <c r="E118" s="28" t="s">
        <v>6329</v>
      </c>
      <c r="G118" s="1" t="s">
        <v>628</v>
      </c>
      <c r="I118" s="1" t="n">
        <v>1</v>
      </c>
      <c r="J118" s="1" t="n">
        <v>3</v>
      </c>
    </row>
    <row r="119" customFormat="false" ht="16" hidden="false" customHeight="false" outlineLevel="0" collapsed="false">
      <c r="C119" s="27" t="s">
        <v>581</v>
      </c>
      <c r="E119" s="28" t="s">
        <v>6329</v>
      </c>
      <c r="G119" s="1" t="s">
        <v>628</v>
      </c>
      <c r="I119" s="1" t="n">
        <v>1</v>
      </c>
      <c r="J119" s="1" t="n">
        <v>3</v>
      </c>
    </row>
    <row r="120" customFormat="false" ht="16" hidden="false" customHeight="false" outlineLevel="0" collapsed="false">
      <c r="C120" s="27" t="s">
        <v>582</v>
      </c>
      <c r="E120" s="28" t="s">
        <v>6329</v>
      </c>
      <c r="G120" s="1" t="s">
        <v>628</v>
      </c>
      <c r="I120" s="1" t="n">
        <v>1</v>
      </c>
      <c r="J120" s="1" t="n">
        <v>3</v>
      </c>
    </row>
    <row r="121" customFormat="false" ht="16" hidden="false" customHeight="false" outlineLevel="0" collapsed="false">
      <c r="C121" s="27" t="s">
        <v>584</v>
      </c>
      <c r="E121" s="28" t="s">
        <v>6329</v>
      </c>
      <c r="G121" s="1" t="s">
        <v>628</v>
      </c>
      <c r="I121" s="1" t="n">
        <v>1</v>
      </c>
      <c r="J121" s="1" t="n">
        <v>3</v>
      </c>
    </row>
    <row r="122" customFormat="false" ht="16" hidden="false" customHeight="false" outlineLevel="0" collapsed="false">
      <c r="C122" s="27" t="s">
        <v>585</v>
      </c>
      <c r="E122" s="28" t="s">
        <v>6329</v>
      </c>
      <c r="G122" s="1" t="s">
        <v>628</v>
      </c>
      <c r="I122" s="1" t="n">
        <v>1</v>
      </c>
      <c r="J122" s="1" t="n">
        <v>3</v>
      </c>
    </row>
    <row r="123" customFormat="false" ht="16" hidden="false" customHeight="false" outlineLevel="0" collapsed="false">
      <c r="C123" s="27" t="s">
        <v>587</v>
      </c>
      <c r="E123" s="28" t="s">
        <v>6329</v>
      </c>
      <c r="G123" s="1" t="s">
        <v>628</v>
      </c>
      <c r="I123" s="1" t="n">
        <v>1</v>
      </c>
      <c r="J123" s="1" t="n">
        <v>3</v>
      </c>
    </row>
    <row r="124" customFormat="false" ht="16" hidden="false" customHeight="false" outlineLevel="0" collapsed="false">
      <c r="C124" s="27" t="s">
        <v>589</v>
      </c>
      <c r="E124" s="28" t="s">
        <v>6329</v>
      </c>
      <c r="G124" s="1" t="s">
        <v>628</v>
      </c>
      <c r="I124" s="1" t="n">
        <v>1</v>
      </c>
      <c r="J124" s="1" t="n">
        <v>3</v>
      </c>
    </row>
    <row r="125" customFormat="false" ht="16" hidden="false" customHeight="false" outlineLevel="0" collapsed="false">
      <c r="C125" s="27" t="s">
        <v>591</v>
      </c>
      <c r="E125" s="28" t="s">
        <v>6329</v>
      </c>
      <c r="G125" s="1" t="s">
        <v>628</v>
      </c>
      <c r="I125" s="1" t="n">
        <v>1</v>
      </c>
      <c r="J125" s="1" t="n">
        <v>3</v>
      </c>
    </row>
    <row r="126" customFormat="false" ht="16" hidden="false" customHeight="false" outlineLevel="0" collapsed="false">
      <c r="C126" s="27" t="s">
        <v>593</v>
      </c>
      <c r="E126" s="28" t="s">
        <v>6329</v>
      </c>
      <c r="G126" s="1" t="s">
        <v>628</v>
      </c>
      <c r="I126" s="1" t="n">
        <v>1</v>
      </c>
      <c r="J126" s="1" t="n">
        <v>3</v>
      </c>
    </row>
    <row r="127" customFormat="false" ht="16" hidden="false" customHeight="false" outlineLevel="0" collapsed="false">
      <c r="C127" s="27" t="s">
        <v>595</v>
      </c>
      <c r="E127" s="28" t="s">
        <v>6329</v>
      </c>
      <c r="G127" s="1" t="s">
        <v>628</v>
      </c>
      <c r="I127" s="1" t="n">
        <v>1</v>
      </c>
      <c r="J127" s="1" t="n">
        <v>3</v>
      </c>
    </row>
    <row r="132" customFormat="false" ht="16" hidden="false" customHeight="false" outlineLevel="0" collapsed="false">
      <c r="C132" s="27" t="s">
        <v>577</v>
      </c>
      <c r="E132" s="28" t="s">
        <v>6332</v>
      </c>
      <c r="G132" s="1" t="s">
        <v>597</v>
      </c>
      <c r="I132" s="1" t="n">
        <v>0.02</v>
      </c>
      <c r="J132" s="1" t="n">
        <v>1</v>
      </c>
      <c r="K132" s="1" t="s">
        <v>6333</v>
      </c>
      <c r="N132" s="1" t="s">
        <v>6334</v>
      </c>
    </row>
    <row r="133" customFormat="false" ht="16" hidden="false" customHeight="false" outlineLevel="0" collapsed="false">
      <c r="C133" s="27" t="s">
        <v>577</v>
      </c>
      <c r="E133" s="28" t="s">
        <v>6332</v>
      </c>
      <c r="G133" s="1" t="s">
        <v>599</v>
      </c>
      <c r="I133" s="1" t="n">
        <v>1</v>
      </c>
      <c r="J133" s="1" t="n">
        <v>2</v>
      </c>
      <c r="K133" s="1" t="s">
        <v>6333</v>
      </c>
    </row>
    <row r="134" customFormat="false" ht="16" hidden="false" customHeight="false" outlineLevel="0" collapsed="false">
      <c r="C134" s="27" t="s">
        <v>578</v>
      </c>
      <c r="E134" s="28" t="s">
        <v>6332</v>
      </c>
      <c r="G134" s="1" t="s">
        <v>597</v>
      </c>
      <c r="I134" s="1" t="n">
        <v>0.02</v>
      </c>
      <c r="J134" s="1" t="n">
        <v>1</v>
      </c>
      <c r="K134" s="1" t="s">
        <v>6333</v>
      </c>
    </row>
    <row r="135" customFormat="false" ht="16" hidden="false" customHeight="false" outlineLevel="0" collapsed="false">
      <c r="C135" s="27" t="s">
        <v>578</v>
      </c>
      <c r="E135" s="28" t="s">
        <v>6332</v>
      </c>
      <c r="G135" s="1" t="s">
        <v>599</v>
      </c>
      <c r="I135" s="1" t="n">
        <v>1</v>
      </c>
      <c r="J135" s="1" t="n">
        <v>2</v>
      </c>
      <c r="K135" s="1" t="s">
        <v>6333</v>
      </c>
    </row>
    <row r="136" customFormat="false" ht="16" hidden="false" customHeight="false" outlineLevel="0" collapsed="false">
      <c r="C136" s="27" t="s">
        <v>579</v>
      </c>
      <c r="E136" s="28" t="s">
        <v>6332</v>
      </c>
      <c r="G136" s="1" t="s">
        <v>597</v>
      </c>
      <c r="I136" s="1" t="n">
        <v>0.95</v>
      </c>
      <c r="J136" s="1" t="n">
        <v>1</v>
      </c>
      <c r="K136" s="1" t="s">
        <v>6333</v>
      </c>
    </row>
    <row r="137" customFormat="false" ht="16" hidden="false" customHeight="false" outlineLevel="0" collapsed="false">
      <c r="C137" s="27" t="s">
        <v>579</v>
      </c>
      <c r="E137" s="28" t="s">
        <v>6332</v>
      </c>
      <c r="G137" s="1" t="s">
        <v>599</v>
      </c>
      <c r="I137" s="1" t="n">
        <v>1</v>
      </c>
      <c r="J137" s="1" t="n">
        <v>2</v>
      </c>
      <c r="K137" s="1" t="s">
        <v>6333</v>
      </c>
    </row>
    <row r="138" customFormat="false" ht="16" hidden="false" customHeight="false" outlineLevel="0" collapsed="false">
      <c r="C138" s="27" t="s">
        <v>580</v>
      </c>
      <c r="E138" s="28" t="s">
        <v>6332</v>
      </c>
      <c r="G138" s="1" t="s">
        <v>597</v>
      </c>
      <c r="I138" s="1" t="n">
        <v>0.02</v>
      </c>
      <c r="J138" s="1" t="n">
        <v>1</v>
      </c>
      <c r="K138" s="1" t="s">
        <v>6333</v>
      </c>
    </row>
    <row r="139" customFormat="false" ht="16" hidden="false" customHeight="false" outlineLevel="0" collapsed="false">
      <c r="C139" s="27" t="s">
        <v>580</v>
      </c>
      <c r="E139" s="28" t="s">
        <v>6332</v>
      </c>
      <c r="G139" s="1" t="s">
        <v>599</v>
      </c>
      <c r="I139" s="1" t="n">
        <v>1</v>
      </c>
      <c r="J139" s="1" t="n">
        <v>2</v>
      </c>
      <c r="K139" s="1" t="s">
        <v>6333</v>
      </c>
    </row>
    <row r="140" customFormat="false" ht="16" hidden="false" customHeight="false" outlineLevel="0" collapsed="false">
      <c r="C140" s="27" t="s">
        <v>581</v>
      </c>
      <c r="E140" s="28" t="s">
        <v>6332</v>
      </c>
      <c r="G140" s="1" t="s">
        <v>597</v>
      </c>
      <c r="I140" s="1" t="n">
        <v>0.95</v>
      </c>
      <c r="J140" s="1" t="n">
        <v>1</v>
      </c>
      <c r="K140" s="1" t="s">
        <v>6333</v>
      </c>
    </row>
    <row r="141" customFormat="false" ht="16" hidden="false" customHeight="false" outlineLevel="0" collapsed="false">
      <c r="C141" s="27" t="s">
        <v>581</v>
      </c>
      <c r="E141" s="28" t="s">
        <v>6332</v>
      </c>
      <c r="G141" s="1" t="s">
        <v>599</v>
      </c>
      <c r="I141" s="1" t="n">
        <v>1</v>
      </c>
      <c r="J141" s="1" t="n">
        <v>2</v>
      </c>
      <c r="K141" s="1" t="s">
        <v>6333</v>
      </c>
    </row>
    <row r="142" customFormat="false" ht="16" hidden="false" customHeight="false" outlineLevel="0" collapsed="false">
      <c r="C142" s="27" t="s">
        <v>582</v>
      </c>
      <c r="E142" s="28" t="s">
        <v>6332</v>
      </c>
      <c r="G142" s="1" t="s">
        <v>597</v>
      </c>
      <c r="I142" s="1" t="n">
        <v>0.95</v>
      </c>
      <c r="J142" s="1" t="n">
        <v>1</v>
      </c>
      <c r="K142" s="1" t="s">
        <v>6333</v>
      </c>
    </row>
    <row r="143" customFormat="false" ht="16" hidden="false" customHeight="false" outlineLevel="0" collapsed="false">
      <c r="C143" s="27" t="s">
        <v>582</v>
      </c>
      <c r="E143" s="28" t="s">
        <v>6332</v>
      </c>
      <c r="G143" s="1" t="s">
        <v>599</v>
      </c>
      <c r="I143" s="1" t="n">
        <v>1</v>
      </c>
      <c r="J143" s="1" t="n">
        <v>2</v>
      </c>
      <c r="K143" s="1" t="s">
        <v>6333</v>
      </c>
    </row>
    <row r="144" customFormat="false" ht="16" hidden="false" customHeight="false" outlineLevel="0" collapsed="false">
      <c r="C144" s="27" t="s">
        <v>584</v>
      </c>
      <c r="E144" s="28" t="s">
        <v>6332</v>
      </c>
      <c r="G144" s="1" t="s">
        <v>597</v>
      </c>
      <c r="I144" s="1" t="n">
        <v>0.95</v>
      </c>
      <c r="J144" s="1" t="n">
        <v>1</v>
      </c>
      <c r="K144" s="1" t="s">
        <v>6333</v>
      </c>
    </row>
    <row r="145" customFormat="false" ht="16" hidden="false" customHeight="false" outlineLevel="0" collapsed="false">
      <c r="C145" s="27" t="s">
        <v>584</v>
      </c>
      <c r="E145" s="28" t="s">
        <v>6332</v>
      </c>
      <c r="G145" s="1" t="s">
        <v>599</v>
      </c>
      <c r="I145" s="1" t="n">
        <v>1</v>
      </c>
      <c r="J145" s="1" t="n">
        <v>2</v>
      </c>
      <c r="K145" s="1" t="s">
        <v>6333</v>
      </c>
    </row>
    <row r="146" customFormat="false" ht="16" hidden="false" customHeight="false" outlineLevel="0" collapsed="false">
      <c r="C146" s="27" t="s">
        <v>585</v>
      </c>
      <c r="E146" s="28" t="s">
        <v>6332</v>
      </c>
      <c r="G146" s="1" t="s">
        <v>597</v>
      </c>
      <c r="I146" s="1" t="n">
        <v>0.95</v>
      </c>
      <c r="J146" s="1" t="n">
        <v>1</v>
      </c>
      <c r="K146" s="1" t="s">
        <v>6333</v>
      </c>
    </row>
    <row r="147" customFormat="false" ht="16" hidden="false" customHeight="false" outlineLevel="0" collapsed="false">
      <c r="C147" s="27" t="s">
        <v>585</v>
      </c>
      <c r="E147" s="28" t="s">
        <v>6332</v>
      </c>
      <c r="G147" s="1" t="s">
        <v>599</v>
      </c>
      <c r="I147" s="1" t="n">
        <v>1</v>
      </c>
      <c r="J147" s="1" t="n">
        <v>2</v>
      </c>
      <c r="K147" s="1" t="s">
        <v>6333</v>
      </c>
    </row>
    <row r="148" customFormat="false" ht="16" hidden="false" customHeight="false" outlineLevel="0" collapsed="false">
      <c r="C148" s="27" t="s">
        <v>587</v>
      </c>
      <c r="E148" s="28" t="s">
        <v>6332</v>
      </c>
      <c r="G148" s="1" t="s">
        <v>597</v>
      </c>
      <c r="I148" s="1" t="n">
        <v>0.95</v>
      </c>
      <c r="J148" s="1" t="n">
        <v>1</v>
      </c>
      <c r="K148" s="1" t="s">
        <v>6333</v>
      </c>
    </row>
    <row r="149" customFormat="false" ht="16" hidden="false" customHeight="false" outlineLevel="0" collapsed="false">
      <c r="C149" s="27" t="s">
        <v>587</v>
      </c>
      <c r="E149" s="28" t="s">
        <v>6332</v>
      </c>
      <c r="G149" s="1" t="s">
        <v>599</v>
      </c>
      <c r="I149" s="1" t="n">
        <v>1</v>
      </c>
      <c r="J149" s="1" t="n">
        <v>2</v>
      </c>
      <c r="K149" s="1" t="s">
        <v>6333</v>
      </c>
    </row>
    <row r="150" customFormat="false" ht="16" hidden="false" customHeight="false" outlineLevel="0" collapsed="false">
      <c r="C150" s="27" t="s">
        <v>589</v>
      </c>
      <c r="E150" s="28" t="s">
        <v>6332</v>
      </c>
      <c r="G150" s="1" t="s">
        <v>597</v>
      </c>
      <c r="I150" s="1" t="n">
        <v>0.95</v>
      </c>
      <c r="J150" s="1" t="n">
        <v>1</v>
      </c>
      <c r="K150" s="1" t="s">
        <v>6333</v>
      </c>
    </row>
    <row r="151" customFormat="false" ht="16" hidden="false" customHeight="false" outlineLevel="0" collapsed="false">
      <c r="C151" s="27" t="s">
        <v>589</v>
      </c>
      <c r="E151" s="28" t="s">
        <v>6332</v>
      </c>
      <c r="G151" s="1" t="s">
        <v>599</v>
      </c>
      <c r="I151" s="1" t="n">
        <v>1</v>
      </c>
      <c r="J151" s="1" t="n">
        <v>2</v>
      </c>
      <c r="K151" s="1" t="s">
        <v>6333</v>
      </c>
    </row>
    <row r="152" customFormat="false" ht="16" hidden="false" customHeight="false" outlineLevel="0" collapsed="false">
      <c r="C152" s="27" t="s">
        <v>591</v>
      </c>
      <c r="E152" s="28" t="s">
        <v>6332</v>
      </c>
      <c r="G152" s="1" t="s">
        <v>597</v>
      </c>
      <c r="I152" s="1" t="n">
        <v>0.95</v>
      </c>
      <c r="J152" s="1" t="n">
        <v>1</v>
      </c>
      <c r="K152" s="1" t="s">
        <v>6333</v>
      </c>
    </row>
    <row r="153" customFormat="false" ht="16" hidden="false" customHeight="false" outlineLevel="0" collapsed="false">
      <c r="C153" s="27" t="s">
        <v>591</v>
      </c>
      <c r="E153" s="28" t="s">
        <v>6332</v>
      </c>
      <c r="G153" s="1" t="s">
        <v>599</v>
      </c>
      <c r="I153" s="1" t="n">
        <v>1</v>
      </c>
      <c r="J153" s="1" t="n">
        <v>2</v>
      </c>
      <c r="K153" s="1" t="s">
        <v>6333</v>
      </c>
    </row>
    <row r="154" customFormat="false" ht="16" hidden="false" customHeight="false" outlineLevel="0" collapsed="false">
      <c r="C154" s="27" t="s">
        <v>593</v>
      </c>
      <c r="E154" s="28" t="s">
        <v>6332</v>
      </c>
      <c r="G154" s="1" t="s">
        <v>597</v>
      </c>
      <c r="I154" s="1" t="n">
        <v>0.95</v>
      </c>
      <c r="J154" s="1" t="n">
        <v>1</v>
      </c>
      <c r="K154" s="1" t="s">
        <v>6333</v>
      </c>
    </row>
    <row r="155" customFormat="false" ht="16" hidden="false" customHeight="false" outlineLevel="0" collapsed="false">
      <c r="C155" s="27" t="s">
        <v>593</v>
      </c>
      <c r="E155" s="28" t="s">
        <v>6332</v>
      </c>
      <c r="G155" s="1" t="s">
        <v>599</v>
      </c>
      <c r="I155" s="1" t="n">
        <v>1</v>
      </c>
      <c r="J155" s="1" t="n">
        <v>2</v>
      </c>
      <c r="K155" s="1" t="s">
        <v>6333</v>
      </c>
    </row>
    <row r="156" customFormat="false" ht="16" hidden="false" customHeight="false" outlineLevel="0" collapsed="false">
      <c r="C156" s="27" t="s">
        <v>595</v>
      </c>
      <c r="E156" s="28" t="s">
        <v>6332</v>
      </c>
      <c r="G156" s="1" t="s">
        <v>597</v>
      </c>
      <c r="I156" s="1" t="n">
        <v>0.05</v>
      </c>
      <c r="J156" s="1" t="n">
        <v>1</v>
      </c>
      <c r="K156" s="1" t="s">
        <v>6333</v>
      </c>
    </row>
    <row r="157" customFormat="false" ht="16" hidden="false" customHeight="false" outlineLevel="0" collapsed="false">
      <c r="C157" s="27" t="s">
        <v>595</v>
      </c>
      <c r="E157" s="28" t="s">
        <v>6332</v>
      </c>
      <c r="G157" s="1" t="s">
        <v>599</v>
      </c>
      <c r="I157" s="1" t="n">
        <v>1</v>
      </c>
      <c r="J157" s="1" t="n">
        <v>2</v>
      </c>
      <c r="K157" s="1" t="s">
        <v>6333</v>
      </c>
    </row>
    <row r="159" customFormat="false" ht="16" hidden="false" customHeight="false" outlineLevel="0" collapsed="false">
      <c r="C159" s="27" t="s">
        <v>577</v>
      </c>
      <c r="E159" s="28" t="s">
        <v>6335</v>
      </c>
      <c r="G159" s="1" t="s">
        <v>601</v>
      </c>
      <c r="I159" s="1" t="n">
        <v>0.02</v>
      </c>
      <c r="J159" s="1" t="n">
        <v>1</v>
      </c>
      <c r="K159" s="1" t="s">
        <v>6333</v>
      </c>
    </row>
    <row r="160" customFormat="false" ht="16" hidden="false" customHeight="false" outlineLevel="0" collapsed="false">
      <c r="C160" s="27" t="s">
        <v>578</v>
      </c>
      <c r="E160" s="28" t="s">
        <v>6335</v>
      </c>
      <c r="G160" s="1" t="s">
        <v>601</v>
      </c>
      <c r="I160" s="1" t="n">
        <v>0.02</v>
      </c>
      <c r="J160" s="1" t="n">
        <v>1</v>
      </c>
      <c r="K160" s="1" t="s">
        <v>6333</v>
      </c>
    </row>
    <row r="161" customFormat="false" ht="16" hidden="false" customHeight="false" outlineLevel="0" collapsed="false">
      <c r="C161" s="27" t="s">
        <v>579</v>
      </c>
      <c r="E161" s="28" t="s">
        <v>6335</v>
      </c>
      <c r="G161" s="1" t="s">
        <v>601</v>
      </c>
      <c r="I161" s="1" t="n">
        <v>0.05</v>
      </c>
      <c r="J161" s="1" t="n">
        <v>1</v>
      </c>
      <c r="K161" s="1" t="s">
        <v>6333</v>
      </c>
    </row>
    <row r="162" customFormat="false" ht="16" hidden="false" customHeight="false" outlineLevel="0" collapsed="false">
      <c r="C162" s="27" t="s">
        <v>580</v>
      </c>
      <c r="E162" s="28" t="s">
        <v>6335</v>
      </c>
      <c r="G162" s="1" t="s">
        <v>601</v>
      </c>
      <c r="I162" s="1" t="n">
        <v>0.02</v>
      </c>
      <c r="J162" s="1" t="n">
        <v>1</v>
      </c>
      <c r="K162" s="1" t="s">
        <v>6333</v>
      </c>
    </row>
    <row r="163" customFormat="false" ht="16" hidden="false" customHeight="false" outlineLevel="0" collapsed="false">
      <c r="C163" s="27" t="s">
        <v>581</v>
      </c>
      <c r="E163" s="28" t="s">
        <v>6335</v>
      </c>
      <c r="G163" s="1" t="s">
        <v>601</v>
      </c>
      <c r="I163" s="1" t="n">
        <v>0.05</v>
      </c>
      <c r="J163" s="1" t="n">
        <v>1</v>
      </c>
      <c r="K163" s="1" t="s">
        <v>6333</v>
      </c>
    </row>
    <row r="164" customFormat="false" ht="16" hidden="false" customHeight="false" outlineLevel="0" collapsed="false">
      <c r="C164" s="27" t="s">
        <v>582</v>
      </c>
      <c r="E164" s="28" t="s">
        <v>6335</v>
      </c>
      <c r="G164" s="1" t="s">
        <v>601</v>
      </c>
      <c r="I164" s="1" t="n">
        <v>0.05</v>
      </c>
      <c r="J164" s="1" t="n">
        <v>1</v>
      </c>
      <c r="K164" s="1" t="s">
        <v>6333</v>
      </c>
    </row>
    <row r="165" customFormat="false" ht="16" hidden="false" customHeight="false" outlineLevel="0" collapsed="false">
      <c r="C165" s="27" t="s">
        <v>584</v>
      </c>
      <c r="E165" s="28" t="s">
        <v>6335</v>
      </c>
      <c r="G165" s="1" t="s">
        <v>601</v>
      </c>
      <c r="I165" s="1" t="n">
        <v>0.8</v>
      </c>
      <c r="J165" s="1" t="n">
        <v>1</v>
      </c>
      <c r="K165" s="1" t="s">
        <v>6333</v>
      </c>
    </row>
    <row r="166" customFormat="false" ht="16" hidden="false" customHeight="false" outlineLevel="0" collapsed="false">
      <c r="C166" s="27" t="s">
        <v>585</v>
      </c>
      <c r="E166" s="28" t="s">
        <v>6335</v>
      </c>
      <c r="G166" s="1" t="s">
        <v>601</v>
      </c>
      <c r="I166" s="1" t="n">
        <v>0.8</v>
      </c>
      <c r="J166" s="1" t="n">
        <v>1</v>
      </c>
      <c r="K166" s="1" t="s">
        <v>6333</v>
      </c>
    </row>
    <row r="167" customFormat="false" ht="16" hidden="false" customHeight="false" outlineLevel="0" collapsed="false">
      <c r="C167" s="27" t="s">
        <v>587</v>
      </c>
      <c r="E167" s="28" t="s">
        <v>6335</v>
      </c>
      <c r="G167" s="1" t="s">
        <v>601</v>
      </c>
      <c r="I167" s="1" t="n">
        <v>0.9</v>
      </c>
      <c r="J167" s="1" t="n">
        <v>1</v>
      </c>
      <c r="K167" s="1" t="s">
        <v>6333</v>
      </c>
    </row>
    <row r="168" customFormat="false" ht="16" hidden="false" customHeight="false" outlineLevel="0" collapsed="false">
      <c r="C168" s="27" t="s">
        <v>589</v>
      </c>
      <c r="E168" s="28" t="s">
        <v>6335</v>
      </c>
      <c r="G168" s="1" t="s">
        <v>601</v>
      </c>
      <c r="I168" s="1" t="n">
        <v>0.8</v>
      </c>
      <c r="J168" s="1" t="n">
        <v>1</v>
      </c>
      <c r="K168" s="1" t="s">
        <v>6333</v>
      </c>
    </row>
    <row r="169" customFormat="false" ht="16" hidden="false" customHeight="false" outlineLevel="0" collapsed="false">
      <c r="C169" s="27" t="s">
        <v>591</v>
      </c>
      <c r="E169" s="28" t="s">
        <v>6335</v>
      </c>
      <c r="G169" s="1" t="s">
        <v>601</v>
      </c>
      <c r="I169" s="1" t="n">
        <v>0.9</v>
      </c>
      <c r="J169" s="1" t="n">
        <v>1</v>
      </c>
      <c r="K169" s="1" t="s">
        <v>6333</v>
      </c>
    </row>
    <row r="170" customFormat="false" ht="16" hidden="false" customHeight="false" outlineLevel="0" collapsed="false">
      <c r="C170" s="27" t="s">
        <v>593</v>
      </c>
      <c r="E170" s="28" t="s">
        <v>6335</v>
      </c>
      <c r="G170" s="1" t="s">
        <v>601</v>
      </c>
      <c r="I170" s="1" t="n">
        <v>0.8</v>
      </c>
      <c r="J170" s="1" t="n">
        <v>1</v>
      </c>
      <c r="K170" s="1" t="s">
        <v>6333</v>
      </c>
    </row>
    <row r="171" customFormat="false" ht="16" hidden="false" customHeight="false" outlineLevel="0" collapsed="false">
      <c r="C171" s="27" t="s">
        <v>595</v>
      </c>
      <c r="E171" s="28" t="s">
        <v>6335</v>
      </c>
      <c r="G171" s="1" t="s">
        <v>601</v>
      </c>
      <c r="I171" s="1" t="n">
        <v>0.05</v>
      </c>
      <c r="J171" s="1" t="n">
        <v>1</v>
      </c>
      <c r="K171" s="1" t="s">
        <v>6333</v>
      </c>
    </row>
    <row r="172" customFormat="false" ht="16" hidden="false" customHeight="false" outlineLevel="0" collapsed="false">
      <c r="C172" s="27" t="s">
        <v>577</v>
      </c>
      <c r="E172" s="28" t="s">
        <v>6335</v>
      </c>
      <c r="G172" s="1" t="s">
        <v>603</v>
      </c>
      <c r="I172" s="1" t="n">
        <v>1</v>
      </c>
      <c r="J172" s="1" t="n">
        <v>2</v>
      </c>
      <c r="K172" s="1" t="s">
        <v>6333</v>
      </c>
    </row>
    <row r="173" customFormat="false" ht="16" hidden="false" customHeight="false" outlineLevel="0" collapsed="false">
      <c r="C173" s="27" t="s">
        <v>578</v>
      </c>
      <c r="E173" s="28" t="s">
        <v>6335</v>
      </c>
      <c r="G173" s="1" t="s">
        <v>603</v>
      </c>
      <c r="I173" s="1" t="n">
        <v>1</v>
      </c>
      <c r="J173" s="1" t="n">
        <v>2</v>
      </c>
      <c r="K173" s="1" t="s">
        <v>6333</v>
      </c>
    </row>
    <row r="174" customFormat="false" ht="16" hidden="false" customHeight="false" outlineLevel="0" collapsed="false">
      <c r="C174" s="27" t="s">
        <v>579</v>
      </c>
      <c r="E174" s="28" t="s">
        <v>6335</v>
      </c>
      <c r="G174" s="1" t="s">
        <v>603</v>
      </c>
      <c r="I174" s="1" t="n">
        <v>1</v>
      </c>
      <c r="J174" s="1" t="n">
        <v>2</v>
      </c>
      <c r="K174" s="1" t="s">
        <v>6333</v>
      </c>
    </row>
    <row r="175" customFormat="false" ht="16" hidden="false" customHeight="false" outlineLevel="0" collapsed="false">
      <c r="C175" s="27" t="s">
        <v>580</v>
      </c>
      <c r="E175" s="28" t="s">
        <v>6335</v>
      </c>
      <c r="G175" s="1" t="s">
        <v>603</v>
      </c>
      <c r="I175" s="1" t="n">
        <v>1</v>
      </c>
      <c r="J175" s="1" t="n">
        <v>2</v>
      </c>
      <c r="K175" s="1" t="s">
        <v>6333</v>
      </c>
    </row>
    <row r="176" customFormat="false" ht="16" hidden="false" customHeight="false" outlineLevel="0" collapsed="false">
      <c r="C176" s="27" t="s">
        <v>581</v>
      </c>
      <c r="E176" s="28" t="s">
        <v>6335</v>
      </c>
      <c r="G176" s="1" t="s">
        <v>603</v>
      </c>
      <c r="I176" s="1" t="n">
        <v>1</v>
      </c>
      <c r="J176" s="1" t="n">
        <v>2</v>
      </c>
      <c r="K176" s="1" t="s">
        <v>6333</v>
      </c>
    </row>
    <row r="177" customFormat="false" ht="16" hidden="false" customHeight="false" outlineLevel="0" collapsed="false">
      <c r="C177" s="27" t="s">
        <v>582</v>
      </c>
      <c r="E177" s="28" t="s">
        <v>6335</v>
      </c>
      <c r="G177" s="1" t="s">
        <v>603</v>
      </c>
      <c r="I177" s="1" t="n">
        <v>1</v>
      </c>
      <c r="J177" s="1" t="n">
        <v>2</v>
      </c>
      <c r="K177" s="1" t="s">
        <v>6333</v>
      </c>
    </row>
    <row r="178" customFormat="false" ht="16" hidden="false" customHeight="false" outlineLevel="0" collapsed="false">
      <c r="C178" s="27" t="s">
        <v>584</v>
      </c>
      <c r="E178" s="28" t="s">
        <v>6335</v>
      </c>
      <c r="G178" s="1" t="s">
        <v>603</v>
      </c>
      <c r="I178" s="1" t="n">
        <v>1</v>
      </c>
      <c r="J178" s="1" t="n">
        <v>2</v>
      </c>
      <c r="K178" s="1" t="s">
        <v>6333</v>
      </c>
    </row>
    <row r="179" customFormat="false" ht="16" hidden="false" customHeight="false" outlineLevel="0" collapsed="false">
      <c r="C179" s="27" t="s">
        <v>585</v>
      </c>
      <c r="E179" s="28" t="s">
        <v>6335</v>
      </c>
      <c r="G179" s="1" t="s">
        <v>603</v>
      </c>
      <c r="I179" s="1" t="n">
        <v>1</v>
      </c>
      <c r="J179" s="1" t="n">
        <v>2</v>
      </c>
      <c r="K179" s="1" t="s">
        <v>6333</v>
      </c>
    </row>
    <row r="180" customFormat="false" ht="16" hidden="false" customHeight="false" outlineLevel="0" collapsed="false">
      <c r="C180" s="27" t="s">
        <v>587</v>
      </c>
      <c r="E180" s="28" t="s">
        <v>6335</v>
      </c>
      <c r="G180" s="1" t="s">
        <v>603</v>
      </c>
      <c r="I180" s="1" t="n">
        <v>1</v>
      </c>
      <c r="J180" s="1" t="n">
        <v>2</v>
      </c>
      <c r="K180" s="1" t="s">
        <v>6333</v>
      </c>
    </row>
    <row r="181" customFormat="false" ht="16" hidden="false" customHeight="false" outlineLevel="0" collapsed="false">
      <c r="C181" s="27" t="s">
        <v>589</v>
      </c>
      <c r="E181" s="28" t="s">
        <v>6335</v>
      </c>
      <c r="G181" s="1" t="s">
        <v>603</v>
      </c>
      <c r="I181" s="1" t="n">
        <v>1</v>
      </c>
      <c r="J181" s="1" t="n">
        <v>2</v>
      </c>
      <c r="K181" s="1" t="s">
        <v>6333</v>
      </c>
    </row>
    <row r="182" customFormat="false" ht="16" hidden="false" customHeight="false" outlineLevel="0" collapsed="false">
      <c r="C182" s="27" t="s">
        <v>591</v>
      </c>
      <c r="E182" s="28" t="s">
        <v>6335</v>
      </c>
      <c r="G182" s="1" t="s">
        <v>603</v>
      </c>
      <c r="I182" s="1" t="n">
        <v>1</v>
      </c>
      <c r="J182" s="1" t="n">
        <v>2</v>
      </c>
      <c r="K182" s="1" t="s">
        <v>6333</v>
      </c>
    </row>
    <row r="183" customFormat="false" ht="16" hidden="false" customHeight="false" outlineLevel="0" collapsed="false">
      <c r="C183" s="27" t="s">
        <v>593</v>
      </c>
      <c r="E183" s="28" t="s">
        <v>6335</v>
      </c>
      <c r="G183" s="1" t="s">
        <v>603</v>
      </c>
      <c r="I183" s="1" t="n">
        <v>1</v>
      </c>
      <c r="J183" s="1" t="n">
        <v>2</v>
      </c>
      <c r="K183" s="1" t="s">
        <v>6333</v>
      </c>
      <c r="N183" s="33" t="n">
        <f aca="false">N189/56939000</f>
        <v>0</v>
      </c>
    </row>
    <row r="184" customFormat="false" ht="16" hidden="false" customHeight="false" outlineLevel="0" collapsed="false">
      <c r="C184" s="27" t="s">
        <v>595</v>
      </c>
      <c r="E184" s="28" t="s">
        <v>6335</v>
      </c>
      <c r="G184" s="1" t="s">
        <v>603</v>
      </c>
      <c r="I184" s="1" t="n">
        <v>1</v>
      </c>
      <c r="J184" s="1" t="n">
        <v>2</v>
      </c>
      <c r="K184" s="1" t="s">
        <v>6333</v>
      </c>
    </row>
    <row r="186" customFormat="false" ht="16" hidden="false" customHeight="false" outlineLevel="0" collapsed="false">
      <c r="C186" s="27" t="s">
        <v>599</v>
      </c>
      <c r="E186" s="28" t="s">
        <v>6336</v>
      </c>
      <c r="G186" s="1" t="s">
        <v>607</v>
      </c>
      <c r="I186" s="1" t="n">
        <v>1</v>
      </c>
      <c r="J186" s="1" t="n">
        <v>1</v>
      </c>
      <c r="K186" s="1" t="s">
        <v>6333</v>
      </c>
      <c r="N186" s="1" t="s">
        <v>6337</v>
      </c>
    </row>
    <row r="187" customFormat="false" ht="16" hidden="false" customHeight="false" outlineLevel="0" collapsed="false">
      <c r="C187" s="27" t="s">
        <v>603</v>
      </c>
      <c r="E187" s="28" t="s">
        <v>6336</v>
      </c>
      <c r="G187" s="1" t="s">
        <v>607</v>
      </c>
      <c r="I187" s="1" t="n">
        <v>1</v>
      </c>
      <c r="J187" s="1" t="n">
        <v>1</v>
      </c>
      <c r="K187" s="1" t="s">
        <v>6333</v>
      </c>
    </row>
    <row r="188" customFormat="false" ht="16" hidden="false" customHeight="false" outlineLevel="0" collapsed="false">
      <c r="C188" s="27" t="s">
        <v>377</v>
      </c>
      <c r="E188" s="28" t="s">
        <v>6336</v>
      </c>
      <c r="G188" s="1" t="s">
        <v>605</v>
      </c>
      <c r="H188" s="27"/>
      <c r="I188" s="1" t="n">
        <v>1</v>
      </c>
      <c r="J188" s="1" t="n">
        <v>1</v>
      </c>
      <c r="K188" s="1" t="s">
        <v>6333</v>
      </c>
    </row>
    <row r="189" customFormat="false" ht="16" hidden="false" customHeight="false" outlineLevel="0" collapsed="false">
      <c r="C189" s="27" t="s">
        <v>605</v>
      </c>
      <c r="E189" s="28" t="s">
        <v>6336</v>
      </c>
      <c r="G189" s="1" t="s">
        <v>607</v>
      </c>
      <c r="I189" s="1" t="n">
        <v>1</v>
      </c>
      <c r="J189" s="1" t="n">
        <v>3</v>
      </c>
      <c r="K189" s="1" t="s">
        <v>6333</v>
      </c>
      <c r="L189" s="34"/>
      <c r="M189" s="34"/>
      <c r="N189" s="34"/>
      <c r="O189" s="5"/>
      <c r="P189" s="5"/>
      <c r="Q189" s="5"/>
    </row>
    <row r="190" customFormat="false" ht="16" hidden="false" customHeight="false" outlineLevel="0" collapsed="false">
      <c r="B190" s="26" t="s">
        <v>6338</v>
      </c>
      <c r="E190" s="28" t="s">
        <v>6336</v>
      </c>
      <c r="G190" s="1" t="s">
        <v>607</v>
      </c>
      <c r="I190" s="1" t="n">
        <v>1</v>
      </c>
      <c r="J190" s="1" t="n">
        <v>3</v>
      </c>
      <c r="K190" s="1" t="s">
        <v>6333</v>
      </c>
      <c r="L190" s="5"/>
      <c r="M190" s="5"/>
      <c r="N190" s="5"/>
      <c r="O190" s="5"/>
      <c r="P190" s="5"/>
      <c r="Q190" s="5"/>
    </row>
    <row r="191" customFormat="false" ht="16" hidden="false" customHeight="false" outlineLevel="0" collapsed="false">
      <c r="A191" s="26" t="s">
        <v>6338</v>
      </c>
      <c r="E191" s="28" t="s">
        <v>6336</v>
      </c>
      <c r="G191" s="1" t="s">
        <v>607</v>
      </c>
      <c r="I191" s="1" t="n">
        <v>1</v>
      </c>
      <c r="J191" s="1" t="n">
        <v>3</v>
      </c>
      <c r="K191" s="1" t="s">
        <v>6333</v>
      </c>
      <c r="L191" s="5"/>
      <c r="M191" s="5"/>
      <c r="N191" s="5"/>
      <c r="O191" s="5"/>
      <c r="P191" s="5"/>
      <c r="Q191" s="5"/>
    </row>
    <row r="192" customFormat="false" ht="16" hidden="false" customHeight="false" outlineLevel="0" collapsed="false">
      <c r="L192" s="34"/>
      <c r="M192" s="5"/>
      <c r="N192" s="5"/>
      <c r="O192" s="5"/>
      <c r="P192" s="5"/>
      <c r="Q192" s="5"/>
    </row>
    <row r="193" customFormat="false" ht="17.35" hidden="false" customHeight="false" outlineLevel="0" collapsed="false">
      <c r="A193" s="26" t="s">
        <v>8</v>
      </c>
      <c r="C193" s="27" t="s">
        <v>577</v>
      </c>
      <c r="E193" s="28" t="s">
        <v>6339</v>
      </c>
      <c r="F193" s="1" t="s">
        <v>247</v>
      </c>
      <c r="G193" s="1" t="s">
        <v>611</v>
      </c>
      <c r="I193" s="1" t="n">
        <v>0.264427</v>
      </c>
      <c r="J193" s="1" t="n">
        <v>1</v>
      </c>
      <c r="K193" s="1" t="s">
        <v>6333</v>
      </c>
      <c r="L193" s="35"/>
      <c r="M193" s="34"/>
      <c r="N193" s="34"/>
      <c r="O193" s="5"/>
      <c r="P193" s="5"/>
      <c r="Q193" s="5"/>
      <c r="S193" s="34"/>
    </row>
    <row r="194" customFormat="false" ht="17.35" hidden="false" customHeight="false" outlineLevel="0" collapsed="false">
      <c r="A194" s="26" t="s">
        <v>8</v>
      </c>
      <c r="C194" s="27" t="s">
        <v>578</v>
      </c>
      <c r="E194" s="28" t="s">
        <v>6339</v>
      </c>
      <c r="F194" s="1" t="s">
        <v>247</v>
      </c>
      <c r="G194" s="1" t="s">
        <v>611</v>
      </c>
      <c r="I194" s="1" t="n">
        <v>0.537701</v>
      </c>
      <c r="J194" s="1" t="n">
        <v>1</v>
      </c>
      <c r="K194" s="1" t="s">
        <v>6333</v>
      </c>
      <c r="L194" s="35"/>
      <c r="M194" s="34"/>
      <c r="N194" s="5"/>
      <c r="O194" s="5"/>
      <c r="P194" s="5"/>
      <c r="Q194" s="5"/>
      <c r="AT194" s="1" t="s">
        <v>6340</v>
      </c>
    </row>
    <row r="195" customFormat="false" ht="17.35" hidden="false" customHeight="false" outlineLevel="0" collapsed="false">
      <c r="A195" s="26" t="s">
        <v>8</v>
      </c>
      <c r="C195" s="27" t="s">
        <v>579</v>
      </c>
      <c r="E195" s="28" t="s">
        <v>6339</v>
      </c>
      <c r="F195" s="1" t="s">
        <v>247</v>
      </c>
      <c r="G195" s="1" t="s">
        <v>611</v>
      </c>
      <c r="I195" s="1" t="n">
        <v>0.17694</v>
      </c>
      <c r="J195" s="1" t="n">
        <v>1</v>
      </c>
      <c r="K195" s="1" t="s">
        <v>6333</v>
      </c>
      <c r="L195" s="35"/>
      <c r="M195" s="34"/>
      <c r="N195" s="5"/>
      <c r="O195" s="5"/>
      <c r="P195" s="5"/>
      <c r="Q195" s="5"/>
      <c r="AT195" s="1" t="s">
        <v>6341</v>
      </c>
    </row>
    <row r="196" customFormat="false" ht="17.35" hidden="false" customHeight="false" outlineLevel="0" collapsed="false">
      <c r="A196" s="26" t="s">
        <v>8</v>
      </c>
      <c r="C196" s="27" t="s">
        <v>580</v>
      </c>
      <c r="E196" s="28" t="s">
        <v>6339</v>
      </c>
      <c r="F196" s="1" t="s">
        <v>247</v>
      </c>
      <c r="G196" s="1" t="s">
        <v>611</v>
      </c>
      <c r="I196" s="1" t="n">
        <v>0.645831</v>
      </c>
      <c r="J196" s="1" t="n">
        <v>1</v>
      </c>
      <c r="K196" s="1" t="s">
        <v>6333</v>
      </c>
      <c r="L196" s="35"/>
      <c r="M196" s="34"/>
      <c r="N196" s="5"/>
      <c r="O196" s="5"/>
      <c r="P196" s="5"/>
      <c r="Q196" s="5"/>
      <c r="AT196" s="1" t="s">
        <v>6342</v>
      </c>
    </row>
    <row r="197" customFormat="false" ht="16" hidden="false" customHeight="false" outlineLevel="0" collapsed="false">
      <c r="A197" s="26" t="s">
        <v>8</v>
      </c>
      <c r="C197" s="27" t="s">
        <v>581</v>
      </c>
      <c r="E197" s="28" t="s">
        <v>6339</v>
      </c>
      <c r="F197" s="1" t="s">
        <v>247</v>
      </c>
      <c r="G197" s="1" t="s">
        <v>611</v>
      </c>
      <c r="I197" s="1" t="n">
        <v>0.17694</v>
      </c>
      <c r="J197" s="1" t="n">
        <v>1</v>
      </c>
      <c r="K197" s="1" t="s">
        <v>6333</v>
      </c>
      <c r="L197" s="34"/>
      <c r="M197" s="34"/>
      <c r="N197" s="5"/>
      <c r="O197" s="5"/>
      <c r="P197" s="5"/>
      <c r="Q197" s="5"/>
      <c r="AT197" s="1" t="s">
        <v>6343</v>
      </c>
    </row>
    <row r="198" customFormat="false" ht="17.35" hidden="false" customHeight="false" outlineLevel="0" collapsed="false">
      <c r="A198" s="26" t="s">
        <v>8</v>
      </c>
      <c r="C198" s="27" t="s">
        <v>582</v>
      </c>
      <c r="E198" s="28" t="s">
        <v>6339</v>
      </c>
      <c r="F198" s="1" t="s">
        <v>247</v>
      </c>
      <c r="G198" s="1" t="s">
        <v>611</v>
      </c>
      <c r="I198" s="1" t="n">
        <v>0.669423</v>
      </c>
      <c r="J198" s="1" t="n">
        <v>1</v>
      </c>
      <c r="K198" s="1" t="s">
        <v>6333</v>
      </c>
      <c r="L198" s="35"/>
      <c r="M198" s="34"/>
      <c r="N198" s="5"/>
      <c r="O198" s="5"/>
      <c r="P198" s="5"/>
      <c r="Q198" s="5"/>
      <c r="AT198" s="1" t="s">
        <v>6344</v>
      </c>
    </row>
    <row r="199" customFormat="false" ht="17.35" hidden="false" customHeight="false" outlineLevel="0" collapsed="false">
      <c r="A199" s="26" t="s">
        <v>8</v>
      </c>
      <c r="C199" s="27" t="s">
        <v>584</v>
      </c>
      <c r="E199" s="28" t="s">
        <v>6339</v>
      </c>
      <c r="F199" s="1" t="s">
        <v>247</v>
      </c>
      <c r="G199" s="1" t="s">
        <v>611</v>
      </c>
      <c r="I199" s="1" t="n">
        <v>0.283104</v>
      </c>
      <c r="J199" s="1" t="n">
        <v>1</v>
      </c>
      <c r="K199" s="1" t="s">
        <v>6333</v>
      </c>
      <c r="L199" s="35"/>
      <c r="M199" s="34"/>
      <c r="N199" s="5"/>
      <c r="O199" s="5"/>
      <c r="P199" s="5"/>
      <c r="Q199" s="5"/>
    </row>
    <row r="200" customFormat="false" ht="17.35" hidden="false" customHeight="false" outlineLevel="0" collapsed="false">
      <c r="A200" s="26" t="s">
        <v>8</v>
      </c>
      <c r="C200" s="27" t="s">
        <v>585</v>
      </c>
      <c r="E200" s="28" t="s">
        <v>6339</v>
      </c>
      <c r="F200" s="1" t="s">
        <v>247</v>
      </c>
      <c r="G200" s="1" t="s">
        <v>611</v>
      </c>
      <c r="I200" s="1" t="n">
        <v>0.372557</v>
      </c>
      <c r="J200" s="1" t="n">
        <v>1</v>
      </c>
      <c r="K200" s="1" t="s">
        <v>6333</v>
      </c>
      <c r="L200" s="35"/>
      <c r="M200" s="34"/>
      <c r="N200" s="5"/>
      <c r="O200" s="5"/>
      <c r="P200" s="5"/>
      <c r="Q200" s="5"/>
    </row>
    <row r="201" customFormat="false" ht="17.35" hidden="false" customHeight="false" outlineLevel="0" collapsed="false">
      <c r="A201" s="26" t="s">
        <v>8</v>
      </c>
      <c r="C201" s="27" t="s">
        <v>605</v>
      </c>
      <c r="E201" s="28" t="s">
        <v>6339</v>
      </c>
      <c r="F201" s="32" t="s">
        <v>247</v>
      </c>
      <c r="G201" s="32" t="s">
        <v>611</v>
      </c>
      <c r="H201" s="32"/>
      <c r="I201" s="1" t="n">
        <v>0.372557</v>
      </c>
      <c r="J201" s="1" t="n">
        <v>1</v>
      </c>
      <c r="K201" s="32" t="s">
        <v>6333</v>
      </c>
      <c r="L201" s="35"/>
      <c r="M201" s="34"/>
      <c r="N201" s="5"/>
      <c r="O201" s="5"/>
      <c r="P201" s="5"/>
      <c r="Q201" s="5"/>
    </row>
    <row r="202" customFormat="false" ht="16" hidden="false" customHeight="false" outlineLevel="0" collapsed="false">
      <c r="L202" s="5"/>
      <c r="M202" s="5"/>
      <c r="N202" s="5"/>
      <c r="O202" s="5"/>
      <c r="P202" s="5"/>
      <c r="Q202" s="5"/>
    </row>
    <row r="203" customFormat="false" ht="17.35" hidden="false" customHeight="false" outlineLevel="0" collapsed="false">
      <c r="A203" s="26" t="s">
        <v>8</v>
      </c>
      <c r="C203" s="27" t="s">
        <v>577</v>
      </c>
      <c r="E203" s="28" t="s">
        <v>6339</v>
      </c>
      <c r="F203" s="1" t="s">
        <v>249</v>
      </c>
      <c r="G203" s="1" t="s">
        <v>611</v>
      </c>
      <c r="I203" s="1" t="n">
        <v>0.04573</v>
      </c>
      <c r="J203" s="1" t="n">
        <v>1</v>
      </c>
      <c r="K203" s="1" t="s">
        <v>6333</v>
      </c>
      <c r="L203" s="35"/>
      <c r="M203" s="34"/>
      <c r="N203" s="34"/>
      <c r="O203" s="5"/>
      <c r="P203" s="5"/>
      <c r="Q203" s="5"/>
    </row>
    <row r="204" customFormat="false" ht="17.35" hidden="false" customHeight="false" outlineLevel="0" collapsed="false">
      <c r="A204" s="26" t="s">
        <v>8</v>
      </c>
      <c r="C204" s="27" t="s">
        <v>578</v>
      </c>
      <c r="E204" s="28" t="s">
        <v>6339</v>
      </c>
      <c r="F204" s="1" t="s">
        <v>249</v>
      </c>
      <c r="G204" s="1" t="s">
        <v>611</v>
      </c>
      <c r="I204" s="1" t="n">
        <v>0.09299</v>
      </c>
      <c r="J204" s="1" t="n">
        <v>1</v>
      </c>
      <c r="K204" s="1" t="s">
        <v>6333</v>
      </c>
      <c r="L204" s="35"/>
      <c r="M204" s="34"/>
      <c r="N204" s="5"/>
      <c r="O204" s="5"/>
      <c r="P204" s="5"/>
      <c r="Q204" s="5"/>
    </row>
    <row r="205" customFormat="false" ht="17.35" hidden="false" customHeight="false" outlineLevel="0" collapsed="false">
      <c r="A205" s="26" t="s">
        <v>8</v>
      </c>
      <c r="C205" s="27" t="s">
        <v>579</v>
      </c>
      <c r="E205" s="28" t="s">
        <v>6339</v>
      </c>
      <c r="F205" s="1" t="s">
        <v>249</v>
      </c>
      <c r="G205" s="1" t="s">
        <v>611</v>
      </c>
      <c r="I205" s="1" t="n">
        <v>0.0306</v>
      </c>
      <c r="J205" s="1" t="n">
        <v>1</v>
      </c>
      <c r="K205" s="1" t="s">
        <v>6333</v>
      </c>
      <c r="L205" s="35"/>
      <c r="M205" s="34"/>
      <c r="N205" s="5"/>
      <c r="O205" s="5"/>
      <c r="P205" s="5"/>
      <c r="Q205" s="5"/>
    </row>
    <row r="206" customFormat="false" ht="17.35" hidden="false" customHeight="false" outlineLevel="0" collapsed="false">
      <c r="A206" s="26" t="s">
        <v>8</v>
      </c>
      <c r="C206" s="27" t="s">
        <v>580</v>
      </c>
      <c r="E206" s="28" t="s">
        <v>6339</v>
      </c>
      <c r="F206" s="1" t="s">
        <v>249</v>
      </c>
      <c r="G206" s="1" t="s">
        <v>611</v>
      </c>
      <c r="I206" s="1" t="n">
        <v>0.11169</v>
      </c>
      <c r="J206" s="1" t="n">
        <v>1</v>
      </c>
      <c r="K206" s="1" t="s">
        <v>6333</v>
      </c>
      <c r="L206" s="35"/>
      <c r="M206" s="34"/>
      <c r="N206" s="5"/>
      <c r="O206" s="5"/>
      <c r="P206" s="5"/>
      <c r="Q206" s="5"/>
    </row>
    <row r="207" customFormat="false" ht="16" hidden="false" customHeight="false" outlineLevel="0" collapsed="false">
      <c r="A207" s="26" t="s">
        <v>8</v>
      </c>
      <c r="C207" s="27" t="s">
        <v>581</v>
      </c>
      <c r="E207" s="28" t="s">
        <v>6339</v>
      </c>
      <c r="F207" s="1" t="s">
        <v>249</v>
      </c>
      <c r="G207" s="1" t="s">
        <v>611</v>
      </c>
      <c r="I207" s="1" t="n">
        <v>0.0306</v>
      </c>
      <c r="J207" s="1" t="n">
        <v>1</v>
      </c>
      <c r="K207" s="1" t="s">
        <v>6333</v>
      </c>
      <c r="L207" s="34"/>
      <c r="M207" s="34"/>
      <c r="N207" s="5"/>
      <c r="O207" s="5"/>
      <c r="P207" s="5"/>
      <c r="Q207" s="5"/>
    </row>
    <row r="208" customFormat="false" ht="17.35" hidden="false" customHeight="false" outlineLevel="0" collapsed="false">
      <c r="A208" s="26" t="s">
        <v>8</v>
      </c>
      <c r="C208" s="27" t="s">
        <v>582</v>
      </c>
      <c r="E208" s="28" t="s">
        <v>6339</v>
      </c>
      <c r="F208" s="1" t="s">
        <v>249</v>
      </c>
      <c r="G208" s="1" t="s">
        <v>611</v>
      </c>
      <c r="I208" s="1" t="n">
        <v>0.11577</v>
      </c>
      <c r="J208" s="1" t="n">
        <v>1</v>
      </c>
      <c r="K208" s="1" t="s">
        <v>6333</v>
      </c>
      <c r="L208" s="35"/>
      <c r="M208" s="34"/>
      <c r="N208" s="5"/>
      <c r="O208" s="5"/>
      <c r="P208" s="5"/>
      <c r="Q208" s="5"/>
    </row>
    <row r="209" customFormat="false" ht="17.35" hidden="false" customHeight="false" outlineLevel="0" collapsed="false">
      <c r="A209" s="26" t="s">
        <v>8</v>
      </c>
      <c r="C209" s="27" t="s">
        <v>584</v>
      </c>
      <c r="E209" s="28" t="s">
        <v>6339</v>
      </c>
      <c r="F209" s="1" t="s">
        <v>249</v>
      </c>
      <c r="G209" s="1" t="s">
        <v>611</v>
      </c>
      <c r="I209" s="1" t="n">
        <v>0.04896</v>
      </c>
      <c r="J209" s="1" t="n">
        <v>1</v>
      </c>
      <c r="K209" s="1" t="s">
        <v>6333</v>
      </c>
      <c r="L209" s="35"/>
      <c r="M209" s="34"/>
      <c r="N209" s="5"/>
      <c r="O209" s="5"/>
      <c r="P209" s="5"/>
      <c r="Q209" s="5"/>
    </row>
    <row r="210" customFormat="false" ht="17.35" hidden="false" customHeight="false" outlineLevel="0" collapsed="false">
      <c r="A210" s="26" t="s">
        <v>8</v>
      </c>
      <c r="C210" s="27" t="s">
        <v>585</v>
      </c>
      <c r="E210" s="28" t="s">
        <v>6339</v>
      </c>
      <c r="F210" s="1" t="s">
        <v>249</v>
      </c>
      <c r="G210" s="1" t="s">
        <v>611</v>
      </c>
      <c r="I210" s="1" t="n">
        <v>0.06443</v>
      </c>
      <c r="J210" s="1" t="n">
        <v>1</v>
      </c>
      <c r="K210" s="1" t="s">
        <v>6333</v>
      </c>
      <c r="L210" s="35"/>
      <c r="M210" s="34"/>
      <c r="N210" s="5"/>
      <c r="O210" s="5"/>
      <c r="P210" s="5"/>
      <c r="Q210" s="5"/>
    </row>
    <row r="211" customFormat="false" ht="17.35" hidden="false" customHeight="false" outlineLevel="0" collapsed="false">
      <c r="A211" s="26" t="s">
        <v>8</v>
      </c>
      <c r="C211" s="27" t="s">
        <v>605</v>
      </c>
      <c r="E211" s="28" t="s">
        <v>6339</v>
      </c>
      <c r="F211" s="1" t="s">
        <v>249</v>
      </c>
      <c r="G211" s="1" t="s">
        <v>611</v>
      </c>
      <c r="I211" s="1" t="n">
        <v>0.06443</v>
      </c>
      <c r="J211" s="1" t="n">
        <v>1</v>
      </c>
      <c r="K211" s="1" t="s">
        <v>6333</v>
      </c>
      <c r="L211" s="35"/>
      <c r="M211" s="34"/>
      <c r="N211" s="5"/>
      <c r="O211" s="5"/>
      <c r="P211" s="5"/>
      <c r="Q211" s="5"/>
    </row>
    <row r="212" customFormat="false" ht="16" hidden="false" customHeight="false" outlineLevel="0" collapsed="false">
      <c r="L212" s="5"/>
      <c r="M212" s="5"/>
      <c r="N212" s="5"/>
      <c r="O212" s="5"/>
      <c r="P212" s="5"/>
      <c r="Q212" s="5"/>
    </row>
    <row r="213" customFormat="false" ht="17.35" hidden="false" customHeight="false" outlineLevel="0" collapsed="false">
      <c r="A213" s="26" t="s">
        <v>20</v>
      </c>
      <c r="C213" s="27" t="s">
        <v>577</v>
      </c>
      <c r="E213" s="28" t="s">
        <v>6339</v>
      </c>
      <c r="F213" s="1" t="s">
        <v>261</v>
      </c>
      <c r="G213" s="1" t="s">
        <v>611</v>
      </c>
      <c r="I213" s="1" t="n">
        <v>0.018324</v>
      </c>
      <c r="J213" s="1" t="n">
        <v>1</v>
      </c>
      <c r="K213" s="1" t="s">
        <v>6333</v>
      </c>
      <c r="L213" s="36"/>
      <c r="M213" s="34"/>
      <c r="N213" s="34"/>
      <c r="O213" s="5"/>
      <c r="P213" s="5"/>
      <c r="Q213" s="5"/>
    </row>
    <row r="214" customFormat="false" ht="17.35" hidden="false" customHeight="false" outlineLevel="0" collapsed="false">
      <c r="A214" s="26" t="s">
        <v>20</v>
      </c>
      <c r="C214" s="27" t="s">
        <v>578</v>
      </c>
      <c r="E214" s="28" t="s">
        <v>6339</v>
      </c>
      <c r="F214" s="1" t="s">
        <v>261</v>
      </c>
      <c r="G214" s="1" t="s">
        <v>611</v>
      </c>
      <c r="I214" s="1" t="n">
        <v>0.031484</v>
      </c>
      <c r="J214" s="1" t="n">
        <v>1</v>
      </c>
      <c r="K214" s="1" t="s">
        <v>6333</v>
      </c>
      <c r="L214" s="36"/>
      <c r="M214" s="34"/>
      <c r="N214" s="5"/>
      <c r="O214" s="5"/>
      <c r="P214" s="5"/>
      <c r="Q214" s="5"/>
    </row>
    <row r="215" customFormat="false" ht="17.35" hidden="false" customHeight="false" outlineLevel="0" collapsed="false">
      <c r="A215" s="26" t="s">
        <v>20</v>
      </c>
      <c r="C215" s="27" t="s">
        <v>579</v>
      </c>
      <c r="E215" s="28" t="s">
        <v>6339</v>
      </c>
      <c r="F215" s="1" t="s">
        <v>261</v>
      </c>
      <c r="G215" s="1" t="s">
        <v>611</v>
      </c>
      <c r="I215" s="1" t="n">
        <v>0.015</v>
      </c>
      <c r="J215" s="1" t="n">
        <v>1</v>
      </c>
      <c r="K215" s="1" t="s">
        <v>6333</v>
      </c>
      <c r="L215" s="36"/>
      <c r="M215" s="34"/>
      <c r="N215" s="5"/>
      <c r="O215" s="5"/>
      <c r="P215" s="5"/>
      <c r="Q215" s="5"/>
    </row>
    <row r="216" customFormat="false" ht="17.35" hidden="false" customHeight="false" outlineLevel="0" collapsed="false">
      <c r="A216" s="26" t="s">
        <v>20</v>
      </c>
      <c r="C216" s="27" t="s">
        <v>580</v>
      </c>
      <c r="E216" s="28" t="s">
        <v>6339</v>
      </c>
      <c r="F216" s="1" t="s">
        <v>261</v>
      </c>
      <c r="G216" s="1" t="s">
        <v>611</v>
      </c>
      <c r="I216" s="1" t="n">
        <v>0.033552</v>
      </c>
      <c r="J216" s="1" t="n">
        <v>1</v>
      </c>
      <c r="K216" s="1" t="s">
        <v>6333</v>
      </c>
      <c r="L216" s="36"/>
      <c r="M216" s="34"/>
      <c r="N216" s="5"/>
      <c r="O216" s="5"/>
      <c r="P216" s="5"/>
      <c r="Q216" s="5"/>
    </row>
    <row r="217" customFormat="false" ht="16" hidden="false" customHeight="false" outlineLevel="0" collapsed="false">
      <c r="A217" s="26" t="s">
        <v>20</v>
      </c>
      <c r="C217" s="27" t="s">
        <v>581</v>
      </c>
      <c r="E217" s="28" t="s">
        <v>6339</v>
      </c>
      <c r="F217" s="1" t="s">
        <v>261</v>
      </c>
      <c r="G217" s="1" t="s">
        <v>611</v>
      </c>
      <c r="I217" s="1" t="n">
        <v>0.015</v>
      </c>
      <c r="J217" s="1" t="n">
        <v>1</v>
      </c>
      <c r="K217" s="1" t="s">
        <v>6333</v>
      </c>
      <c r="L217" s="5"/>
      <c r="M217" s="34"/>
      <c r="N217" s="5"/>
      <c r="O217" s="5"/>
      <c r="P217" s="5"/>
      <c r="Q217" s="5"/>
    </row>
    <row r="218" customFormat="false" ht="17.35" hidden="false" customHeight="false" outlineLevel="0" collapsed="false">
      <c r="A218" s="26" t="s">
        <v>20</v>
      </c>
      <c r="C218" s="27" t="s">
        <v>582</v>
      </c>
      <c r="E218" s="28" t="s">
        <v>6339</v>
      </c>
      <c r="F218" s="1" t="s">
        <v>261</v>
      </c>
      <c r="G218" s="1" t="s">
        <v>611</v>
      </c>
      <c r="I218" s="1" t="n">
        <v>0.019388</v>
      </c>
      <c r="J218" s="1" t="n">
        <v>1</v>
      </c>
      <c r="K218" s="1" t="s">
        <v>6333</v>
      </c>
      <c r="L218" s="36"/>
      <c r="M218" s="34"/>
      <c r="N218" s="5"/>
      <c r="O218" s="5"/>
      <c r="P218" s="5"/>
      <c r="Q218" s="5"/>
    </row>
    <row r="219" customFormat="false" ht="17.35" hidden="false" customHeight="false" outlineLevel="0" collapsed="false">
      <c r="A219" s="26" t="s">
        <v>20</v>
      </c>
      <c r="C219" s="27" t="s">
        <v>584</v>
      </c>
      <c r="E219" s="28" t="s">
        <v>6339</v>
      </c>
      <c r="F219" s="1" t="s">
        <v>261</v>
      </c>
      <c r="G219" s="1" t="s">
        <v>611</v>
      </c>
      <c r="I219" s="1" t="n">
        <v>0.008636</v>
      </c>
      <c r="J219" s="1" t="n">
        <v>1</v>
      </c>
      <c r="K219" s="1" t="s">
        <v>6333</v>
      </c>
      <c r="L219" s="36"/>
      <c r="M219" s="34"/>
      <c r="N219" s="5"/>
      <c r="O219" s="5"/>
      <c r="P219" s="5"/>
      <c r="Q219" s="5"/>
    </row>
    <row r="220" customFormat="false" ht="17.35" hidden="false" customHeight="false" outlineLevel="0" collapsed="false">
      <c r="A220" s="26" t="s">
        <v>20</v>
      </c>
      <c r="C220" s="27" t="s">
        <v>585</v>
      </c>
      <c r="E220" s="28" t="s">
        <v>6339</v>
      </c>
      <c r="F220" s="1" t="s">
        <v>261</v>
      </c>
      <c r="G220" s="1" t="s">
        <v>611</v>
      </c>
      <c r="I220" s="1" t="n">
        <v>0.012644</v>
      </c>
      <c r="J220" s="1" t="n">
        <v>1</v>
      </c>
      <c r="K220" s="1" t="s">
        <v>6333</v>
      </c>
      <c r="L220" s="36"/>
      <c r="M220" s="34"/>
      <c r="N220" s="5"/>
      <c r="O220" s="5"/>
      <c r="P220" s="5"/>
      <c r="Q220" s="5"/>
    </row>
    <row r="221" customFormat="false" ht="17.35" hidden="false" customHeight="false" outlineLevel="0" collapsed="false">
      <c r="A221" s="26" t="s">
        <v>20</v>
      </c>
      <c r="C221" s="27" t="s">
        <v>605</v>
      </c>
      <c r="E221" s="28" t="s">
        <v>6339</v>
      </c>
      <c r="F221" s="32" t="s">
        <v>261</v>
      </c>
      <c r="G221" s="32" t="s">
        <v>611</v>
      </c>
      <c r="H221" s="32"/>
      <c r="I221" s="1" t="n">
        <v>0.012644</v>
      </c>
      <c r="J221" s="1" t="n">
        <v>1</v>
      </c>
      <c r="K221" s="32" t="s">
        <v>6333</v>
      </c>
      <c r="L221" s="36"/>
      <c r="M221" s="34"/>
      <c r="N221" s="5"/>
      <c r="O221" s="5"/>
      <c r="P221" s="5"/>
      <c r="Q221" s="5"/>
    </row>
    <row r="222" customFormat="false" ht="16" hidden="false" customHeight="false" outlineLevel="0" collapsed="false">
      <c r="L222" s="5"/>
      <c r="M222" s="5"/>
      <c r="N222" s="5"/>
      <c r="O222" s="5"/>
      <c r="P222" s="5"/>
      <c r="Q222" s="5"/>
    </row>
    <row r="223" customFormat="false" ht="17.35" hidden="false" customHeight="false" outlineLevel="0" collapsed="false">
      <c r="A223" s="26" t="s">
        <v>20</v>
      </c>
      <c r="C223" s="27" t="s">
        <v>577</v>
      </c>
      <c r="E223" s="28" t="s">
        <v>6339</v>
      </c>
      <c r="F223" s="1" t="s">
        <v>259</v>
      </c>
      <c r="G223" s="1" t="s">
        <v>611</v>
      </c>
      <c r="I223" s="1" t="n">
        <v>0.0018324</v>
      </c>
      <c r="J223" s="1" t="n">
        <v>1</v>
      </c>
      <c r="K223" s="1" t="s">
        <v>6333</v>
      </c>
      <c r="L223" s="36"/>
      <c r="M223" s="34"/>
      <c r="N223" s="34"/>
      <c r="O223" s="5"/>
      <c r="P223" s="5"/>
      <c r="Q223" s="5"/>
    </row>
    <row r="224" customFormat="false" ht="17.35" hidden="false" customHeight="false" outlineLevel="0" collapsed="false">
      <c r="A224" s="26" t="s">
        <v>20</v>
      </c>
      <c r="C224" s="27" t="s">
        <v>578</v>
      </c>
      <c r="E224" s="28" t="s">
        <v>6339</v>
      </c>
      <c r="F224" s="1" t="s">
        <v>259</v>
      </c>
      <c r="G224" s="1" t="s">
        <v>611</v>
      </c>
      <c r="I224" s="1" t="n">
        <v>0.0031484</v>
      </c>
      <c r="J224" s="1" t="n">
        <v>1</v>
      </c>
      <c r="K224" s="1" t="s">
        <v>6333</v>
      </c>
      <c r="L224" s="36"/>
      <c r="M224" s="34"/>
      <c r="N224" s="5"/>
      <c r="O224" s="5"/>
      <c r="P224" s="5"/>
      <c r="Q224" s="5"/>
    </row>
    <row r="225" customFormat="false" ht="17.35" hidden="false" customHeight="false" outlineLevel="0" collapsed="false">
      <c r="A225" s="26" t="s">
        <v>20</v>
      </c>
      <c r="C225" s="27" t="s">
        <v>579</v>
      </c>
      <c r="E225" s="28" t="s">
        <v>6339</v>
      </c>
      <c r="F225" s="1" t="s">
        <v>259</v>
      </c>
      <c r="G225" s="1" t="s">
        <v>611</v>
      </c>
      <c r="I225" s="1" t="n">
        <v>0.0015</v>
      </c>
      <c r="J225" s="1" t="n">
        <v>1</v>
      </c>
      <c r="K225" s="1" t="s">
        <v>6333</v>
      </c>
      <c r="L225" s="36"/>
      <c r="M225" s="34"/>
      <c r="N225" s="5"/>
      <c r="O225" s="5"/>
      <c r="P225" s="5"/>
      <c r="Q225" s="5"/>
    </row>
    <row r="226" customFormat="false" ht="17.35" hidden="false" customHeight="false" outlineLevel="0" collapsed="false">
      <c r="A226" s="26" t="s">
        <v>20</v>
      </c>
      <c r="C226" s="27" t="s">
        <v>580</v>
      </c>
      <c r="E226" s="28" t="s">
        <v>6339</v>
      </c>
      <c r="F226" s="1" t="s">
        <v>259</v>
      </c>
      <c r="G226" s="1" t="s">
        <v>611</v>
      </c>
      <c r="I226" s="1" t="n">
        <v>0.0033552</v>
      </c>
      <c r="J226" s="1" t="n">
        <v>1</v>
      </c>
      <c r="K226" s="1" t="s">
        <v>6333</v>
      </c>
      <c r="L226" s="36"/>
      <c r="M226" s="34"/>
      <c r="N226" s="5"/>
      <c r="O226" s="5"/>
      <c r="P226" s="5"/>
      <c r="Q226" s="5"/>
    </row>
    <row r="227" customFormat="false" ht="16" hidden="false" customHeight="false" outlineLevel="0" collapsed="false">
      <c r="A227" s="26" t="s">
        <v>20</v>
      </c>
      <c r="C227" s="27" t="s">
        <v>581</v>
      </c>
      <c r="E227" s="28" t="s">
        <v>6339</v>
      </c>
      <c r="F227" s="1" t="s">
        <v>259</v>
      </c>
      <c r="G227" s="1" t="s">
        <v>611</v>
      </c>
      <c r="I227" s="1" t="n">
        <v>0.0015</v>
      </c>
      <c r="J227" s="1" t="n">
        <v>1</v>
      </c>
      <c r="K227" s="1" t="s">
        <v>6333</v>
      </c>
      <c r="L227" s="5"/>
      <c r="M227" s="34"/>
      <c r="N227" s="5"/>
      <c r="O227" s="5"/>
      <c r="P227" s="5"/>
      <c r="Q227" s="5"/>
    </row>
    <row r="228" customFormat="false" ht="17.35" hidden="false" customHeight="false" outlineLevel="0" collapsed="false">
      <c r="A228" s="26" t="s">
        <v>20</v>
      </c>
      <c r="C228" s="27" t="s">
        <v>582</v>
      </c>
      <c r="E228" s="28" t="s">
        <v>6339</v>
      </c>
      <c r="F228" s="1" t="s">
        <v>259</v>
      </c>
      <c r="G228" s="1" t="s">
        <v>611</v>
      </c>
      <c r="I228" s="1" t="n">
        <v>0.0019388</v>
      </c>
      <c r="J228" s="1" t="n">
        <v>1</v>
      </c>
      <c r="K228" s="1" t="s">
        <v>6333</v>
      </c>
      <c r="L228" s="36"/>
      <c r="M228" s="34"/>
      <c r="N228" s="5"/>
      <c r="O228" s="5"/>
      <c r="P228" s="5"/>
      <c r="Q228" s="5"/>
    </row>
    <row r="229" customFormat="false" ht="17.35" hidden="false" customHeight="false" outlineLevel="0" collapsed="false">
      <c r="A229" s="26" t="s">
        <v>20</v>
      </c>
      <c r="C229" s="27" t="s">
        <v>584</v>
      </c>
      <c r="E229" s="28" t="s">
        <v>6339</v>
      </c>
      <c r="F229" s="1" t="s">
        <v>259</v>
      </c>
      <c r="G229" s="1" t="s">
        <v>611</v>
      </c>
      <c r="I229" s="1" t="n">
        <v>0.0008636</v>
      </c>
      <c r="J229" s="1" t="n">
        <v>1</v>
      </c>
      <c r="K229" s="1" t="s">
        <v>6333</v>
      </c>
      <c r="L229" s="36"/>
      <c r="M229" s="34"/>
      <c r="N229" s="5"/>
      <c r="O229" s="5"/>
      <c r="P229" s="5"/>
      <c r="Q229" s="5"/>
    </row>
    <row r="230" customFormat="false" ht="17.35" hidden="false" customHeight="false" outlineLevel="0" collapsed="false">
      <c r="A230" s="26" t="s">
        <v>20</v>
      </c>
      <c r="C230" s="27" t="s">
        <v>585</v>
      </c>
      <c r="E230" s="28" t="s">
        <v>6339</v>
      </c>
      <c r="F230" s="1" t="s">
        <v>259</v>
      </c>
      <c r="G230" s="1" t="s">
        <v>611</v>
      </c>
      <c r="I230" s="1" t="n">
        <v>0.0012644</v>
      </c>
      <c r="J230" s="1" t="n">
        <v>1</v>
      </c>
      <c r="K230" s="1" t="s">
        <v>6333</v>
      </c>
      <c r="L230" s="36"/>
      <c r="M230" s="34"/>
      <c r="N230" s="5"/>
      <c r="O230" s="5"/>
      <c r="P230" s="5"/>
      <c r="Q230" s="5"/>
    </row>
    <row r="231" customFormat="false" ht="17.35" hidden="false" customHeight="false" outlineLevel="0" collapsed="false">
      <c r="A231" s="26" t="s">
        <v>20</v>
      </c>
      <c r="C231" s="27" t="s">
        <v>605</v>
      </c>
      <c r="E231" s="28" t="s">
        <v>6339</v>
      </c>
      <c r="F231" s="32" t="s">
        <v>259</v>
      </c>
      <c r="G231" s="32" t="s">
        <v>611</v>
      </c>
      <c r="H231" s="32"/>
      <c r="I231" s="1" t="n">
        <v>0.0012644</v>
      </c>
      <c r="J231" s="1" t="n">
        <v>1</v>
      </c>
      <c r="K231" s="32" t="s">
        <v>6333</v>
      </c>
      <c r="L231" s="36"/>
      <c r="M231" s="34"/>
      <c r="N231" s="5"/>
      <c r="O231" s="5"/>
      <c r="P231" s="5"/>
      <c r="Q231" s="5"/>
    </row>
    <row r="232" customFormat="false" ht="16" hidden="false" customHeight="false" outlineLevel="0" collapsed="false">
      <c r="L232" s="5"/>
      <c r="M232" s="5"/>
      <c r="N232" s="5"/>
      <c r="O232" s="5"/>
      <c r="P232" s="5"/>
      <c r="Q232" s="5"/>
    </row>
    <row r="233" customFormat="false" ht="17.35" hidden="false" customHeight="false" outlineLevel="0" collapsed="false">
      <c r="A233" s="26" t="s">
        <v>20</v>
      </c>
      <c r="C233" s="27" t="s">
        <v>577</v>
      </c>
      <c r="E233" s="28" t="s">
        <v>6339</v>
      </c>
      <c r="F233" s="1" t="s">
        <v>258</v>
      </c>
      <c r="G233" s="1" t="s">
        <v>611</v>
      </c>
      <c r="I233" s="1" t="n">
        <v>0.4379436</v>
      </c>
      <c r="J233" s="1" t="n">
        <v>1</v>
      </c>
      <c r="K233" s="1" t="s">
        <v>6333</v>
      </c>
      <c r="L233" s="36"/>
      <c r="M233" s="34"/>
      <c r="N233" s="34"/>
      <c r="O233" s="5"/>
      <c r="P233" s="5"/>
      <c r="Q233" s="5"/>
    </row>
    <row r="234" customFormat="false" ht="17.35" hidden="false" customHeight="false" outlineLevel="0" collapsed="false">
      <c r="A234" s="26" t="s">
        <v>20</v>
      </c>
      <c r="C234" s="27" t="s">
        <v>578</v>
      </c>
      <c r="E234" s="28" t="s">
        <v>6339</v>
      </c>
      <c r="F234" s="1" t="s">
        <v>258</v>
      </c>
      <c r="G234" s="1" t="s">
        <v>611</v>
      </c>
      <c r="I234" s="1" t="n">
        <v>0.7524676</v>
      </c>
      <c r="J234" s="1" t="n">
        <v>1</v>
      </c>
      <c r="K234" s="1" t="s">
        <v>6333</v>
      </c>
      <c r="L234" s="36"/>
      <c r="M234" s="34"/>
      <c r="N234" s="5"/>
      <c r="O234" s="5"/>
      <c r="P234" s="5"/>
      <c r="Q234" s="5"/>
    </row>
    <row r="235" customFormat="false" ht="17.35" hidden="false" customHeight="false" outlineLevel="0" collapsed="false">
      <c r="A235" s="26" t="s">
        <v>20</v>
      </c>
      <c r="C235" s="27" t="s">
        <v>579</v>
      </c>
      <c r="E235" s="28" t="s">
        <v>6339</v>
      </c>
      <c r="F235" s="1" t="s">
        <v>258</v>
      </c>
      <c r="G235" s="1" t="s">
        <v>611</v>
      </c>
      <c r="I235" s="1" t="n">
        <v>0.3585</v>
      </c>
      <c r="J235" s="1" t="n">
        <v>1</v>
      </c>
      <c r="K235" s="1" t="s">
        <v>6333</v>
      </c>
      <c r="L235" s="36"/>
      <c r="M235" s="34"/>
      <c r="N235" s="5"/>
      <c r="O235" s="5"/>
      <c r="P235" s="5"/>
      <c r="Q235" s="5"/>
    </row>
    <row r="236" customFormat="false" ht="17.35" hidden="false" customHeight="false" outlineLevel="0" collapsed="false">
      <c r="A236" s="26" t="s">
        <v>20</v>
      </c>
      <c r="C236" s="27" t="s">
        <v>580</v>
      </c>
      <c r="E236" s="28" t="s">
        <v>6339</v>
      </c>
      <c r="F236" s="1" t="s">
        <v>258</v>
      </c>
      <c r="G236" s="1" t="s">
        <v>611</v>
      </c>
      <c r="I236" s="1" t="n">
        <v>0.8018928</v>
      </c>
      <c r="J236" s="1" t="n">
        <v>1</v>
      </c>
      <c r="K236" s="1" t="s">
        <v>6333</v>
      </c>
      <c r="L236" s="36"/>
      <c r="M236" s="34"/>
      <c r="N236" s="5"/>
      <c r="O236" s="5"/>
      <c r="P236" s="5"/>
      <c r="Q236" s="5"/>
    </row>
    <row r="237" customFormat="false" ht="16" hidden="false" customHeight="false" outlineLevel="0" collapsed="false">
      <c r="A237" s="26" t="s">
        <v>20</v>
      </c>
      <c r="C237" s="27" t="s">
        <v>581</v>
      </c>
      <c r="E237" s="28" t="s">
        <v>6339</v>
      </c>
      <c r="F237" s="1" t="s">
        <v>258</v>
      </c>
      <c r="G237" s="1" t="s">
        <v>611</v>
      </c>
      <c r="I237" s="1" t="n">
        <v>0.3585</v>
      </c>
      <c r="J237" s="1" t="n">
        <v>1</v>
      </c>
      <c r="K237" s="1" t="s">
        <v>6333</v>
      </c>
      <c r="L237" s="5"/>
      <c r="M237" s="34"/>
      <c r="N237" s="5"/>
      <c r="O237" s="5"/>
      <c r="P237" s="5"/>
      <c r="Q237" s="5"/>
    </row>
    <row r="238" customFormat="false" ht="17.35" hidden="false" customHeight="false" outlineLevel="0" collapsed="false">
      <c r="A238" s="26" t="s">
        <v>20</v>
      </c>
      <c r="C238" s="27" t="s">
        <v>582</v>
      </c>
      <c r="E238" s="28" t="s">
        <v>6339</v>
      </c>
      <c r="F238" s="1" t="s">
        <v>258</v>
      </c>
      <c r="G238" s="1" t="s">
        <v>611</v>
      </c>
      <c r="I238" s="1" t="n">
        <v>0.4633732</v>
      </c>
      <c r="J238" s="1" t="n">
        <v>1</v>
      </c>
      <c r="K238" s="1" t="s">
        <v>6333</v>
      </c>
      <c r="L238" s="36"/>
      <c r="M238" s="34"/>
      <c r="N238" s="5"/>
      <c r="O238" s="5"/>
      <c r="P238" s="5"/>
      <c r="Q238" s="5"/>
    </row>
    <row r="239" customFormat="false" ht="17.35" hidden="false" customHeight="false" outlineLevel="0" collapsed="false">
      <c r="A239" s="26" t="s">
        <v>20</v>
      </c>
      <c r="C239" s="27" t="s">
        <v>584</v>
      </c>
      <c r="E239" s="28" t="s">
        <v>6339</v>
      </c>
      <c r="F239" s="1" t="s">
        <v>258</v>
      </c>
      <c r="G239" s="1" t="s">
        <v>611</v>
      </c>
      <c r="I239" s="1" t="n">
        <v>0.2064004</v>
      </c>
      <c r="J239" s="1" t="n">
        <v>1</v>
      </c>
      <c r="K239" s="1" t="s">
        <v>6333</v>
      </c>
      <c r="L239" s="36"/>
      <c r="M239" s="34"/>
      <c r="N239" s="5"/>
      <c r="O239" s="5"/>
      <c r="P239" s="5"/>
      <c r="Q239" s="5"/>
    </row>
    <row r="240" customFormat="false" ht="17.35" hidden="false" customHeight="false" outlineLevel="0" collapsed="false">
      <c r="A240" s="26" t="s">
        <v>20</v>
      </c>
      <c r="C240" s="27" t="s">
        <v>585</v>
      </c>
      <c r="E240" s="28" t="s">
        <v>6339</v>
      </c>
      <c r="F240" s="1" t="s">
        <v>258</v>
      </c>
      <c r="G240" s="1" t="s">
        <v>611</v>
      </c>
      <c r="I240" s="1" t="n">
        <v>0.3021916</v>
      </c>
      <c r="J240" s="1" t="n">
        <v>1</v>
      </c>
      <c r="K240" s="1" t="s">
        <v>6333</v>
      </c>
      <c r="L240" s="36"/>
      <c r="M240" s="34"/>
    </row>
    <row r="241" customFormat="false" ht="17.35" hidden="false" customHeight="false" outlineLevel="0" collapsed="false">
      <c r="A241" s="26" t="s">
        <v>20</v>
      </c>
      <c r="C241" s="27" t="s">
        <v>605</v>
      </c>
      <c r="E241" s="28" t="s">
        <v>6339</v>
      </c>
      <c r="F241" s="32" t="s">
        <v>258</v>
      </c>
      <c r="G241" s="32" t="s">
        <v>611</v>
      </c>
      <c r="H241" s="32"/>
      <c r="I241" s="1" t="n">
        <v>0.3021916</v>
      </c>
      <c r="J241" s="1" t="n">
        <v>1</v>
      </c>
      <c r="K241" s="32" t="s">
        <v>6333</v>
      </c>
      <c r="L241" s="36"/>
      <c r="M241" s="34"/>
    </row>
    <row r="242" customFormat="false" ht="16" hidden="false" customHeight="false" outlineLevel="0" collapsed="false">
      <c r="C242" s="27" t="s">
        <v>587</v>
      </c>
      <c r="E242" s="28" t="s">
        <v>6339</v>
      </c>
      <c r="G242" s="3" t="s">
        <v>648</v>
      </c>
      <c r="H242" s="3"/>
      <c r="I242" s="1" t="n">
        <v>1</v>
      </c>
      <c r="J242" s="1" t="n">
        <v>3</v>
      </c>
    </row>
    <row r="243" customFormat="false" ht="16" hidden="false" customHeight="false" outlineLevel="0" collapsed="false">
      <c r="C243" s="27" t="s">
        <v>589</v>
      </c>
      <c r="E243" s="28" t="s">
        <v>6339</v>
      </c>
      <c r="G243" s="3" t="s">
        <v>648</v>
      </c>
      <c r="H243" s="3"/>
      <c r="I243" s="1" t="n">
        <v>1</v>
      </c>
      <c r="J243" s="1" t="n">
        <v>3</v>
      </c>
    </row>
    <row r="244" customFormat="false" ht="16" hidden="false" customHeight="false" outlineLevel="0" collapsed="false">
      <c r="C244" s="27" t="s">
        <v>591</v>
      </c>
      <c r="E244" s="28" t="s">
        <v>6339</v>
      </c>
      <c r="G244" s="3" t="s">
        <v>648</v>
      </c>
      <c r="H244" s="3"/>
      <c r="I244" s="1" t="n">
        <v>1</v>
      </c>
      <c r="J244" s="1" t="n">
        <v>3</v>
      </c>
    </row>
    <row r="245" customFormat="false" ht="16" hidden="false" customHeight="false" outlineLevel="0" collapsed="false">
      <c r="C245" s="27" t="s">
        <v>593</v>
      </c>
      <c r="E245" s="28" t="s">
        <v>6339</v>
      </c>
      <c r="G245" s="3" t="s">
        <v>648</v>
      </c>
      <c r="H245" s="3"/>
      <c r="I245" s="1" t="n">
        <v>1</v>
      </c>
      <c r="J245" s="1" t="n">
        <v>3</v>
      </c>
    </row>
    <row r="246" customFormat="false" ht="16" hidden="false" customHeight="false" outlineLevel="0" collapsed="false">
      <c r="C246" s="27" t="s">
        <v>595</v>
      </c>
      <c r="E246" s="28" t="s">
        <v>6339</v>
      </c>
      <c r="G246" s="3" t="s">
        <v>648</v>
      </c>
      <c r="H246" s="3"/>
      <c r="I246" s="1" t="n">
        <v>1</v>
      </c>
      <c r="J246" s="1" t="n">
        <v>3</v>
      </c>
    </row>
    <row r="247" customFormat="false" ht="16" hidden="false" customHeight="false" outlineLevel="0" collapsed="false">
      <c r="B247" s="26" t="s">
        <v>6338</v>
      </c>
      <c r="E247" s="28" t="s">
        <v>6339</v>
      </c>
      <c r="G247" s="1" t="s">
        <v>646</v>
      </c>
      <c r="I247" s="1" t="n">
        <v>1</v>
      </c>
      <c r="J247" s="1" t="n">
        <v>4</v>
      </c>
    </row>
    <row r="248" customFormat="false" ht="16" hidden="false" customHeight="false" outlineLevel="0" collapsed="false">
      <c r="A248" s="26" t="s">
        <v>6338</v>
      </c>
      <c r="E248" s="28" t="s">
        <v>6339</v>
      </c>
      <c r="G248" s="1" t="s">
        <v>646</v>
      </c>
      <c r="I248" s="1" t="n">
        <v>1</v>
      </c>
      <c r="J248" s="1" t="n">
        <v>4</v>
      </c>
    </row>
    <row r="249" customFormat="false" ht="16" hidden="false" customHeight="false" outlineLevel="0" collapsed="false">
      <c r="C249" s="27" t="s">
        <v>648</v>
      </c>
      <c r="E249" s="28" t="s">
        <v>6339</v>
      </c>
      <c r="G249" s="3" t="s">
        <v>609</v>
      </c>
      <c r="I249" s="1" t="n">
        <v>1</v>
      </c>
      <c r="J249" s="1" t="n">
        <v>5</v>
      </c>
    </row>
    <row r="250" customFormat="false" ht="16" hidden="false" customHeight="false" outlineLevel="0" collapsed="false">
      <c r="C250" s="27" t="s">
        <v>646</v>
      </c>
      <c r="E250" s="28" t="s">
        <v>6339</v>
      </c>
      <c r="G250" s="1" t="s">
        <v>609</v>
      </c>
      <c r="I250" s="1" t="n">
        <v>1</v>
      </c>
      <c r="J250" s="1" t="n">
        <v>5</v>
      </c>
    </row>
    <row r="252" customFormat="false" ht="16" hidden="false" customHeight="false" outlineLevel="0" collapsed="false">
      <c r="C252" s="27" t="s">
        <v>587</v>
      </c>
      <c r="E252" s="28" t="s">
        <v>6345</v>
      </c>
      <c r="G252" s="3" t="s">
        <v>662</v>
      </c>
      <c r="I252" s="1" t="n">
        <v>0.98</v>
      </c>
      <c r="J252" s="1" t="n">
        <v>1</v>
      </c>
      <c r="K252" s="1" t="s">
        <v>6333</v>
      </c>
    </row>
    <row r="253" customFormat="false" ht="16" hidden="false" customHeight="false" outlineLevel="0" collapsed="false">
      <c r="C253" s="27" t="s">
        <v>589</v>
      </c>
      <c r="E253" s="28" t="s">
        <v>6345</v>
      </c>
      <c r="G253" s="3" t="s">
        <v>662</v>
      </c>
      <c r="I253" s="1" t="n">
        <v>0.99</v>
      </c>
      <c r="J253" s="1" t="n">
        <v>1</v>
      </c>
      <c r="K253" s="1" t="s">
        <v>6333</v>
      </c>
    </row>
    <row r="254" customFormat="false" ht="16" hidden="false" customHeight="false" outlineLevel="0" collapsed="false">
      <c r="C254" s="27" t="s">
        <v>591</v>
      </c>
      <c r="E254" s="28" t="s">
        <v>6345</v>
      </c>
      <c r="G254" s="3" t="s">
        <v>662</v>
      </c>
      <c r="I254" s="1" t="n">
        <v>0.9</v>
      </c>
      <c r="J254" s="1" t="n">
        <v>1</v>
      </c>
      <c r="K254" s="1" t="s">
        <v>6333</v>
      </c>
    </row>
    <row r="255" customFormat="false" ht="16" hidden="false" customHeight="false" outlineLevel="0" collapsed="false">
      <c r="C255" s="27" t="s">
        <v>593</v>
      </c>
      <c r="E255" s="28" t="s">
        <v>6345</v>
      </c>
      <c r="G255" s="3" t="s">
        <v>662</v>
      </c>
      <c r="I255" s="1" t="n">
        <v>0.06</v>
      </c>
      <c r="J255" s="1" t="n">
        <v>1</v>
      </c>
      <c r="K255" s="1" t="s">
        <v>6333</v>
      </c>
    </row>
    <row r="256" customFormat="false" ht="16" hidden="false" customHeight="false" outlineLevel="0" collapsed="false">
      <c r="C256" s="27" t="s">
        <v>595</v>
      </c>
      <c r="E256" s="28" t="s">
        <v>6345</v>
      </c>
      <c r="G256" s="3" t="s">
        <v>662</v>
      </c>
      <c r="I256" s="1" t="n">
        <v>0.06</v>
      </c>
      <c r="J256" s="1" t="n">
        <v>1</v>
      </c>
      <c r="K256" s="1" t="s">
        <v>6333</v>
      </c>
    </row>
    <row r="257" customFormat="false" ht="16" hidden="false" customHeight="false" outlineLevel="0" collapsed="false">
      <c r="C257" s="27" t="s">
        <v>646</v>
      </c>
      <c r="E257" s="28" t="s">
        <v>6345</v>
      </c>
      <c r="G257" s="1" t="s">
        <v>624</v>
      </c>
      <c r="I257" s="1" t="n">
        <v>1</v>
      </c>
      <c r="J257" s="1" t="n">
        <v>2</v>
      </c>
      <c r="K257" s="1" t="s">
        <v>6333</v>
      </c>
    </row>
    <row r="258" customFormat="false" ht="16" hidden="false" customHeight="false" outlineLevel="0" collapsed="false">
      <c r="C258" s="27" t="s">
        <v>587</v>
      </c>
      <c r="E258" s="28" t="s">
        <v>6345</v>
      </c>
      <c r="G258" s="1" t="s">
        <v>624</v>
      </c>
      <c r="I258" s="1" t="n">
        <v>1</v>
      </c>
      <c r="J258" s="1" t="n">
        <v>2</v>
      </c>
      <c r="K258" s="1" t="s">
        <v>6333</v>
      </c>
    </row>
    <row r="259" customFormat="false" ht="16" hidden="false" customHeight="false" outlineLevel="0" collapsed="false">
      <c r="C259" s="27" t="s">
        <v>589</v>
      </c>
      <c r="E259" s="28" t="s">
        <v>6345</v>
      </c>
      <c r="G259" s="1" t="s">
        <v>624</v>
      </c>
      <c r="I259" s="1" t="n">
        <v>1</v>
      </c>
      <c r="J259" s="1" t="n">
        <v>2</v>
      </c>
      <c r="K259" s="1" t="s">
        <v>6333</v>
      </c>
    </row>
    <row r="260" customFormat="false" ht="16" hidden="false" customHeight="false" outlineLevel="0" collapsed="false">
      <c r="C260" s="27" t="s">
        <v>591</v>
      </c>
      <c r="E260" s="28" t="s">
        <v>6345</v>
      </c>
      <c r="G260" s="1" t="s">
        <v>624</v>
      </c>
      <c r="I260" s="1" t="n">
        <v>1</v>
      </c>
      <c r="J260" s="1" t="n">
        <v>2</v>
      </c>
      <c r="K260" s="1" t="s">
        <v>6333</v>
      </c>
    </row>
    <row r="261" customFormat="false" ht="16" hidden="false" customHeight="false" outlineLevel="0" collapsed="false">
      <c r="C261" s="27" t="s">
        <v>593</v>
      </c>
      <c r="E261" s="28" t="s">
        <v>6345</v>
      </c>
      <c r="G261" s="1" t="s">
        <v>624</v>
      </c>
      <c r="I261" s="1" t="n">
        <v>1</v>
      </c>
      <c r="J261" s="1" t="n">
        <v>2</v>
      </c>
      <c r="K261" s="1" t="s">
        <v>6333</v>
      </c>
    </row>
    <row r="262" customFormat="false" ht="16" hidden="false" customHeight="false" outlineLevel="0" collapsed="false">
      <c r="C262" s="27" t="s">
        <v>595</v>
      </c>
      <c r="E262" s="28" t="s">
        <v>6345</v>
      </c>
      <c r="G262" s="1" t="s">
        <v>624</v>
      </c>
      <c r="I262" s="1" t="n">
        <v>1</v>
      </c>
      <c r="J262" s="1" t="n">
        <v>2</v>
      </c>
      <c r="K262" s="1" t="s">
        <v>6333</v>
      </c>
    </row>
    <row r="264" customFormat="false" ht="16" hidden="false" customHeight="false" outlineLevel="0" collapsed="false">
      <c r="C264" s="27" t="s">
        <v>587</v>
      </c>
      <c r="E264" s="28" t="s">
        <v>6346</v>
      </c>
      <c r="G264" s="1" t="s">
        <v>622</v>
      </c>
      <c r="I264" s="1" t="n">
        <v>0.8</v>
      </c>
      <c r="J264" s="1" t="n">
        <v>1</v>
      </c>
    </row>
    <row r="265" customFormat="false" ht="16" hidden="false" customHeight="false" outlineLevel="0" collapsed="false">
      <c r="C265" s="27" t="s">
        <v>589</v>
      </c>
      <c r="E265" s="28" t="s">
        <v>6346</v>
      </c>
      <c r="G265" s="1" t="s">
        <v>622</v>
      </c>
      <c r="I265" s="1" t="n">
        <v>0.9</v>
      </c>
      <c r="J265" s="1" t="n">
        <v>1</v>
      </c>
    </row>
    <row r="266" customFormat="false" ht="16" hidden="false" customHeight="false" outlineLevel="0" collapsed="false">
      <c r="C266" s="27" t="s">
        <v>591</v>
      </c>
      <c r="E266" s="28" t="s">
        <v>6346</v>
      </c>
      <c r="G266" s="1" t="s">
        <v>622</v>
      </c>
      <c r="I266" s="1" t="n">
        <v>0.01</v>
      </c>
      <c r="J266" s="1" t="n">
        <v>1</v>
      </c>
    </row>
    <row r="267" customFormat="false" ht="16" hidden="false" customHeight="false" outlineLevel="0" collapsed="false">
      <c r="C267" s="27" t="s">
        <v>593</v>
      </c>
      <c r="E267" s="28" t="s">
        <v>6346</v>
      </c>
      <c r="G267" s="1" t="s">
        <v>622</v>
      </c>
      <c r="I267" s="1" t="n">
        <v>0.01</v>
      </c>
      <c r="J267" s="1" t="n">
        <v>1</v>
      </c>
    </row>
    <row r="268" customFormat="false" ht="16" hidden="false" customHeight="false" outlineLevel="0" collapsed="false">
      <c r="C268" s="27" t="s">
        <v>595</v>
      </c>
      <c r="E268" s="28" t="s">
        <v>6346</v>
      </c>
      <c r="G268" s="1" t="s">
        <v>622</v>
      </c>
      <c r="I268" s="1" t="n">
        <v>0.01</v>
      </c>
      <c r="J268" s="1" t="n">
        <v>1</v>
      </c>
    </row>
    <row r="269" customFormat="false" ht="16" hidden="false" customHeight="false" outlineLevel="0" collapsed="false">
      <c r="C269" s="27" t="s">
        <v>646</v>
      </c>
      <c r="E269" s="28" t="s">
        <v>6346</v>
      </c>
      <c r="G269" s="1" t="s">
        <v>624</v>
      </c>
      <c r="I269" s="1" t="n">
        <v>1</v>
      </c>
      <c r="J269" s="1" t="n">
        <v>2</v>
      </c>
    </row>
    <row r="270" customFormat="false" ht="16" hidden="false" customHeight="false" outlineLevel="0" collapsed="false">
      <c r="C270" s="27" t="s">
        <v>587</v>
      </c>
      <c r="E270" s="28" t="s">
        <v>6346</v>
      </c>
      <c r="G270" s="1" t="s">
        <v>624</v>
      </c>
      <c r="I270" s="1" t="n">
        <v>1</v>
      </c>
      <c r="J270" s="1" t="n">
        <v>2</v>
      </c>
    </row>
    <row r="271" customFormat="false" ht="16" hidden="false" customHeight="false" outlineLevel="0" collapsed="false">
      <c r="C271" s="27" t="s">
        <v>589</v>
      </c>
      <c r="E271" s="28" t="s">
        <v>6346</v>
      </c>
      <c r="G271" s="1" t="s">
        <v>624</v>
      </c>
      <c r="I271" s="1" t="n">
        <v>1</v>
      </c>
      <c r="J271" s="1" t="n">
        <v>2</v>
      </c>
    </row>
    <row r="272" customFormat="false" ht="16" hidden="false" customHeight="false" outlineLevel="0" collapsed="false">
      <c r="C272" s="27" t="s">
        <v>591</v>
      </c>
      <c r="E272" s="28" t="s">
        <v>6346</v>
      </c>
      <c r="G272" s="1" t="s">
        <v>624</v>
      </c>
      <c r="I272" s="1" t="n">
        <v>1</v>
      </c>
      <c r="J272" s="1" t="n">
        <v>2</v>
      </c>
    </row>
    <row r="273" customFormat="false" ht="16" hidden="false" customHeight="false" outlineLevel="0" collapsed="false">
      <c r="C273" s="27" t="s">
        <v>593</v>
      </c>
      <c r="E273" s="28" t="s">
        <v>6346</v>
      </c>
      <c r="G273" s="1" t="s">
        <v>624</v>
      </c>
      <c r="I273" s="1" t="n">
        <v>1</v>
      </c>
      <c r="J273" s="1" t="n">
        <v>2</v>
      </c>
    </row>
    <row r="274" customFormat="false" ht="16" hidden="false" customHeight="false" outlineLevel="0" collapsed="false">
      <c r="C274" s="27" t="s">
        <v>595</v>
      </c>
      <c r="E274" s="28" t="s">
        <v>6346</v>
      </c>
      <c r="G274" s="1" t="s">
        <v>624</v>
      </c>
      <c r="I274" s="1" t="n">
        <v>1</v>
      </c>
      <c r="J274" s="1" t="n">
        <v>2</v>
      </c>
    </row>
    <row r="276" customFormat="false" ht="16" hidden="false" customHeight="false" outlineLevel="0" collapsed="false">
      <c r="C276" s="27" t="s">
        <v>624</v>
      </c>
      <c r="E276" s="28" t="s">
        <v>6347</v>
      </c>
      <c r="G276" s="1" t="s">
        <v>626</v>
      </c>
      <c r="I276" s="1" t="n">
        <v>1</v>
      </c>
      <c r="J276" s="1" t="n">
        <v>2</v>
      </c>
    </row>
  </sheetData>
  <dataValidations count="2">
    <dataValidation allowBlank="true" errorStyle="stop" operator="equal" showDropDown="false" showErrorMessage="true" showInputMessage="true" sqref="A2:A188 A190:A192" type="list">
      <formula1>l_cons!$A$2:$A$504</formula1>
      <formula2>0</formula2>
    </dataValidation>
    <dataValidation allowBlank="true" errorStyle="stop" operator="equal" showDropDown="false" showErrorMessage="true" showInputMessage="true" sqref="B2:B188 B190:B192" type="list">
      <formula1>l_trans!$A$2:$A$502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G23" activeCellId="0" sqref="G23"/>
    </sheetView>
  </sheetViews>
  <sheetFormatPr defaultColWidth="8.62109375" defaultRowHeight="16" zeroHeight="false" outlineLevelRow="0" outlineLevelCol="0"/>
  <cols>
    <col collapsed="false" customWidth="true" hidden="false" outlineLevel="0" max="2" min="1" style="28" width="25.33"/>
    <col collapsed="false" customWidth="true" hidden="false" outlineLevel="0" max="3" min="3" style="27" width="41"/>
    <col collapsed="false" customWidth="true" hidden="false" outlineLevel="0" max="4" min="4" style="27" width="38.5"/>
    <col collapsed="false" customWidth="true" hidden="false" outlineLevel="0" max="5" min="5" style="27" width="22.5"/>
    <col collapsed="false" customWidth="true" hidden="false" outlineLevel="0" max="6" min="6" style="37" width="13.16"/>
    <col collapsed="false" customWidth="true" hidden="false" outlineLevel="0" max="7" min="7" style="27" width="23.67"/>
    <col collapsed="false" customWidth="true" hidden="false" outlineLevel="0" max="8" min="8" style="27" width="32.16"/>
    <col collapsed="false" customWidth="true" hidden="false" outlineLevel="0" max="9" min="9" style="27" width="33.51"/>
    <col collapsed="false" customWidth="true" hidden="false" outlineLevel="0" max="10" min="10" style="1" width="22.67"/>
    <col collapsed="false" customWidth="true" hidden="false" outlineLevel="0" max="11" min="11" style="1" width="11.5"/>
    <col collapsed="false" customWidth="true" hidden="false" outlineLevel="0" max="12" min="12" style="1" width="15.51"/>
    <col collapsed="false" customWidth="true" hidden="false" outlineLevel="0" max="13" min="13" style="1" width="10.83"/>
    <col collapsed="false" customWidth="true" hidden="false" outlineLevel="0" max="14" min="14" style="1" width="34.16"/>
    <col collapsed="false" customWidth="true" hidden="false" outlineLevel="0" max="1025" min="15" style="1" width="9.16"/>
  </cols>
  <sheetData>
    <row r="1" s="39" customFormat="true" ht="26" hidden="false" customHeight="true" outlineLevel="0" collapsed="false">
      <c r="A1" s="38" t="s">
        <v>666</v>
      </c>
      <c r="B1" s="38"/>
      <c r="C1" s="39" t="s">
        <v>6348</v>
      </c>
      <c r="E1" s="39" t="s">
        <v>6349</v>
      </c>
      <c r="F1" s="39" t="s">
        <v>708</v>
      </c>
      <c r="G1" s="39" t="s">
        <v>6350</v>
      </c>
      <c r="I1" s="39" t="s">
        <v>6351</v>
      </c>
      <c r="J1" s="39" t="s">
        <v>6352</v>
      </c>
      <c r="K1" s="40" t="s">
        <v>6353</v>
      </c>
      <c r="L1" s="39" t="s">
        <v>6326</v>
      </c>
      <c r="M1" s="39" t="s">
        <v>6327</v>
      </c>
      <c r="N1" s="39" t="s">
        <v>6328</v>
      </c>
    </row>
    <row r="2" customFormat="false" ht="16" hidden="false" customHeight="false" outlineLevel="0" collapsed="false">
      <c r="A2" s="28" t="s">
        <v>673</v>
      </c>
      <c r="C2" s="27" t="s">
        <v>630</v>
      </c>
      <c r="E2" s="27" t="s">
        <v>6354</v>
      </c>
      <c r="F2" s="37" t="n">
        <v>0.0011</v>
      </c>
      <c r="G2" s="27" t="s">
        <v>597</v>
      </c>
      <c r="K2" s="1" t="n">
        <v>3</v>
      </c>
      <c r="L2" s="1" t="s">
        <v>6355</v>
      </c>
      <c r="N2" s="1" t="s">
        <v>6356</v>
      </c>
    </row>
    <row r="3" customFormat="false" ht="16" hidden="false" customHeight="false" outlineLevel="0" collapsed="false">
      <c r="A3" s="28" t="s">
        <v>673</v>
      </c>
      <c r="C3" s="27" t="s">
        <v>630</v>
      </c>
      <c r="E3" s="27" t="s">
        <v>6354</v>
      </c>
      <c r="F3" s="37" t="n">
        <f aca="false">1.1/1000</f>
        <v>0.0011</v>
      </c>
      <c r="G3" s="27" t="s">
        <v>599</v>
      </c>
      <c r="K3" s="1" t="n">
        <v>3</v>
      </c>
      <c r="L3" s="1" t="s">
        <v>6355</v>
      </c>
      <c r="N3" s="1" t="s">
        <v>6356</v>
      </c>
    </row>
    <row r="4" customFormat="false" ht="16" hidden="false" customHeight="false" outlineLevel="0" collapsed="false">
      <c r="A4" s="28" t="s">
        <v>673</v>
      </c>
      <c r="C4" s="27" t="s">
        <v>640</v>
      </c>
      <c r="E4" s="27" t="s">
        <v>6354</v>
      </c>
      <c r="F4" s="37" t="n">
        <f aca="false">4*10^-9</f>
        <v>4E-009</v>
      </c>
      <c r="G4" s="27" t="s">
        <v>597</v>
      </c>
      <c r="K4" s="1" t="n">
        <v>3</v>
      </c>
      <c r="L4" s="1" t="s">
        <v>6357</v>
      </c>
      <c r="N4" s="1" t="s">
        <v>6358</v>
      </c>
    </row>
    <row r="5" customFormat="false" ht="16" hidden="false" customHeight="false" outlineLevel="0" collapsed="false">
      <c r="A5" s="28" t="s">
        <v>673</v>
      </c>
      <c r="C5" s="27" t="s">
        <v>640</v>
      </c>
      <c r="E5" s="27" t="s">
        <v>6354</v>
      </c>
      <c r="F5" s="37" t="n">
        <f aca="false">4*10^-9</f>
        <v>4E-009</v>
      </c>
      <c r="G5" s="27" t="s">
        <v>599</v>
      </c>
      <c r="K5" s="1" t="n">
        <v>3</v>
      </c>
      <c r="L5" s="1" t="s">
        <v>6357</v>
      </c>
      <c r="N5" s="1" t="s">
        <v>6358</v>
      </c>
    </row>
    <row r="6" customFormat="false" ht="16" hidden="false" customHeight="false" outlineLevel="0" collapsed="false">
      <c r="E6" s="27" t="s">
        <v>6354</v>
      </c>
    </row>
    <row r="7" customFormat="false" ht="16" hidden="false" customHeight="false" outlineLevel="0" collapsed="false">
      <c r="A7" s="28" t="s">
        <v>676</v>
      </c>
      <c r="C7" s="27" t="s">
        <v>630</v>
      </c>
      <c r="D7" s="41"/>
      <c r="E7" s="27" t="s">
        <v>6354</v>
      </c>
      <c r="F7" s="37" t="n">
        <f aca="false">0.0011</f>
        <v>0.0011</v>
      </c>
      <c r="G7" s="27" t="s">
        <v>597</v>
      </c>
      <c r="K7" s="1" t="n">
        <v>0</v>
      </c>
      <c r="L7" s="1" t="s">
        <v>6355</v>
      </c>
      <c r="N7" s="1" t="s">
        <v>6356</v>
      </c>
    </row>
    <row r="8" customFormat="false" ht="16" hidden="false" customHeight="false" outlineLevel="0" collapsed="false">
      <c r="A8" s="28" t="s">
        <v>676</v>
      </c>
      <c r="C8" s="27" t="s">
        <v>635</v>
      </c>
      <c r="D8" s="41"/>
      <c r="E8" s="27" t="s">
        <v>6354</v>
      </c>
      <c r="F8" s="37" t="n">
        <f aca="false">10.2*0.13/1000</f>
        <v>0.001326</v>
      </c>
      <c r="G8" s="27" t="s">
        <v>603</v>
      </c>
      <c r="K8" s="1" t="n">
        <v>3</v>
      </c>
      <c r="L8" s="1" t="s">
        <v>6355</v>
      </c>
      <c r="N8" s="1" t="s">
        <v>6359</v>
      </c>
    </row>
    <row r="9" customFormat="false" ht="16" hidden="false" customHeight="false" outlineLevel="0" collapsed="false">
      <c r="A9" s="28" t="s">
        <v>676</v>
      </c>
      <c r="C9" s="27" t="s">
        <v>630</v>
      </c>
      <c r="D9" s="41"/>
      <c r="E9" s="27" t="s">
        <v>6354</v>
      </c>
      <c r="F9" s="37" t="n">
        <f aca="false">15/1000</f>
        <v>0.015</v>
      </c>
      <c r="G9" s="27" t="s">
        <v>603</v>
      </c>
      <c r="K9" s="1" t="n">
        <v>3</v>
      </c>
      <c r="L9" s="1" t="s">
        <v>6355</v>
      </c>
      <c r="N9" s="1" t="s">
        <v>6360</v>
      </c>
    </row>
    <row r="10" customFormat="false" ht="16" hidden="false" customHeight="false" outlineLevel="0" collapsed="false">
      <c r="D10" s="41"/>
      <c r="E10" s="27" t="s">
        <v>6354</v>
      </c>
    </row>
    <row r="11" customFormat="false" ht="16" hidden="false" customHeight="false" outlineLevel="0" collapsed="false">
      <c r="A11" s="28" t="s">
        <v>678</v>
      </c>
      <c r="C11" s="27" t="s">
        <v>693</v>
      </c>
      <c r="D11" s="41"/>
      <c r="E11" s="27" t="s">
        <v>6354</v>
      </c>
      <c r="F11" s="37" t="n">
        <v>1</v>
      </c>
      <c r="G11" s="42" t="s">
        <v>611</v>
      </c>
      <c r="I11" s="27" t="s">
        <v>247</v>
      </c>
      <c r="K11" s="1" t="n">
        <v>6</v>
      </c>
    </row>
    <row r="12" customFormat="false" ht="16" hidden="false" customHeight="false" outlineLevel="0" collapsed="false">
      <c r="A12" s="28" t="s">
        <v>678</v>
      </c>
      <c r="C12" s="41" t="s">
        <v>697</v>
      </c>
      <c r="D12" s="41"/>
      <c r="E12" s="27" t="s">
        <v>6354</v>
      </c>
      <c r="F12" s="37" t="n">
        <v>1</v>
      </c>
      <c r="G12" s="42" t="s">
        <v>611</v>
      </c>
      <c r="I12" s="27" t="s">
        <v>249</v>
      </c>
      <c r="K12" s="1" t="n">
        <v>6</v>
      </c>
    </row>
    <row r="13" customFormat="false" ht="16" hidden="false" customHeight="false" outlineLevel="0" collapsed="false">
      <c r="A13" s="28" t="s">
        <v>678</v>
      </c>
      <c r="C13" s="41" t="s">
        <v>699</v>
      </c>
      <c r="D13" s="41"/>
      <c r="E13" s="27" t="s">
        <v>6354</v>
      </c>
      <c r="F13" s="37" t="n">
        <v>1</v>
      </c>
      <c r="G13" s="42" t="s">
        <v>611</v>
      </c>
      <c r="I13" s="27" t="s">
        <v>261</v>
      </c>
      <c r="K13" s="1" t="n">
        <v>6</v>
      </c>
    </row>
    <row r="14" customFormat="false" ht="16" hidden="false" customHeight="false" outlineLevel="0" collapsed="false">
      <c r="A14" s="28" t="s">
        <v>678</v>
      </c>
      <c r="C14" s="41" t="s">
        <v>700</v>
      </c>
      <c r="D14" s="41"/>
      <c r="E14" s="27" t="s">
        <v>6354</v>
      </c>
      <c r="F14" s="37" t="n">
        <v>1</v>
      </c>
      <c r="G14" s="42" t="s">
        <v>611</v>
      </c>
      <c r="I14" s="27" t="s">
        <v>259</v>
      </c>
      <c r="K14" s="1" t="n">
        <v>6</v>
      </c>
    </row>
    <row r="15" customFormat="false" ht="16" hidden="false" customHeight="false" outlineLevel="0" collapsed="false">
      <c r="A15" s="28" t="s">
        <v>678</v>
      </c>
      <c r="C15" s="41" t="s">
        <v>702</v>
      </c>
      <c r="D15" s="41"/>
      <c r="E15" s="27" t="s">
        <v>6354</v>
      </c>
      <c r="F15" s="37" t="n">
        <v>1</v>
      </c>
      <c r="G15" s="42" t="s">
        <v>611</v>
      </c>
      <c r="I15" s="27" t="s">
        <v>258</v>
      </c>
      <c r="K15" s="1" t="n">
        <v>6</v>
      </c>
    </row>
    <row r="16" customFormat="false" ht="16" hidden="false" customHeight="false" outlineLevel="0" collapsed="false">
      <c r="A16" s="28" t="s">
        <v>678</v>
      </c>
      <c r="C16" s="6" t="s">
        <v>650</v>
      </c>
      <c r="D16" s="43"/>
      <c r="E16" s="27" t="s">
        <v>6354</v>
      </c>
      <c r="F16" s="44" t="n">
        <v>0.6</v>
      </c>
      <c r="G16" s="27" t="s">
        <v>611</v>
      </c>
      <c r="I16" s="27" t="s">
        <v>24</v>
      </c>
      <c r="J16" s="1" t="s">
        <v>6361</v>
      </c>
      <c r="K16" s="1" t="n">
        <v>2</v>
      </c>
    </row>
    <row r="17" customFormat="false" ht="16" hidden="false" customHeight="false" outlineLevel="0" collapsed="false">
      <c r="D17" s="41"/>
      <c r="E17" s="27" t="s">
        <v>6354</v>
      </c>
      <c r="G17" s="42"/>
    </row>
    <row r="18" customFormat="false" ht="16" hidden="false" customHeight="false" outlineLevel="0" collapsed="false">
      <c r="A18" s="28" t="s">
        <v>680</v>
      </c>
      <c r="C18" s="27" t="s">
        <v>630</v>
      </c>
      <c r="D18" s="41"/>
      <c r="E18" s="27" t="s">
        <v>6354</v>
      </c>
      <c r="F18" s="37" t="n">
        <f aca="false">0.8/1000</f>
        <v>0.0008</v>
      </c>
      <c r="G18" s="27" t="s">
        <v>609</v>
      </c>
      <c r="K18" s="1" t="n">
        <v>3</v>
      </c>
      <c r="L18" s="1" t="s">
        <v>6355</v>
      </c>
      <c r="N18" s="1" t="s">
        <v>6362</v>
      </c>
    </row>
    <row r="19" customFormat="false" ht="16" hidden="false" customHeight="false" outlineLevel="0" collapsed="false">
      <c r="A19" s="28" t="s">
        <v>680</v>
      </c>
      <c r="C19" s="27" t="s">
        <v>635</v>
      </c>
      <c r="D19" s="41"/>
      <c r="E19" s="27" t="s">
        <v>6354</v>
      </c>
      <c r="F19" s="37" t="n">
        <v>0.00022</v>
      </c>
      <c r="G19" s="27" t="s">
        <v>609</v>
      </c>
      <c r="K19" s="1" t="n">
        <v>3</v>
      </c>
    </row>
    <row r="20" customFormat="false" ht="16" hidden="false" customHeight="false" outlineLevel="0" collapsed="false">
      <c r="E20" s="27" t="s">
        <v>6354</v>
      </c>
    </row>
    <row r="21" customFormat="false" ht="16" hidden="false" customHeight="false" outlineLevel="0" collapsed="false">
      <c r="A21" s="28" t="s">
        <v>686</v>
      </c>
      <c r="C21" s="27" t="s">
        <v>652</v>
      </c>
      <c r="D21" s="41"/>
      <c r="E21" s="27" t="s">
        <v>6354</v>
      </c>
      <c r="F21" s="37" t="n">
        <v>-0.15</v>
      </c>
      <c r="G21" s="42" t="s">
        <v>624</v>
      </c>
      <c r="I21" s="27" t="s">
        <v>20</v>
      </c>
      <c r="K21" s="1" t="n">
        <v>6</v>
      </c>
    </row>
    <row r="22" customFormat="false" ht="16" hidden="false" customHeight="false" outlineLevel="0" collapsed="false">
      <c r="A22" s="28" t="s">
        <v>686</v>
      </c>
      <c r="C22" s="27" t="s">
        <v>657</v>
      </c>
      <c r="D22" s="41"/>
      <c r="E22" s="27" t="s">
        <v>6354</v>
      </c>
      <c r="F22" s="37" t="n">
        <v>-1</v>
      </c>
      <c r="G22" s="42" t="s">
        <v>624</v>
      </c>
      <c r="I22" s="27" t="s">
        <v>26</v>
      </c>
      <c r="K22" s="1" t="n">
        <v>6</v>
      </c>
    </row>
    <row r="28" customFormat="false" ht="17.35" hidden="false" customHeight="false" outlineLevel="0" collapsed="false">
      <c r="K28" s="36" t="s">
        <v>6363</v>
      </c>
      <c r="L28" s="45"/>
    </row>
    <row r="29" customFormat="false" ht="17.35" hidden="false" customHeight="false" outlineLevel="0" collapsed="false">
      <c r="K29" s="36" t="s">
        <v>6364</v>
      </c>
    </row>
    <row r="31" customFormat="false" ht="16" hidden="false" customHeight="false" outlineLevel="0" collapsed="false">
      <c r="K31" s="1" t="n">
        <f aca="false">4576</f>
        <v>4576</v>
      </c>
    </row>
    <row r="32" customFormat="false" ht="16" hidden="false" customHeight="false" outlineLevel="0" collapsed="false">
      <c r="K32" s="1" t="n">
        <v>20063</v>
      </c>
    </row>
    <row r="33" customFormat="false" ht="16" hidden="false" customHeight="false" outlineLevel="0" collapsed="false">
      <c r="K33" s="1" t="n">
        <f aca="false">K31+K32</f>
        <v>24639</v>
      </c>
      <c r="L33" s="46"/>
      <c r="M33" s="46"/>
    </row>
    <row r="35" customFormat="false" ht="17.35" hidden="false" customHeight="false" outlineLevel="0" collapsed="false">
      <c r="K35" s="47"/>
    </row>
    <row r="37" customFormat="false" ht="16" hidden="false" customHeight="false" outlineLevel="0" collapsed="false">
      <c r="M37" s="46"/>
    </row>
    <row r="38" customFormat="false" ht="16" hidden="false" customHeight="false" outlineLevel="0" collapsed="false">
      <c r="M38" s="4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34" activeCellId="0" sqref="Q34"/>
    </sheetView>
  </sheetViews>
  <sheetFormatPr defaultColWidth="8.62109375" defaultRowHeight="16" zeroHeight="false" outlineLevelRow="0" outlineLevelCol="0"/>
  <cols>
    <col collapsed="false" customWidth="true" hidden="false" outlineLevel="0" max="1025" min="1" style="1" width="11.5"/>
  </cols>
  <sheetData>
    <row r="1" customFormat="false" ht="16" hidden="false" customHeight="false" outlineLevel="0" collapsed="false">
      <c r="A1" s="1" t="s">
        <v>6365</v>
      </c>
    </row>
    <row r="2" customFormat="false" ht="16" hidden="false" customHeight="false" outlineLevel="0" collapsed="false">
      <c r="B2" s="1" t="s">
        <v>6366</v>
      </c>
    </row>
    <row r="3" customFormat="false" ht="16" hidden="false" customHeight="false" outlineLevel="0" collapsed="false">
      <c r="C3" s="1" t="s">
        <v>6367</v>
      </c>
    </row>
    <row r="5" customFormat="false" ht="16" hidden="false" customHeight="false" outlineLevel="0" collapsed="false">
      <c r="B5" s="1" t="s">
        <v>6368</v>
      </c>
    </row>
    <row r="6" customFormat="false" ht="16" hidden="false" customHeight="false" outlineLevel="0" collapsed="false">
      <c r="C6" s="48" t="s">
        <v>6369</v>
      </c>
    </row>
    <row r="8" customFormat="false" ht="16" hidden="false" customHeight="false" outlineLevel="0" collapsed="false">
      <c r="B8" s="1" t="s">
        <v>6370</v>
      </c>
    </row>
    <row r="9" customFormat="false" ht="16" hidden="false" customHeight="false" outlineLevel="0" collapsed="false">
      <c r="C9" s="48" t="s">
        <v>6371</v>
      </c>
    </row>
    <row r="11" customFormat="false" ht="16" hidden="false" customHeight="false" outlineLevel="0" collapsed="false">
      <c r="B11" s="1" t="s">
        <v>6372</v>
      </c>
    </row>
    <row r="12" customFormat="false" ht="16" hidden="false" customHeight="false" outlineLevel="0" collapsed="false">
      <c r="C12" s="1" t="s">
        <v>6373</v>
      </c>
    </row>
    <row r="14" customFormat="false" ht="16" hidden="false" customHeight="false" outlineLevel="0" collapsed="false">
      <c r="B14" s="1" t="s">
        <v>6374</v>
      </c>
    </row>
    <row r="16" customFormat="false" ht="16" hidden="false" customHeight="false" outlineLevel="0" collapsed="false">
      <c r="B16" s="1" t="s">
        <v>6375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21084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2018-11-13T21:35:17Z</dcterms:created>
  <dc:creator>Maxime</dc:creator>
  <dc:description/>
  <dc:language>en-CA</dc:language>
  <cp:lastModifiedBy/>
  <dcterms:modified xsi:type="dcterms:W3CDTF">2026-01-14T18:11:30Z</dcterms:modified>
  <cp:revision>188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